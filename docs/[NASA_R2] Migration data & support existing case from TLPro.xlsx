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B03E7510-E201-4E4D-A913-4A117A8F814F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INDEX" sheetId="2" r:id="rId1"/>
    <sheet name="ListTable" sheetId="1" r:id="rId2"/>
    <sheet name="Solution" sheetId="6" r:id="rId3"/>
    <sheet name="Solution  autoSumbit_Fail" sheetId="22" r:id="rId4"/>
    <sheet name="MigrationDataScope" sheetId="23" r:id="rId5"/>
    <sheet name="Concern List" sheetId="24" r:id="rId6"/>
    <sheet name="SA Task" sheetId="25" r:id="rId7"/>
    <sheet name="TLPro count row" sheetId="26" r:id="rId8"/>
    <sheet name="Opt1" sheetId="21" r:id="rId9"/>
    <sheet name="TLSMART_prospect" sheetId="19" state="hidden" r:id="rId10"/>
    <sheet name="prospect_address" sheetId="4" state="hidden" r:id="rId11"/>
    <sheet name="prospect_pdpa" sheetId="5" state="hidden" r:id="rId12"/>
    <sheet name="ExampleSQLScript_prospect" sheetId="7" state="hidden" r:id="rId13"/>
    <sheet name="Pro prospect" sheetId="8" state="hidden" r:id="rId14"/>
    <sheet name="TLSMART_prospect_address" sheetId="16" state="hidden" r:id="rId15"/>
    <sheet name="ExampleSQLScript_prospect_addre" sheetId="18" state="hidden" r:id="rId16"/>
    <sheet name="TLSMART_quotation" sheetId="11" state="hidden" r:id="rId17"/>
    <sheet name="TLSMART_prospect_pdpa" sheetId="13" state="hidden" r:id="rId18"/>
    <sheet name="TLSMART_document_file" sheetId="15" state="hidden" r:id="rId19"/>
    <sheet name="TLSMART_application" sheetId="12" state="hidden" r:id="rId20"/>
    <sheet name="TLSMART_quotation_rider" sheetId="14" state="hidden" r:id="rId21"/>
    <sheet name="Pro quotation" sheetId="17" state="hidden" r:id="rId22"/>
    <sheet name="ExampleSQLScript2" sheetId="9" state="hidden" r:id="rId23"/>
    <sheet name="ExampleSQLScript3" sheetId="10" state="hidden" r:id="rId24"/>
  </sheets>
  <definedNames>
    <definedName name="_xlnm._FilterDatabase" localSheetId="15" hidden="1">ExampleSQLScript_prospect_addre!$A$4:$G$4</definedName>
    <definedName name="_xlnm._FilterDatabase" localSheetId="14" hidden="1">TLSMART_prospect_address!$A$6:$V$6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5" l="1"/>
  <c r="N95" i="11"/>
  <c r="N94" i="11"/>
  <c r="N93" i="11"/>
  <c r="N92" i="11"/>
  <c r="N91" i="11"/>
  <c r="N90" i="11"/>
  <c r="N89" i="11"/>
  <c r="N88" i="11"/>
  <c r="N87" i="11"/>
  <c r="N86" i="11"/>
  <c r="N85" i="11"/>
  <c r="N84" i="11"/>
  <c r="N83" i="11"/>
  <c r="N82" i="11"/>
  <c r="N81" i="11"/>
  <c r="N80" i="11"/>
  <c r="N79" i="11"/>
  <c r="N78" i="11"/>
  <c r="N77" i="11"/>
  <c r="N76" i="11"/>
  <c r="N75" i="11"/>
  <c r="N74" i="11"/>
  <c r="N73" i="11"/>
  <c r="N72" i="11"/>
  <c r="N71" i="11"/>
  <c r="N70" i="11"/>
  <c r="N69" i="11"/>
  <c r="N68" i="11"/>
  <c r="N67" i="11"/>
  <c r="N66" i="11"/>
  <c r="N65" i="11"/>
  <c r="N64" i="11"/>
  <c r="N63" i="11"/>
  <c r="N62" i="11"/>
  <c r="N61" i="11"/>
  <c r="N60" i="11"/>
  <c r="N59" i="11"/>
  <c r="N58" i="11"/>
  <c r="N57" i="11"/>
  <c r="N56" i="11"/>
  <c r="N55" i="11"/>
  <c r="N54" i="11"/>
  <c r="N53" i="11"/>
  <c r="N52" i="11"/>
  <c r="N51" i="11"/>
  <c r="N50" i="11"/>
  <c r="N49" i="11"/>
  <c r="N48" i="11"/>
  <c r="N47" i="11"/>
  <c r="N46" i="11"/>
  <c r="N45" i="11"/>
  <c r="N44" i="11"/>
  <c r="N43" i="11"/>
  <c r="N42" i="11"/>
  <c r="N41" i="11"/>
  <c r="N40" i="11"/>
  <c r="N39" i="11"/>
  <c r="N38" i="11"/>
  <c r="N37" i="11"/>
  <c r="N36" i="11"/>
  <c r="N35" i="11"/>
  <c r="N34" i="11"/>
  <c r="N33" i="11"/>
  <c r="N32" i="11"/>
  <c r="N31" i="11"/>
  <c r="N30" i="11"/>
  <c r="N29" i="11"/>
  <c r="N28" i="11"/>
  <c r="N27" i="11"/>
  <c r="N26" i="11"/>
  <c r="N25" i="11"/>
  <c r="N24" i="11"/>
  <c r="N23" i="11"/>
  <c r="N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  <c r="N4" i="11"/>
</calcChain>
</file>

<file path=xl/sharedStrings.xml><?xml version="1.0" encoding="utf-8"?>
<sst xmlns="http://schemas.openxmlformats.org/spreadsheetml/2006/main" count="6411" uniqueCount="2130">
  <si>
    <t>Flow Solution support ปิด TLPro</t>
  </si>
  <si>
    <t>https://app.diagrams.net/#Wb!MXa7HIEm30KMGdu8sP2GdwvYxN6WV5JCr6WVCvLB1pM0k7jfjx_qSK_bRzvQUQl9%2F01QZ5C3TBFTXNNF2BMRVB3YIJBSALCTHCQ#%7B%22pageId%22%3A%22fkPj9P3KEcUTdBcIYCem%22%7D</t>
  </si>
  <si>
    <t>[NASA_R2] InsureDoc_eSubmission_Flow.drawio
tab: Solution support ปิด TLPro</t>
  </si>
  <si>
    <t>https://app.diagrams.net/#Wb!MXa7HIEm30KMGdu8sP2GdwvYxN6WV5JCr6WVCvLB1pM0k7jfjx_qSK_bRzvQUQl9%2F01QZ5C3TFACRPXPR52NFBK5WKJIS7HLDNE#%7B%22pageId%22%3A%22vfNEIJ9cffxaqXjG2NLd%22%7D</t>
  </si>
  <si>
    <t>MOM Task by BA ทับทิม</t>
  </si>
  <si>
    <t>MOM Note 🗒️.xlsx</t>
  </si>
  <si>
    <t>PowerPoint</t>
  </si>
  <si>
    <t>TLProPlus_Status.xlsx</t>
  </si>
  <si>
    <t>Data Migration by น้องฝน</t>
  </si>
  <si>
    <t>Data Migration.xlsx</t>
  </si>
  <si>
    <t>Folder กลาง รวมทุก sheet table ที่ clear mapping</t>
  </si>
  <si>
    <t>MigrationData</t>
  </si>
  <si>
    <t>Sheet กลาง (tab: ListTable)</t>
  </si>
  <si>
    <t>[NASA_R2] Migration data &amp; support existing case from TLPro.xlsx</t>
  </si>
  <si>
    <t>เอกสารที่พี่น็อตแชร์ครับ</t>
  </si>
  <si>
    <t>Action Plan (New Core).xlsx</t>
  </si>
  <si>
    <t>DataDict_ms-sale.xlsx</t>
  </si>
  <si>
    <t>Data Type</t>
  </si>
  <si>
    <t>TLSmart table</t>
  </si>
  <si>
    <t>TLPro table</t>
  </si>
  <si>
    <t>Status</t>
  </si>
  <si>
    <t>Owner</t>
  </si>
  <si>
    <t>% mapping</t>
  </si>
  <si>
    <t>% ExampleSQL</t>
  </si>
  <si>
    <t>%TLPro Field</t>
  </si>
  <si>
    <t>Remark</t>
  </si>
  <si>
    <t>Ref Link</t>
  </si>
  <si>
    <t>Pending / Block</t>
  </si>
  <si>
    <t>Lead &amp; Prospect</t>
  </si>
  <si>
    <t>prospect</t>
  </si>
  <si>
    <t>DONE</t>
  </si>
  <si>
    <t>TLSmart</t>
  </si>
  <si>
    <t>Mapping prospect.xlsx</t>
  </si>
  <si>
    <t>prospect_address</t>
  </si>
  <si>
    <t>ไม่มี</t>
  </si>
  <si>
    <t>Mapping prospect_address.xlsx</t>
  </si>
  <si>
    <t>TL SMART verify</t>
  </si>
  <si>
    <t>prospect_pdpa</t>
  </si>
  <si>
    <t>prospectconsent</t>
  </si>
  <si>
    <t>Need clearify</t>
  </si>
  <si>
    <t>Mapping prospect_pdpa.xlsx</t>
  </si>
  <si>
    <t>TL TLPRO verify</t>
  </si>
  <si>
    <t>TLPro</t>
  </si>
  <si>
    <t>Quotation</t>
  </si>
  <si>
    <t>quotation</t>
  </si>
  <si>
    <t>Mapping quotation.xlsx</t>
  </si>
  <si>
    <t>quotation_rider</t>
  </si>
  <si>
    <t>quotationrider</t>
  </si>
  <si>
    <t>Mapping quotation_rider.xlsx</t>
  </si>
  <si>
    <t>Blocked</t>
  </si>
  <si>
    <t>quotation_guardian</t>
  </si>
  <si>
    <t>quotationguardian</t>
  </si>
  <si>
    <t>Mapping quotation_guardian.xlsx</t>
  </si>
  <si>
    <t>Application</t>
  </si>
  <si>
    <t>application</t>
  </si>
  <si>
    <t>mcaapplications</t>
  </si>
  <si>
    <t>Mapping application.xlsx</t>
  </si>
  <si>
    <t>Wait To Review</t>
  </si>
  <si>
    <t>application_insured</t>
  </si>
  <si>
    <t>Mapping application_insured.xlsx</t>
  </si>
  <si>
    <t>application_address</t>
  </si>
  <si>
    <t>address</t>
  </si>
  <si>
    <t>Mapping application_address.xlsx</t>
  </si>
  <si>
    <t>application_payment</t>
  </si>
  <si>
    <t>payment</t>
  </si>
  <si>
    <t>Mapping application_payment.xlsx</t>
  </si>
  <si>
    <t>application_beneficiary</t>
  </si>
  <si>
    <t>beneficiary</t>
  </si>
  <si>
    <t>Mapping application_beneficiary.xlsx</t>
  </si>
  <si>
    <t>application_other_insurance</t>
  </si>
  <si>
    <t>otherinsurance</t>
  </si>
  <si>
    <t>Mapping application_other_insurance.xlsx</t>
  </si>
  <si>
    <t>application_insurance_rejection</t>
  </si>
  <si>
    <t>insurancerejections</t>
  </si>
  <si>
    <t>Mapping application_insurance_rejection.xlsx</t>
  </si>
  <si>
    <t>application_answer</t>
  </si>
  <si>
    <t>applicationanswer</t>
  </si>
  <si>
    <t>Mapping application_answer.xlsx</t>
  </si>
  <si>
    <t>questionnaire_question</t>
  </si>
  <si>
    <t>Mapping questionnaire_question.xlsx</t>
  </si>
  <si>
    <t>ekyc</t>
  </si>
  <si>
    <t>ekyc, ekyctransaction</t>
  </si>
  <si>
    <t>Mapping ekyc.xlsx</t>
  </si>
  <si>
    <t>sales_dopa_status</t>
  </si>
  <si>
    <t>mcadopastatus</t>
  </si>
  <si>
    <t>Mapping sales_dopa_status.xlsx</t>
  </si>
  <si>
    <t>Application KB</t>
  </si>
  <si>
    <t>application_guardian</t>
  </si>
  <si>
    <t>kb</t>
  </si>
  <si>
    <t>Mapping application_guardian.xlsx</t>
  </si>
  <si>
    <t>guardian_pdpa</t>
  </si>
  <si>
    <t>Mapping guardian_pdpa.xlsx</t>
  </si>
  <si>
    <t>CounterOffer</t>
  </si>
  <si>
    <t>application_counter_offer</t>
  </si>
  <si>
    <t>increasepremiumpayment</t>
  </si>
  <si>
    <t>Mapping application_counter_offer.xlsx</t>
  </si>
  <si>
    <t>application_offer_payment</t>
  </si>
  <si>
    <t>Mapping application_offer_payment.xlsx</t>
  </si>
  <si>
    <t>application_offer_information</t>
  </si>
  <si>
    <t>Mapping application_offer_information.xlsx</t>
  </si>
  <si>
    <t>application_offer_document</t>
  </si>
  <si>
    <t>Mapping application_offer_document.xlsx</t>
  </si>
  <si>
    <t>application_offer_quotation</t>
  </si>
  <si>
    <t>Mapping application_offer_quotation.xlsx</t>
  </si>
  <si>
    <t>application_offer_tracking</t>
  </si>
  <si>
    <t>คุยกับพี่เอกเพิ่มเติม</t>
  </si>
  <si>
    <t>Mapping application_offer_tracking.xlsx</t>
  </si>
  <si>
    <t>Refund</t>
  </si>
  <si>
    <t>application_refund</t>
  </si>
  <si>
    <t>adjustpremium</t>
  </si>
  <si>
    <t>Mapping application_refund.xlsx</t>
  </si>
  <si>
    <t>application_refund_transaction</t>
  </si>
  <si>
    <t>refundtransaction</t>
  </si>
  <si>
    <t>Mapping application_refund_transaction.xlsx</t>
  </si>
  <si>
    <t>Documents</t>
  </si>
  <si>
    <t>document_file</t>
  </si>
  <si>
    <t>attachfile</t>
  </si>
  <si>
    <t>Mapping document_file.xlsx</t>
  </si>
  <si>
    <t>สถานะใบคำขอที่จะทำการ Migration จาก TL PRO+ ไปยัง TL SMART</t>
  </si>
  <si>
    <t>1. อนุมัติกรมธรรม์ (Policy Issued)</t>
  </si>
  <si>
    <t>2. ปฎิเสธการรับประกัน (Reject)</t>
  </si>
  <si>
    <t>3. กำลังพิจารณารับประกัน (Submited Case)</t>
  </si>
  <si>
    <t>4. ส่งสาขาสำเร็จ (E-Form)</t>
  </si>
  <si>
    <t>5. แจ้งข้อเสนอใหม่ (Couter Offer case)</t>
  </si>
  <si>
    <t>6. คืนเงิน (Refund Case)</t>
  </si>
  <si>
    <t>7. อนุมัติมีเบี้ยส่วนเกิน (Approve Over Premium)</t>
  </si>
  <si>
    <t>## Task</t>
  </si>
  <si>
    <t>* Integrate กับ Alfresco api เพื่อ view PDF จาก TLPro ได้</t>
  </si>
  <si>
    <t>Option #</t>
  </si>
  <si>
    <t>Option detail</t>
  </si>
  <si>
    <t>Effort estimation</t>
  </si>
  <si>
    <t>Option #1</t>
  </si>
  <si>
    <t>Migrate data structrue เดิม จาก TLPro มาเป็น new table บน TLSmart เพื่อ view data only</t>
  </si>
  <si>
    <t>XXL</t>
  </si>
  <si>
    <t>พี่บอย ไม่ accept opt. นี้</t>
  </si>
  <si>
    <t>[Need]</t>
  </si>
  <si>
    <t>* Business requirement</t>
  </si>
  <si>
    <t>* UXUI</t>
  </si>
  <si>
    <t>* SA Design</t>
  </si>
  <si>
    <t>* Develop</t>
  </si>
  <si>
    <t>Option #2</t>
  </si>
  <si>
    <t>Migrate data เฉพาะบางข้อมูล จาก TLPro มาไว้บน TLSmart table เดิม เพื่อ onProcess ต่อ</t>
  </si>
  <si>
    <t>XL</t>
  </si>
  <si>
    <t>[ข้อมูลที่เป็นไปได้]</t>
  </si>
  <si>
    <t>* Lead &amp; Prospect (prospect, prospect_address, prospect_pdpa)</t>
  </si>
  <si>
    <t>* Quotation data (quotation, quotation_guardian)</t>
  </si>
  <si>
    <t>[ข้อมูลที่เป็นไปได้ยาก + ใช้ effort สูงมาก]</t>
  </si>
  <si>
    <r>
      <rPr>
        <sz val="11"/>
        <color rgb="FFFF0000"/>
        <rFont val="Calibri"/>
        <scheme val="minor"/>
      </rPr>
      <t xml:space="preserve">(including appication data) </t>
    </r>
    <r>
      <rPr>
        <b/>
        <sz val="11"/>
        <color rgb="FFFF0000"/>
        <rFont val="Calibri"/>
        <scheme val="minor"/>
      </rPr>
      <t>XXXL</t>
    </r>
  </si>
  <si>
    <t>* Application data (Before submit, submitted, CTF, Refund)</t>
  </si>
  <si>
    <t>Option #3</t>
  </si>
  <si>
    <t>สร้าง Table ใหม่ ที่ถัง data กลาง เป็นเพื่อ centralize ของ data จาก TLPro</t>
  </si>
  <si>
    <t>* New centralize table</t>
  </si>
  <si>
    <t>Option #4</t>
  </si>
  <si>
    <t>Migration Data</t>
  </si>
  <si>
    <t>1. Prospect</t>
  </si>
  <si>
    <t>2. Data ที่ submission มาแล้ว (Status อนุมัติออกกธ.)</t>
  </si>
  <si>
    <t>--&gt; ไปเฉพาะ Header และ File PDF ใบเสนอขาย, ใบคำขอ</t>
  </si>
  <si>
    <t>--&gt; หลังจากจะปิด สิ้นปี ต้อง migrate มาอีกรอบ</t>
  </si>
  <si>
    <t>3. Data InProgress</t>
  </si>
  <si>
    <t>--&gt; เปิด parallel TL Pro+ ไปอีก 1 เดือน or X วัน ไปดันเคสให้จบบน TL Pro+ </t>
  </si>
  <si>
    <t>--&gt; ปิด การ gen Quotation บน Pro+</t>
  </si>
  <si>
    <t>--&gt; UW Process ทำบน Pro+ ให้จบ ภายในสิ้นปี</t>
  </si>
  <si>
    <t>Option #5</t>
  </si>
  <si>
    <t>[08/06/2026]</t>
  </si>
  <si>
    <t>Migrate data ทุกสถานะ ที่อยู่หลังจาก "ชำระเงินสำเร็จ" เพื่อดำเนินการต่อบน TLSmart</t>
  </si>
  <si>
    <t xml:space="preserve">1. Prospect </t>
  </si>
  <si>
    <t>2. Quotation</t>
  </si>
  <si>
    <t>* ใบเสนอขายที่มีเลข refNo + มี map เลขที่ใบคำขอ --&gt; must be migrate</t>
  </si>
  <si>
    <r>
      <rPr>
        <sz val="11"/>
        <color rgb="FF000000"/>
        <rFont val="Calibri"/>
        <scheme val="minor"/>
      </rPr>
      <t>* ใบเสนอขายที่มีเลข ref หรือ ไม่มีเลข ref  ถ้ายังไม่มี map เลขที่ใบคำขอ --&gt;</t>
    </r>
    <r>
      <rPr>
        <sz val="11"/>
        <color rgb="FFFF0000"/>
        <rFont val="Calibri"/>
        <scheme val="minor"/>
      </rPr>
      <t xml:space="preserve"> ไม่ migrate</t>
    </r>
  </si>
  <si>
    <t>3. Application</t>
  </si>
  <si>
    <t>[สถานะชำระเงิน]</t>
  </si>
  <si>
    <t>* ชำระเบี้ยสำเร็จ  --&gt; Migrate มาแล้ว TLSmart ต้องทำอะไรต่อ?</t>
  </si>
  <si>
    <t>[สถานะใบคำขอ]</t>
  </si>
  <si>
    <t>* กำลังดำเนินการนำส่ง</t>
  </si>
  <si>
    <t xml:space="preserve">     * มีโอกาสเป็นได้ทั้ง case ที่ auto_submit(Refer UW Rule, STP) สำเร็จ และ ไม่สำเร็จ</t>
  </si>
  <si>
    <t xml:space="preserve">     * Migrate เฉพาะ status มาที่ TLSmart ส่วน process re-auto_submit ให้ทำที่ TLPro</t>
  </si>
  <si>
    <t xml:space="preserve">* กำลังพิจารณารับประกัน </t>
  </si>
  <si>
    <t>* อนุมัติกรมธรรม์</t>
  </si>
  <si>
    <t>* CTF แจ้งข้อเสนอใหม่</t>
  </si>
  <si>
    <t>* ยกเลิกรับประกัน (refund)</t>
  </si>
  <si>
    <t>* อนุมัติกรมธรรม์มีเบี้ยเกิน (refund)</t>
  </si>
  <si>
    <t>* CTF รอชำระเบี้ยเพิ่ม</t>
  </si>
  <si>
    <t>* refund รอรับเงินคืน</t>
  </si>
  <si>
    <t>* refund ส่งเรื่องคืนเงินเข้าบัตรเครดิต</t>
  </si>
  <si>
    <t>* refund คืนเงินสำเร็จ</t>
  </si>
  <si>
    <t>* refund คืนเงินไม่สำเร็จ</t>
  </si>
  <si>
    <t>* refund ปฏิเสธรับเงินคืน</t>
  </si>
  <si>
    <t>### Concern</t>
  </si>
  <si>
    <t xml:space="preserve">* process Manual UW จะมีการ handle อย่างไร ในช่วงระหว่างที่มีดำเนินการ Migrate data </t>
  </si>
  <si>
    <t xml:space="preserve">    * case ที่ payment success -&gt; แต่ยัง auto_submit to NB ไม่เสร็จ -&gt; ให้ re-step นำเข้า NB ที่ TLPro</t>
  </si>
  <si>
    <t xml:space="preserve">* pdf ใบเสนอขาย, ใบคำขอ จาก TLPro จะมีการ handle เรื่องลายน้ำ / lock file อย่างไร </t>
  </si>
  <si>
    <t>## สรุป Batch Migration data</t>
  </si>
  <si>
    <t>## TLSmart status</t>
  </si>
  <si>
    <t>## TLPro status</t>
  </si>
  <si>
    <t>## Scope fetch data</t>
  </si>
  <si>
    <t>[A] Batch Migration data วันเดียวจบ (run วันที่ Cut-off data วันเดียว)</t>
  </si>
  <si>
    <t>TLPro Aplication status list:</t>
  </si>
  <si>
    <t xml:space="preserve">  * อนุมัติกรมธรรม์ &lt;&lt; ย้อนหลัง 3M</t>
  </si>
  <si>
    <t>applicationStatus	27</t>
  </si>
  <si>
    <t>ย้อนหลัง 3M นับจาก 4-Oct-2026</t>
  </si>
  <si>
    <t>[B] Batch Migration data แบบ daily (run ทุกๆ วัน เพื่อ update เคสที่มีสถานะเปลี่ยนแปลง)</t>
  </si>
  <si>
    <t xml:space="preserve">  * ชำระเบี้ยสำเร็จ</t>
  </si>
  <si>
    <t>applicationStatus	22
paymentStatus 01</t>
  </si>
  <si>
    <t xml:space="preserve">  * กำลังพิจารณารับประกัน</t>
  </si>
  <si>
    <t>applicationStatus	17</t>
  </si>
  <si>
    <t xml:space="preserve">  * กำลังดำเนินการนำส่ง</t>
  </si>
  <si>
    <t>applicationStatus	22</t>
  </si>
  <si>
    <t>CTF</t>
  </si>
  <si>
    <t xml:space="preserve">  * แจ้งข้อเสนอใหม่</t>
  </si>
  <si>
    <t>applicationStatus	24</t>
  </si>
  <si>
    <t xml:space="preserve">  * ยกเลิกรับประกัน</t>
  </si>
  <si>
    <t>applicationStatus	30</t>
  </si>
  <si>
    <t xml:space="preserve">  * อนุมัติกรมธรรม์มีเบี้ยเกิน</t>
  </si>
  <si>
    <t>applicationStatus	43</t>
  </si>
  <si>
    <t xml:space="preserve">  * รอชำระเบี้ยเพิ่ม</t>
  </si>
  <si>
    <t>applicationStatus	24
counterOfferStatus 02</t>
  </si>
  <si>
    <t xml:space="preserve">  * รอรับเงินคืน</t>
  </si>
  <si>
    <t>applicationStatus	[43, 30]
refundStatus	02</t>
  </si>
  <si>
    <t xml:space="preserve">  * ส่งเรื่องคืนเงินเข้าบัตรเครดิต</t>
  </si>
  <si>
    <t>applicationStatus	[43, 30]
refundStatus	03</t>
  </si>
  <si>
    <t xml:space="preserve">  * refund คืนเงินสำเร็จ</t>
  </si>
  <si>
    <t>applicationStatus	[43, 30]
refundStatus	04</t>
  </si>
  <si>
    <t xml:space="preserve">  * refund คืนเงินไม่สำเร็จ</t>
  </si>
  <si>
    <t>applicationStatus	[43, 30]
refundStatus	05</t>
  </si>
  <si>
    <t xml:space="preserve">  * refund ปฏิเสธรับเงินคืน</t>
  </si>
  <si>
    <t>applicationStatus	[43, 30]
refundStatus	07</t>
  </si>
  <si>
    <t>## Process ดำเนินการ</t>
  </si>
  <si>
    <t>* ปรึกษา EA เรื่อง Solution migration data</t>
  </si>
  <si>
    <t>## Lead &amp; Prospect</t>
  </si>
  <si>
    <t>## Quotation</t>
  </si>
  <si>
    <t>* ใบเสนอขาย ที่มี map ใบคำขอแล้ว  / ใบคำขอเป็นสถานะ "ชำระเงินสำเร็จ"</t>
  </si>
  <si>
    <t>T + Continue day
T = วันแรกที่มี run migration</t>
  </si>
  <si>
    <t>## Application</t>
  </si>
  <si>
    <t>* อนุมัติออกกรมธรรม์</t>
  </si>
  <si>
    <t>* ดูจากวันที่ update สถานะ เป็นหลัก</t>
  </si>
  <si>
    <t>T -  90D 
T = วันแรกที่มี run migration</t>
  </si>
  <si>
    <t>## Concern List</t>
  </si>
  <si>
    <t>## Solution</t>
  </si>
  <si>
    <t>การแสดง PDF จาก TLPro เดิม</t>
  </si>
  <si>
    <t>ดึงไฟล์สดจาก Alfresco แบบ real-time (ไม่ pre-migrate เข้า S3)
Flow:
User ขอดู PDF → API เช็คตาราง legacy_id_migration ว่า applicationId เป็นเคส legacy ไหม
ถ้าใช่ → เรียก POST /ms-commons/v1/alfresco/download ดึงไฟล์จาก Alfresco มาแสดงเลย
ถ้าไม่ใช่ (เคส native TLSmart) → ดึงจาก S3 ตามปกติ</t>
  </si>
  <si>
    <t>quotation_id, application_id  key ของ table quotation, application ที่มี Migrate มาจาก TLPro</t>
  </si>
  <si>
    <r>
      <rPr>
        <sz val="11"/>
        <color rgb="FF000000"/>
        <rFont val="Calibri Light"/>
      </rPr>
      <t xml:space="preserve">1. </t>
    </r>
    <r>
      <rPr>
        <sz val="11"/>
        <color rgb="FFC65911"/>
        <rFont val="Calibri Light"/>
      </rPr>
      <t>สร้างตาราง legacy_id_mapping</t>
    </r>
    <r>
      <rPr>
        <sz val="11"/>
        <color rgb="FF000000"/>
        <rFont val="Calibri Light"/>
      </rPr>
      <t> (ดูเพิ่มบันทัดที่ 15)(source_system, source_table, legacy_id, target_table, new_id, migrated_at, batch_run_id)
2. Migrate ตามลำดับ dependency: parent (quotation, application) ก่อน แล้วค่อย insert ตารางลูก
3. Insert parent → RETURNING id → บันทึกลง mapping ทันที
4. ตารางลูกทุกตัว insert โดย lookup new_id จาก mapping table ผ่าน legacy_id เดิม
5. เลิกใช้เลข offset ตายตัว ปล่อย auto-increment generate เอง
6. เก็บ mapping table ถาวร ใช้ audit + รองรับ batch รอบถัดไป
7. ใส่ unique constraint (source_system, source_table, legacy_id) กัน insert ซ้ำ</t>
    </r>
  </si>
  <si>
    <t>การแสดงผลที่หน้า UI ของ Feature: CounterOffer</t>
  </si>
  <si>
    <t xml:space="preserve">Design batch </t>
  </si>
  <si>
    <t xml:space="preserve">สร้าง batch 2 ตัว เพื่อ get data จาก TLPro
1) Batch fetch CutOff data (1 time) - run 4/10 23.00 น.
     * call api TLPro for fectch data
     * process insert to TLSmar table (map )
2) </t>
  </si>
  <si>
    <r>
      <rPr>
        <sz val="11"/>
        <color rgb="FF000000"/>
        <rFont val="Calibri"/>
        <scheme val="minor"/>
      </rPr>
      <t>ตาราง</t>
    </r>
    <r>
      <rPr>
        <sz val="11"/>
        <color rgb="FFC65911"/>
        <rFont val="Calibri"/>
        <scheme val="minor"/>
      </rPr>
      <t xml:space="preserve"> legacy_id_mapping </t>
    </r>
  </si>
  <si>
    <r>
      <rPr>
        <sz val="11"/>
        <color rgb="FF000000"/>
        <rFont val="Calibri"/>
        <scheme val="minor"/>
      </rPr>
      <t xml:space="preserve">Microservice </t>
    </r>
    <r>
      <rPr>
        <sz val="11"/>
        <color rgb="FFC65911"/>
        <rFont val="Calibri"/>
        <scheme val="minor"/>
      </rPr>
      <t>ms-sales</t>
    </r>
  </si>
  <si>
    <t>No.</t>
  </si>
  <si>
    <t>Field Name</t>
  </si>
  <si>
    <t>Data Description</t>
  </si>
  <si>
    <t>Nullable</t>
  </si>
  <si>
    <t>Key
(PK/FK)</t>
  </si>
  <si>
    <t>Link Field</t>
  </si>
  <si>
    <t>Sample Data</t>
  </si>
  <si>
    <t>Default Value</t>
  </si>
  <si>
    <t>Posible Value</t>
  </si>
  <si>
    <t>Remarks</t>
  </si>
  <si>
    <t>id</t>
  </si>
  <si>
    <t>uuid</t>
  </si>
  <si>
    <t>Unique identifier ของ mapping record นี้เอง</t>
  </si>
  <si>
    <t>NO</t>
  </si>
  <si>
    <t>PK</t>
  </si>
  <si>
    <t>-</t>
  </si>
  <si>
    <t>0192ebba-6597-7655-9d5e-65d6bf3237b2</t>
  </si>
  <si>
    <t>Auto Generate UUID V7</t>
  </si>
  <si>
    <t>source_system</t>
  </si>
  <si>
    <t>varchar(20)</t>
  </si>
  <si>
    <t>ระบบต้นทางที่ข้อมูลถูก migrate มา</t>
  </si>
  <si>
    <t>TLPro'</t>
  </si>
  <si>
    <t>Fixed 'TLPro' สำหรับโปรเจกต์นี้ เผื่ออนาคตมีระบบอื่น migrate เข้ามาเพิ่ม</t>
  </si>
  <si>
    <t>source_table</t>
  </si>
  <si>
    <t>varchar(100)</t>
  </si>
  <si>
    <t>ชื่อตารางต้นทาง</t>
  </si>
  <si>
    <t>mcaapplications, quotation, kb, address, payment, adjustpremium, refundtransaction, increasepremiumpayment, ekyc, ...</t>
  </si>
  <si>
    <t>legacy_id</t>
  </si>
  <si>
    <t>ค่า identifier เดิมจาก TLPro (เก็บเป็น varchar เผื่อรองรับได้ทั้ง int/uuid/string ของต้นทาง)</t>
  </si>
  <si>
    <t>APP-2024-00123</t>
  </si>
  <si>
    <t>คือค่าที่ใช้ join กลับไปหาข้อมูลต้นทางใน TLPro เช่น applicationid, quotationno</t>
  </si>
  <si>
    <t>target_table</t>
  </si>
  <si>
    <t>ชื่อตารางปลายทางใน TLSmart (schema asa_sale)</t>
  </si>
  <si>
    <t>application, quotation, application_insured, application_address, application_payment, ...</t>
  </si>
  <si>
    <t>new_id_bigint</t>
  </si>
  <si>
    <t>bigint</t>
  </si>
  <si>
    <t>id ใหม่ที่ TLSmart generate ให้ กรณีตารางปลายทางใช้ int/integer/bigint เป็น PK</t>
  </si>
  <si>
    <t>YES</t>
  </si>
  <si>
    <t>มีค่าเฉพาะกรณี target_table อยู่ในกลุ่ม int/bigint (application, application_counter_offer, application_guardian, application_offer_document, application_offer_information, application_offer_payment, application_offer_quotation, application_offer_tracking, application_refund, application_refund_transaction, quotation_guardian) มิฉะนั้นเป็น NULL</t>
  </si>
  <si>
    <t>new_id_uuid</t>
  </si>
  <si>
    <t>id ใหม่ที่ TLSmart generate ให้ กรณีตารางปลายทางใช้ uuid เป็น PK</t>
  </si>
  <si>
    <t>8f1e2c4a-1234-4a3b-9c1d-abcdef012345</t>
  </si>
  <si>
    <t>มีค่าเฉพาะกรณี target_table อยู่ในกลุ่ม uuid (application_address, application_answer, application_beneficiary, application_insurance_rejection, application_insured, application_other_insurance, application_payment, document_file, ekyc, prospect, quotation, sales_dopa_status) มิฉะนั้นเป็น NULL — ต้องมีค่าใน new_id_bigint หรือ new_id_uuid อย่างใดอย่างหนึ่งเท่านั้น (CHECK constraint แบบ XOR)</t>
  </si>
  <si>
    <t>batch_run_id</t>
  </si>
  <si>
    <t>varchar(50)</t>
  </si>
  <si>
    <t>รหัสอ้างอิง batch run ที่สร้าง/แก้ record นี้</t>
  </si>
  <si>
    <t>BATCH_20261004_D1</t>
  </si>
  <si>
    <t>ใช้ debug ว่า record มาจาก batch รอบไหน เช่น Batch A (one-time cutoff) หรือ Batch B วันที่เท่าไหร่ (Day1, Day2, ...)</t>
  </si>
  <si>
    <t>migration_status</t>
  </si>
  <si>
    <t>สถานะการ migrate ของ record นี้</t>
  </si>
  <si>
    <t>SUCCESS</t>
  </si>
  <si>
    <t>PENDING'</t>
  </si>
  <si>
    <t>PENDING, SUCCESS, FAILED</t>
  </si>
  <si>
    <t>ใช้ track ว่า record ไหน migrate สำเร็จ/ล้มเหลว เพื่อ retry เฉพาะจุดที่ FAILED โดยไม่ต้องรัน batch ทั้งชุดใหม่</t>
  </si>
  <si>
    <t>error_message</t>
  </si>
  <si>
    <t>varchar(500)</t>
  </si>
  <si>
    <t>ข้อความ error กรณี migration_status = FAILED</t>
  </si>
  <si>
    <t>ว่างถ้า migration_status = SUCCESS</t>
  </si>
  <si>
    <t>created_at</t>
  </si>
  <si>
    <t>timestamptz</t>
  </si>
  <si>
    <t>เวลาที่สร้าง mapping record นี้ (= เวลาที่ migrate record แม่)</t>
  </si>
  <si>
    <t>2026-10-04 02:00:00+07</t>
  </si>
  <si>
    <t>now()</t>
  </si>
  <si>
    <t>convert to ISO 8601 timestamp format (ให้ตรงกับ convention เดิมของไฟล์ mapping อื่น)</t>
  </si>
  <si>
    <t>updated_at</t>
  </si>
  <si>
    <t>เวลาที่ record นี้ถูกแก้ล่าสุด (เช่น retry แล้วเปลี่ยนสถานะจาก FAILED เป็น SUCCESS)</t>
  </si>
  <si>
    <t>quotation [prospect_id]</t>
  </si>
  <si>
    <t>application [prospect_id, quotation_id]</t>
  </si>
  <si>
    <t>## SA Task</t>
  </si>
  <si>
    <t>Type</t>
  </si>
  <si>
    <t>%</t>
  </si>
  <si>
    <t>Clear mapping table &amp; design spec</t>
  </si>
  <si>
    <t>Table</t>
  </si>
  <si>
    <t>SQL Script</t>
  </si>
  <si>
    <t>total</t>
  </si>
  <si>
    <r>
      <rPr>
        <b/>
        <sz val="11"/>
        <color rgb="FF000000"/>
        <rFont val="Calibri"/>
        <scheme val="minor"/>
      </rPr>
      <t xml:space="preserve">## Opt1: มีการ Cut-off date ที่ Migration data  </t>
    </r>
    <r>
      <rPr>
        <b/>
        <sz val="11"/>
        <color rgb="FFFF0000"/>
        <rFont val="Calibri"/>
        <scheme val="minor"/>
      </rPr>
      <t xml:space="preserve">&lt;&lt; ผู้ใหญ่ไม่ prefer ไม่ใช้ way นี้แล้ว </t>
    </r>
  </si>
  <si>
    <t xml:space="preserve">Table Name: </t>
  </si>
  <si>
    <t>R2_SP1</t>
  </si>
  <si>
    <t xml:space="preserve">Table Description: </t>
  </si>
  <si>
    <t>To storing lead and prospect information</t>
  </si>
  <si>
    <t>Confluence link:</t>
  </si>
  <si>
    <t>https://bluebik-team.atlassian.net/wiki/spaces/TNS/pages/28481592/prospect+Table</t>
  </si>
  <si>
    <t>Example SQL Script</t>
  </si>
  <si>
    <t>https://tliidp-my.sharepoint.com/:x:/r/personal/banharn_swan_thailife_com/Documents/Projects/NASA%20Project/NASA_R2/SA%20Documents/Technical%20Solution/%5BNASA_R2%5D%20Migration%20data%20%26%20support%20existing%20case%20from%20TLPro.xlsx?d=w0ce4cfa6e2484346882e1ee4af36fcea&amp;csf=1&amp;web=1&amp;e=AyYFrF&amp;nav=MTVfezcyNjI5NjQ3LUE1MzItNERGNC1CQjhBLTlCMERGMENCMEJGQ30</t>
  </si>
  <si>
    <t>UI Need</t>
  </si>
  <si>
    <t>BE Need</t>
  </si>
  <si>
    <t>Page</t>
  </si>
  <si>
    <t>API</t>
  </si>
  <si>
    <t>Mapping Type</t>
  </si>
  <si>
    <t>Field</t>
  </si>
  <si>
    <t>Logic</t>
  </si>
  <si>
    <t>1</t>
  </si>
  <si>
    <t>product_ul_premium Table</t>
  </si>
  <si>
    <t>auto generate UUID V7</t>
  </si>
  <si>
    <t>Direct</t>
  </si>
  <si>
    <t>customerid</t>
  </si>
  <si>
    <t>2</t>
  </si>
  <si>
    <t>agent_id</t>
  </si>
  <si>
    <t>Reference agent id</t>
  </si>
  <si>
    <t>578</t>
  </si>
  <si>
    <t>*Check dup propect key</t>
  </si>
  <si>
    <t>agentid</t>
  </si>
  <si>
    <t>3</t>
  </si>
  <si>
    <t>status</t>
  </si>
  <si>
    <t>varchar(5)</t>
  </si>
  <si>
    <t>Lead and prospect status</t>
  </si>
  <si>
    <t>- p
- d</t>
  </si>
  <si>
    <t>migrate from TLI-Proplus not used in TLSmart</t>
  </si>
  <si>
    <t>Fixed</t>
  </si>
  <si>
    <t>Fixed condition:
status = Activate</t>
  </si>
  <si>
    <t>4</t>
  </si>
  <si>
    <t>customer_type</t>
  </si>
  <si>
    <t>Customer type</t>
  </si>
  <si>
    <t>P</t>
  </si>
  <si>
    <t>- P
- C
- D</t>
  </si>
  <si>
    <r>
      <t xml:space="preserve">P = Lead and Prospect
C = Customer
</t>
    </r>
    <r>
      <rPr>
        <sz val="12"/>
        <color rgb="FFFF00FF"/>
        <rFont val="Calibri Light"/>
        <scheme val="major"/>
      </rPr>
      <t>D = Delete prospect</t>
    </r>
  </si>
  <si>
    <t>Y</t>
  </si>
  <si>
    <t xml:space="preserve">Prospect List &amp; Profile 
Prospect Detail 
Quotation Search Lead 
Create Prospect </t>
  </si>
  <si>
    <t>DELETE /ms-sales/v1/prospects/{prospectId}
GET /ms-sales/v1/prospects
GET /ms-sales/v1/prospectswidgetprospect
GET /ms-sales/v1/prospects/{prospectId}/profile
POST /ms-sales/v1/prospects</t>
  </si>
  <si>
    <t>customertype</t>
  </si>
  <si>
    <t>5</t>
  </si>
  <si>
    <t>consent_status</t>
  </si>
  <si>
    <t>Latest Consent status</t>
  </si>
  <si>
    <t>A</t>
  </si>
  <si>
    <t>- A
- C
- Y
- N</t>
  </si>
  <si>
    <r>
      <rPr>
        <strike/>
        <sz val="12"/>
        <color rgb="FF000000"/>
        <rFont val="Calibri Light"/>
        <scheme val="major"/>
      </rPr>
      <t xml:space="preserve">A = Ready to request PDPA.
</t>
    </r>
    <r>
      <rPr>
        <sz val="12"/>
        <color rgb="FF000000"/>
        <rFont val="Calibri Light"/>
        <scheme val="major"/>
      </rPr>
      <t xml:space="preserve">C = Consent at Application step.
</t>
    </r>
    <r>
      <rPr>
        <sz val="12"/>
        <color rgb="FF292A2E"/>
        <rFont val="Calibri Light"/>
        <scheme val="major"/>
      </rPr>
      <t xml:space="preserve">Y = Accept.
</t>
    </r>
    <r>
      <rPr>
        <sz val="12"/>
        <color rgb="FF000000"/>
        <rFont val="Calibri Light"/>
        <scheme val="major"/>
      </rPr>
      <t>N = Not consent yet</t>
    </r>
  </si>
  <si>
    <t xml:space="preserve">Prospect List &amp; Profile 
Quotation Search Lead 
Create Prospect </t>
  </si>
  <si>
    <t>GET /ms-sales/v1/prospects
GET /ms-sales/v1/prospects/{prospectId}/profile
POST /ms-sales/v1/prospects</t>
  </si>
  <si>
    <t>consentstatus</t>
  </si>
  <si>
    <t>Filter condition:
consentstatus = 'Y'</t>
  </si>
  <si>
    <t>consent_date</t>
  </si>
  <si>
    <t>timestampz</t>
  </si>
  <si>
    <t>The timestamp when prospect update consent_status</t>
  </si>
  <si>
    <t>2024-05-21 17:00:00+07</t>
  </si>
  <si>
    <t>the timestamp update when consent_status C or Y have change</t>
  </si>
  <si>
    <t xml:space="preserve">Prospect List &amp; Profile 
Prospect Detail 
Quotation Search Lead 
Prospect Detail &amp; Update Prospect 
Create Prospect 
Step 3.2 PDPA Consent 
Prospect List </t>
  </si>
  <si>
    <t>DELETE /ms-sales/v1/prospects/{prospectId}
DELETE /ms-sales/v1/prospects/{prospectId}/additional
GET /ms-sales/v1/prospects
GET /ms-sales/v1/prospectswidgetprospect
GET /ms-sales/v1/prospects/{prospectId}
GET /ms-sales/v1/prospects/{prospectId}/profile
POST /ms-sales/v1/prospects
POST /ms-sales/v1/prospectssend-pdpa
PUT /ms-sales/v1/prospects/{prospectId}
PUT /ms-sales/v1/prospects/{prospectId}/additional</t>
  </si>
  <si>
    <t>**Not available in TLPro</t>
  </si>
  <si>
    <t>6</t>
  </si>
  <si>
    <t>source</t>
  </si>
  <si>
    <t>varchar(10)</t>
  </si>
  <si>
    <t>Lead and Prospect source.</t>
  </si>
  <si>
    <t>TLSMART</t>
  </si>
  <si>
    <t>- TLSMART
- DO
- ACC
- CAMPAIGN</t>
  </si>
  <si>
    <r>
      <t xml:space="preserve">TLSMART = TLS smart system
DO = digital online
ACC = lead centralized
CAMPAIGN = campaign
</t>
    </r>
    <r>
      <rPr>
        <sz val="12"/>
        <color rgb="FF0000FF"/>
        <rFont val="Calibri Light"/>
        <scheme val="major"/>
      </rPr>
      <t>sprint 1 only available with TLSMART</t>
    </r>
  </si>
  <si>
    <t xml:space="preserve">Prospect List &amp; Profile 
Quotation Search Lead 
Create Prospect 
Prospect Detail &amp; Update Prospect </t>
  </si>
  <si>
    <t>DELETE /ms-sales/v1/prospects/{prospectId}/additional
GET /ms-sales/v1/prospects
POST /ms-sales/v1/prospects
PUT /ms-sales/v1/prospects/{prospectId}
PUT /ms-sales/v1/prospects/{prospectId}/additional</t>
  </si>
  <si>
    <t>TLPROPLUS</t>
  </si>
  <si>
    <t>7</t>
  </si>
  <si>
    <t>progress_last_update</t>
  </si>
  <si>
    <t>Timestamp for tracking last interactive with this prospect, using for sorting criteria</t>
  </si>
  <si>
    <t>Timestamp update when prospect, quotation and application of this prospect has been interactive
such as
- prospect has been updated
- quotation has been updated
- application has been updated</t>
  </si>
  <si>
    <t xml:space="preserve">Prospect Detail &amp; Update Prospect 
Create Prospect </t>
  </si>
  <si>
    <t>GET /ms-sales/v1/prospects/{prospectId}
POST /ms-sales/v1/prospects
PUT /ms-sales/v1/prospects/{prospectId}</t>
  </si>
  <si>
    <t>lastmodify</t>
  </si>
  <si>
    <t>8</t>
  </si>
  <si>
    <t>date_not_specified</t>
  </si>
  <si>
    <t>Represent when user decide to not specific date of birth specified information</t>
  </si>
  <si>
    <t>D</t>
  </si>
  <si>
    <t>Null</t>
  </si>
  <si>
    <t>- D
- M
- DM</t>
  </si>
  <si>
    <t>D = day is not specified
M = month is not specified
DM = day and month are not specified
Null = user specified all information</t>
  </si>
  <si>
    <t xml:space="preserve">Prospect Detail &amp; Update Prospect 
Create Prospect 
Step 3.2 PDPA Consent 
Prospect List </t>
  </si>
  <si>
    <t>GET /ms-sales/v1/prospects/{prospectId}
POST /ms-sales/v1/prospects
POST /ms-sales/v1/prospectssend-pdpa
PUT /ms-sales/v1/prospects/{prospectId}</t>
  </si>
  <si>
    <t>map &lt;&lt; boss</t>
  </si>
  <si>
    <t>9</t>
  </si>
  <si>
    <t>pre_name</t>
  </si>
  <si>
    <t>varchar(30)</t>
  </si>
  <si>
    <t>Title name.</t>
  </si>
  <si>
    <r>
      <rPr>
        <u/>
        <sz val="12"/>
        <color rgb="FF1155CC"/>
        <rFont val="Calibri Light"/>
        <scheme val="major"/>
      </rPr>
      <t>pre_name Table</t>
    </r>
    <r>
      <rPr>
        <sz val="12"/>
        <rFont val="Calibri Light"/>
        <scheme val="major"/>
      </rPr>
      <t xml:space="preserve"> (pre_name)</t>
    </r>
  </si>
  <si>
    <t>นาย</t>
  </si>
  <si>
    <t>prename</t>
  </si>
  <si>
    <t>10</t>
  </si>
  <si>
    <t>pre_name_code</t>
  </si>
  <si>
    <t>varchar(6)</t>
  </si>
  <si>
    <t>Prename unique code</t>
  </si>
  <si>
    <r>
      <rPr>
        <u/>
        <sz val="12"/>
        <color rgb="FF1155CC"/>
        <rFont val="Calibri Light"/>
        <scheme val="major"/>
      </rPr>
      <t>pre_name Table</t>
    </r>
    <r>
      <rPr>
        <sz val="12"/>
        <rFont val="Calibri Light"/>
        <scheme val="major"/>
      </rPr>
      <t xml:space="preserve"> (code)</t>
    </r>
  </si>
  <si>
    <t>TLSmart cont. mapping</t>
  </si>
  <si>
    <t>11</t>
  </si>
  <si>
    <t>pre_name_other</t>
  </si>
  <si>
    <t>Other title name.</t>
  </si>
  <si>
    <t>migrate from TLI-Proplus not used in TLSmart 
** no input in S1</t>
  </si>
  <si>
    <t>DELETE /ms-sales/v1/prospects/{prospectId}
GET /ms-sales/v1/prospects
GET /ms-sales/v1/prospects/{prospectId}
GET /ms-sales/v1/prospects/{prospectId}/profile
POST /ms-sales/v1/prospects
POST /ms-sales/v1/prospectssend-pdpa
PUT /ms-sales/v1/prospects/{prospectId}</t>
  </si>
  <si>
    <t>No migrate</t>
  </si>
  <si>
    <t>12</t>
  </si>
  <si>
    <t>first_name</t>
  </si>
  <si>
    <t>First name.</t>
  </si>
  <si>
    <t>มงคล</t>
  </si>
  <si>
    <t>firstname</t>
  </si>
  <si>
    <t>13</t>
  </si>
  <si>
    <t>last_name</t>
  </si>
  <si>
    <t>Last name.</t>
  </si>
  <si>
    <t>สมโชค</t>
  </si>
  <si>
    <t xml:space="preserve">Prospect List &amp; Profile 
Quotation Search Lead 
Prospect Detail &amp; Update Prospect 
Create Prospect </t>
  </si>
  <si>
    <t>GET /ms-sales/v1/prospects
GET /ms-sales/v1/prospects/{prospectId}
GET /ms-sales/v1/prospects/{prospectId}/profile
POST /ms-sales/v1/prospects
PUT /ms-sales/v1/prospects/{prospectId}</t>
  </si>
  <si>
    <t>lastname</t>
  </si>
  <si>
    <t>14</t>
  </si>
  <si>
    <t>birth_date</t>
  </si>
  <si>
    <t>date</t>
  </si>
  <si>
    <t>Birth date.</t>
  </si>
  <si>
    <t>2540-11-04</t>
  </si>
  <si>
    <r>
      <t xml:space="preserve">user can choose to not show day, month or day and month in birth_date which relate to </t>
    </r>
    <r>
      <rPr>
        <sz val="12"/>
        <color rgb="FFFF0000"/>
        <rFont val="Calibri Light"/>
        <scheme val="major"/>
      </rPr>
      <t>date_not_specified</t>
    </r>
  </si>
  <si>
    <t>birthdate</t>
  </si>
  <si>
    <t>transform date</t>
  </si>
  <si>
    <t>15</t>
  </si>
  <si>
    <t>gender</t>
  </si>
  <si>
    <t>varchar(2)</t>
  </si>
  <si>
    <t>Gender</t>
  </si>
  <si>
    <t>M</t>
  </si>
  <si>
    <t>- M
- F</t>
  </si>
  <si>
    <t>M = Male
F = Female</t>
  </si>
  <si>
    <t xml:space="preserve">Prospect Detail &amp; Update Prospect </t>
  </si>
  <si>
    <t>GET /ms-sales/v1/prospects/{prospectId}
PUT /ms-sales/v1/prospects/{prospectId}</t>
  </si>
  <si>
    <t>16</t>
  </si>
  <si>
    <t>identify_type</t>
  </si>
  <si>
    <t>Identify type</t>
  </si>
  <si>
    <t>TID</t>
  </si>
  <si>
    <t>- TID 
- PPN</t>
  </si>
  <si>
    <t>TID = ID Number.
PPN = Passport Number</t>
  </si>
  <si>
    <t>identifytype</t>
  </si>
  <si>
    <t>17</t>
  </si>
  <si>
    <t>weight</t>
  </si>
  <si>
    <t>decimal(5,2)</t>
  </si>
  <si>
    <t>Weight.</t>
  </si>
  <si>
    <t>DELETE /ms-sales/v1/prospects/{prospectId}
GET /ms-sales/v1/prospects
GET /ms-sales/v1/prospectswidgetprospect
GET /ms-sales/v1/prospects/{prospectId}
GET /ms-sales/v1/prospects/{prospectId}/profile
POST /ms-sales/v1/prospects
POST /ms-sales/v1/prospectssend-pdpa
PUT /ms-sales/v1/prospects/{prospectId}
PUT /ms-sales/v1/prospects/{prospectId}/additional</t>
  </si>
  <si>
    <t>18</t>
  </si>
  <si>
    <t>height</t>
  </si>
  <si>
    <t>Height</t>
  </si>
  <si>
    <t>19</t>
  </si>
  <si>
    <t>marital_status</t>
  </si>
  <si>
    <t>Marital status.</t>
  </si>
  <si>
    <t>S</t>
  </si>
  <si>
    <t>- 1
- 2
- 3
- 4</t>
  </si>
  <si>
    <t>1 = โสด
2 = สมรส
3 = หย่า
4 = ม้าย</t>
  </si>
  <si>
    <t>PUT /ms-sales/v1/prospects/{prospectId}</t>
  </si>
  <si>
    <t>maritalstatus</t>
  </si>
  <si>
    <t>20</t>
  </si>
  <si>
    <t>first_name_old</t>
  </si>
  <si>
    <t>Old first name</t>
  </si>
  <si>
    <t>this value represent in case user has been change name</t>
  </si>
  <si>
    <t>21</t>
  </si>
  <si>
    <t>last_name_old</t>
  </si>
  <si>
    <t>Old last name.</t>
  </si>
  <si>
    <t>22</t>
  </si>
  <si>
    <t>citizen_id</t>
  </si>
  <si>
    <t>Citizen id</t>
  </si>
  <si>
    <t>31287640011</t>
  </si>
  <si>
    <t>fill this data when identify_type = TID</t>
  </si>
  <si>
    <t>citizenid</t>
  </si>
  <si>
    <t>23</t>
  </si>
  <si>
    <t>identify_expire_date</t>
  </si>
  <si>
    <t>Expire date of citizen id card</t>
  </si>
  <si>
    <t>2027-12-01</t>
  </si>
  <si>
    <t>identifyexpiredate</t>
  </si>
  <si>
    <t>24</t>
  </si>
  <si>
    <t>is_no_identify_expire_date</t>
  </si>
  <si>
    <t>boolean</t>
  </si>
  <si>
    <t>Flag identified that citizen id card have expire date or not</t>
  </si>
  <si>
    <t>25</t>
  </si>
  <si>
    <t>identify_type_other</t>
  </si>
  <si>
    <t>Other card option</t>
  </si>
  <si>
    <r>
      <t xml:space="preserve">Possible Value in 
</t>
    </r>
    <r>
      <rPr>
        <u/>
        <sz val="12"/>
        <color rgb="FF1155CC"/>
        <rFont val="Calibri Light"/>
        <scheme val="major"/>
      </rPr>
      <t>sales_wording Table</t>
    </r>
  </si>
  <si>
    <r>
      <t xml:space="preserve">Possible Value in 
</t>
    </r>
    <r>
      <rPr>
        <u/>
        <sz val="12"/>
        <color rgb="FF1155CC"/>
        <rFont val="Calibri Light"/>
        <scheme val="major"/>
      </rPr>
      <t>sales_wording Table</t>
    </r>
    <r>
      <rPr>
        <sz val="12"/>
        <color rgb="FF000000"/>
        <rFont val="Calibri Light"/>
        <scheme val="major"/>
      </rPr>
      <t xml:space="preserve"> (identifyTypeOther)</t>
    </r>
  </si>
  <si>
    <t>26</t>
  </si>
  <si>
    <t>identify_type_other_text</t>
  </si>
  <si>
    <t>Field used to store the value when 'Other' is selected as the other card option</t>
  </si>
  <si>
    <t>null</t>
  </si>
  <si>
    <t>fill this data when identify_type_other_name = '99' (อื่นๆ)</t>
  </si>
  <si>
    <t xml:space="preserve">Prospect List &amp; Profile 
Prospect Detail 
Prospect Detail &amp; Update Prospect </t>
  </si>
  <si>
    <t>DELETE /ms-sales/v1/prospects/{prospectId}
GET /ms-sales/v1/prospects/{prospectId}
PUT /ms-sales/v1/prospects/{prospectId}</t>
  </si>
  <si>
    <t>27</t>
  </si>
  <si>
    <t>passport</t>
  </si>
  <si>
    <t>Passport no.</t>
  </si>
  <si>
    <t>fill this data when identify_type = PPN</t>
  </si>
  <si>
    <t>28</t>
  </si>
  <si>
    <t>country_code</t>
  </si>
  <si>
    <t>Passport country code.</t>
  </si>
  <si>
    <r>
      <rPr>
        <u/>
        <sz val="12"/>
        <color rgb="FF1155CC"/>
        <rFont val="Calibri Light"/>
        <scheme val="major"/>
      </rPr>
      <t>country Table</t>
    </r>
    <r>
      <rPr>
        <sz val="12"/>
        <rFont val="Calibri Light"/>
        <scheme val="major"/>
      </rPr>
      <t>(country_code)</t>
    </r>
  </si>
  <si>
    <t>THA</t>
  </si>
  <si>
    <t>countrycode</t>
  </si>
  <si>
    <t>29</t>
  </si>
  <si>
    <t>nationality</t>
  </si>
  <si>
    <t>Nationality code</t>
  </si>
  <si>
    <t>when citizen_id start with 0,6,7 it should be NON (reference in master data)</t>
  </si>
  <si>
    <t>30</t>
  </si>
  <si>
    <t>mobile_phone</t>
  </si>
  <si>
    <t>Mobile phone number.</t>
  </si>
  <si>
    <t>968878113</t>
  </si>
  <si>
    <t>เบอร์หลัก</t>
  </si>
  <si>
    <t>mobilephone</t>
  </si>
  <si>
    <t>31</t>
  </si>
  <si>
    <t>mobile_phone2</t>
  </si>
  <si>
    <t>Mobile phone number 2.</t>
  </si>
  <si>
    <t>เบอร์รอง</t>
  </si>
  <si>
    <t>32</t>
  </si>
  <si>
    <t>email</t>
  </si>
  <si>
    <t>varchar(60)</t>
  </si>
  <si>
    <t>Email.</t>
  </si>
  <si>
    <r>
      <rPr>
        <u/>
        <sz val="12"/>
        <color rgb="FF1155CC"/>
        <rFont val="Calibri Light"/>
        <scheme val="major"/>
      </rPr>
      <t>mongkol@thailife.com</t>
    </r>
  </si>
  <si>
    <t>Before '@' : 30 Char
After '@' : 29 Char (รวม @ ด้วยเป็น 30 Char)</t>
  </si>
  <si>
    <t>33</t>
  </si>
  <si>
    <t>line_id</t>
  </si>
  <si>
    <t>Line id.</t>
  </si>
  <si>
    <t>34</t>
  </si>
  <si>
    <t>link_facebook</t>
  </si>
  <si>
    <t>Link Facebook.</t>
  </si>
  <si>
    <t>35</t>
  </si>
  <si>
    <t>telephone</t>
  </si>
  <si>
    <t>varchar(25)</t>
  </si>
  <si>
    <t>Telephone no.</t>
  </si>
  <si>
    <t>36</t>
  </si>
  <si>
    <t>fax</t>
  </si>
  <si>
    <t>Fax number.</t>
  </si>
  <si>
    <t>37</t>
  </si>
  <si>
    <t>occupation</t>
  </si>
  <si>
    <t>Main occupation code. (รหัสอาชีพ)</t>
  </si>
  <si>
    <r>
      <rPr>
        <u/>
        <sz val="12"/>
        <color rgb="FF1155CC"/>
        <rFont val="Calibri Light"/>
        <scheme val="major"/>
      </rPr>
      <t>occupation Table</t>
    </r>
    <r>
      <rPr>
        <sz val="12"/>
        <rFont val="Calibri Light"/>
        <scheme val="major"/>
      </rPr>
      <t xml:space="preserve"> (code)</t>
    </r>
  </si>
  <si>
    <t>50</t>
  </si>
  <si>
    <t>38</t>
  </si>
  <si>
    <t>occ_detail</t>
  </si>
  <si>
    <t>Main occupation description. (ชื่ออาชีพ)</t>
  </si>
  <si>
    <r>
      <rPr>
        <u/>
        <sz val="12"/>
        <color rgb="FF1155CC"/>
        <rFont val="Calibri Light"/>
        <scheme val="major"/>
      </rPr>
      <t>occupation Table</t>
    </r>
    <r>
      <rPr>
        <sz val="12"/>
        <rFont val="Calibri Light"/>
        <scheme val="major"/>
      </rPr>
      <t xml:space="preserve"> (name)</t>
    </r>
  </si>
  <si>
    <t>ค้าขายของชำ</t>
  </si>
  <si>
    <t>39</t>
  </si>
  <si>
    <t>occupation_business</t>
  </si>
  <si>
    <t>Main occupation business type. (รหัสลักษณะงาน)</t>
  </si>
  <si>
    <r>
      <rPr>
        <u/>
        <sz val="12"/>
        <color rgb="FF1155CC"/>
        <rFont val="Calibri Light"/>
        <scheme val="major"/>
      </rPr>
      <t>occupation_level Table</t>
    </r>
    <r>
      <rPr>
        <sz val="12"/>
        <rFont val="Calibri Light"/>
        <scheme val="major"/>
      </rPr>
      <t xml:space="preserve"> (business_code)</t>
    </r>
  </si>
  <si>
    <t>occupationbusiness</t>
  </si>
  <si>
    <t>40</t>
  </si>
  <si>
    <t>occ_bus_value</t>
  </si>
  <si>
    <t>Main occupation business description. (ลักษณะอาชีพ)</t>
  </si>
  <si>
    <r>
      <rPr>
        <u/>
        <sz val="12"/>
        <color rgb="FF1155CC"/>
        <rFont val="Calibri Light"/>
        <scheme val="major"/>
      </rPr>
      <t>occupation_level Table</t>
    </r>
    <r>
      <rPr>
        <sz val="12"/>
        <rFont val="Calibri Light"/>
        <scheme val="major"/>
      </rPr>
      <t xml:space="preserve"> (business_name)</t>
    </r>
  </si>
  <si>
    <t>เจ้าของร้าน</t>
  </si>
  <si>
    <t>occbusvalue</t>
  </si>
  <si>
    <t>41</t>
  </si>
  <si>
    <t>occupation_type</t>
  </si>
  <si>
    <t>Main occupation class. (ขั้นอาชีพ)</t>
  </si>
  <si>
    <r>
      <rPr>
        <u/>
        <sz val="12"/>
        <color rgb="FF1155CC"/>
        <rFont val="Calibri Light"/>
        <scheme val="major"/>
      </rPr>
      <t>occupation_level Table</t>
    </r>
    <r>
      <rPr>
        <sz val="12"/>
        <rFont val="Calibri Light"/>
        <scheme val="major"/>
      </rPr>
      <t xml:space="preserve"> (type)</t>
    </r>
  </si>
  <si>
    <t>occupationtype</t>
  </si>
  <si>
    <t>42</t>
  </si>
  <si>
    <t>position</t>
  </si>
  <si>
    <t>Main occupation position. (ตำแหน่ง)</t>
  </si>
  <si>
    <t>ผู้จัดการ</t>
  </si>
  <si>
    <t>43</t>
  </si>
  <si>
    <t>job_description</t>
  </si>
  <si>
    <t>Main job description.</t>
  </si>
  <si>
    <t>เจ้าของธุรกิจ</t>
  </si>
  <si>
    <t>*ปรับ length varchar(20) -&gt; varchar(200)</t>
  </si>
  <si>
    <t>44</t>
  </si>
  <si>
    <t>salary</t>
  </si>
  <si>
    <t>decimal(10,2)</t>
  </si>
  <si>
    <t>Main salary per year.</t>
  </si>
  <si>
    <t>100000</t>
  </si>
  <si>
    <t>*ปรับ type decimal(10,2) -&gt; varchar(100)</t>
  </si>
  <si>
    <t>45</t>
  </si>
  <si>
    <t>code_occ_to_uw</t>
  </si>
  <si>
    <t>Main occupation UW code. (รหัสอาชีพ Pre-UW)</t>
  </si>
  <si>
    <r>
      <rPr>
        <u/>
        <sz val="12"/>
        <color rgb="FF1155CC"/>
        <rFont val="Calibri Light"/>
        <scheme val="major"/>
      </rPr>
      <t>occupation_level Table</t>
    </r>
    <r>
      <rPr>
        <sz val="12"/>
        <rFont val="Calibri Light"/>
        <scheme val="major"/>
      </rPr>
      <t xml:space="preserve"> (underwrite_code)</t>
    </r>
  </si>
  <si>
    <t>codeocctouw</t>
  </si>
  <si>
    <t>46</t>
  </si>
  <si>
    <t>occupation_reserve</t>
  </si>
  <si>
    <t>Reserve occupation code. (รหัสอาชีพรอง)</t>
  </si>
  <si>
    <t>occupationreserve</t>
  </si>
  <si>
    <t>47</t>
  </si>
  <si>
    <t>occ_detail_reserve</t>
  </si>
  <si>
    <t>Reserve occupation business description. (ชื่ออาชีพรอง)</t>
  </si>
  <si>
    <t>48</t>
  </si>
  <si>
    <t>occupation_business_reserve</t>
  </si>
  <si>
    <t>Reserve occupation business type. (รหัสลักษณะอาชีพรอง).</t>
  </si>
  <si>
    <t>occupationbusinessreserve</t>
  </si>
  <si>
    <t>49</t>
  </si>
  <si>
    <t>occ_bus_value_reserve</t>
  </si>
  <si>
    <t>Reserve occupation business description. (ลักษณะอาชีพรอง)</t>
  </si>
  <si>
    <t>occbusvaluereserve</t>
  </si>
  <si>
    <t>occupation_type_reserve</t>
  </si>
  <si>
    <t>Reserve occupation class. (ขั้นอาชีพรอง)</t>
  </si>
  <si>
    <t>51</t>
  </si>
  <si>
    <t>salary_reserve</t>
  </si>
  <si>
    <t>Reserve salary per year.</t>
  </si>
  <si>
    <t>52</t>
  </si>
  <si>
    <t>position_reserve</t>
  </si>
  <si>
    <t>Reserve occupation position. (ตำแหน่งอาชีพรอง)</t>
  </si>
  <si>
    <t>53</t>
  </si>
  <si>
    <t>job_description_reserve</t>
  </si>
  <si>
    <t>Reserve job description.</t>
  </si>
  <si>
    <t>54</t>
  </si>
  <si>
    <t>code_occ_to_uw_reserve</t>
  </si>
  <si>
    <t>Reserve occupation UW code. (รหัสอาชีพรอง Pre-UW)</t>
  </si>
  <si>
    <t xml:space="preserve">Prospect List &amp; Profile </t>
  </si>
  <si>
    <t>DELETE /ms-sales/v1/prospects/{prospectId}/additional
GET /ms-sales/v1/prospects/{prospectId}/profile
PUT /ms-sales/v1/prospects/{prospectId}/additional</t>
  </si>
  <si>
    <t>codeocctouwreserve</t>
  </si>
  <si>
    <t>55</t>
  </si>
  <si>
    <t>call_date</t>
  </si>
  <si>
    <t>Call back date.</t>
  </si>
  <si>
    <t>2025-04-01</t>
  </si>
  <si>
    <t>56</t>
  </si>
  <si>
    <t>call_date_not_specified</t>
  </si>
  <si>
    <t>Call back date not specified</t>
  </si>
  <si>
    <t>D = day is not specified
M = month is not specified
Y = year is not specified
DM = day and month are not specified
DY = day and year are not specified
MY = month and year are not specified
{null} = user specified all information</t>
  </si>
  <si>
    <t>57</t>
  </si>
  <si>
    <t>call_start_time</t>
  </si>
  <si>
    <t>time</t>
  </si>
  <si>
    <t>Call back start time.</t>
  </si>
  <si>
    <t>12.5</t>
  </si>
  <si>
    <t>58</t>
  </si>
  <si>
    <t>call_end_time</t>
  </si>
  <si>
    <t>Call back end time.</t>
  </si>
  <si>
    <t>13.3</t>
  </si>
  <si>
    <t>migrate from TLI-Proplus not used in TLSmart 
** no input in S1</t>
  </si>
  <si>
    <t>59</t>
  </si>
  <si>
    <t>call_remark</t>
  </si>
  <si>
    <t>varchar(200)</t>
  </si>
  <si>
    <t>Call back remark.</t>
  </si>
  <si>
    <t>60</t>
  </si>
  <si>
    <t>relation_type</t>
  </si>
  <si>
    <t>Relation type.</t>
  </si>
  <si>
    <r>
      <rPr>
        <u/>
        <sz val="12"/>
        <color rgb="FF1155CC"/>
        <rFont val="Calibri Light"/>
        <scheme val="major"/>
      </rPr>
      <t>relation Table</t>
    </r>
    <r>
      <rPr>
        <sz val="12"/>
        <rFont val="Calibri Light"/>
        <scheme val="major"/>
      </rPr>
      <t xml:space="preserve"> (code)</t>
    </r>
  </si>
  <si>
    <t>61</t>
  </si>
  <si>
    <t>first_name_parent</t>
  </si>
  <si>
    <t>Parent first name.</t>
  </si>
  <si>
    <t>วิภา</t>
  </si>
  <si>
    <t>62</t>
  </si>
  <si>
    <t>last_name_parent</t>
  </si>
  <si>
    <t>Parent last name.</t>
  </si>
  <si>
    <t>63</t>
  </si>
  <si>
    <t>flag_draft_yn</t>
  </si>
  <si>
    <t>Draft flag.</t>
  </si>
  <si>
    <t>-Y
- N</t>
  </si>
  <si>
    <t>64</t>
  </si>
  <si>
    <t>remark</t>
  </si>
  <si>
    <t>Remark.</t>
  </si>
  <si>
    <t>65</t>
  </si>
  <si>
    <t>calendar_option</t>
  </si>
  <si>
    <t>Calendar option.</t>
  </si>
  <si>
    <t>- DMY
- MY
- YY</t>
  </si>
  <si>
    <t>66</t>
  </si>
  <si>
    <t>create_time</t>
  </si>
  <si>
    <t>The timestamp when this record was created.</t>
  </si>
  <si>
    <t>Stored in UTC + 7. 
Defaults to the current timestamp at the time of insertion.</t>
  </si>
  <si>
    <t>createdatetime</t>
  </si>
  <si>
    <t>Filter condition:
createdatetime &gt;= NOW() - INTERVAL '3 years'</t>
  </si>
  <si>
    <t>67</t>
  </si>
  <si>
    <t>create_user_code</t>
  </si>
  <si>
    <t>The usercode who was created this record</t>
  </si>
  <si>
    <t>2901215</t>
  </si>
  <si>
    <t>68</t>
  </si>
  <si>
    <t>last_update</t>
  </si>
  <si>
    <t>The timestamp when this record was last updated.</t>
  </si>
  <si>
    <t>2024-05-22 17:00:00+07</t>
  </si>
  <si>
    <t>Stored in UTC + 7.
Automatically updated to the current timestamp whenever the record is updated.</t>
  </si>
  <si>
    <t>Fixed :
NOW()</t>
  </si>
  <si>
    <t>69</t>
  </si>
  <si>
    <t>update_user_code</t>
  </si>
  <si>
    <t>The usercode who was updated this record</t>
  </si>
  <si>
    <t>Fixed :
SYSTEM</t>
  </si>
  <si>
    <t>70</t>
  </si>
  <si>
    <t>delete_time</t>
  </si>
  <si>
    <t>The timestamp when this record was deleted.</t>
  </si>
  <si>
    <t>NULL</t>
  </si>
  <si>
    <t>71</t>
  </si>
  <si>
    <t>delete_user_code</t>
  </si>
  <si>
    <t>The usercode who was delete this record</t>
  </si>
  <si>
    <t>prospect_id</t>
  </si>
  <si>
    <t>Prospect id (Customer id).</t>
  </si>
  <si>
    <r>
      <rPr>
        <u/>
        <sz val="12"/>
        <color rgb="FF1155CC"/>
        <rFont val="Arial"/>
        <scheme val="minor"/>
      </rPr>
      <t>prospect Table</t>
    </r>
    <r>
      <rPr>
        <sz val="12"/>
        <rFont val="Arial"/>
        <scheme val="minor"/>
      </rPr>
      <t xml:space="preserve"> (id)</t>
    </r>
  </si>
  <si>
    <t>address_type</t>
  </si>
  <si>
    <t>varchar(1)</t>
  </si>
  <si>
    <t>Type of address</t>
  </si>
  <si>
    <t>P
C
W</t>
  </si>
  <si>
    <t>address type are prioritize by
P &gt; C &gt; W
P = House registration.
C = Current address.
W = Work address.</t>
  </si>
  <si>
    <t>same_address_type</t>
  </si>
  <si>
    <t>Type of address which refer to</t>
  </si>
  <si>
    <r>
      <rPr>
        <u/>
        <sz val="12"/>
        <color rgb="FF1155CC"/>
        <rFont val="Arial"/>
        <scheme val="minor"/>
      </rPr>
      <t>prospect_address Table</t>
    </r>
    <r>
      <rPr>
        <sz val="12"/>
        <rFont val="Arial"/>
        <scheme val="minor"/>
      </rPr>
      <t xml:space="preserve"> 
(id)</t>
    </r>
  </si>
  <si>
    <t>when user select reference address to other address this value will store other prospect_id
when user fill new address data this value should store NULL</t>
  </si>
  <si>
    <t>is_prefer_contact</t>
  </si>
  <si>
    <t>Represent if user prefer this address to be used for main contact or delivery document</t>
  </si>
  <si>
    <t>when this field was true, system need to select this address to be used for main contact</t>
  </si>
  <si>
    <t>address_no</t>
  </si>
  <si>
    <t>Address no.</t>
  </si>
  <si>
    <t>288</t>
  </si>
  <si>
    <t>work_place</t>
  </si>
  <si>
    <t>Work place name.</t>
  </si>
  <si>
    <t>When address_type = W this field should fill data</t>
  </si>
  <si>
    <t>moo</t>
  </si>
  <si>
    <t>Moo</t>
  </si>
  <si>
    <t>village</t>
  </si>
  <si>
    <t>Village name.</t>
  </si>
  <si>
    <t>Lumpini park</t>
  </si>
  <si>
    <t>building_name</t>
  </si>
  <si>
    <t>Building name.</t>
  </si>
  <si>
    <t>floor</t>
  </si>
  <si>
    <t>Floor.</t>
  </si>
  <si>
    <t>room</t>
  </si>
  <si>
    <t>Room number.</t>
  </si>
  <si>
    <t>204</t>
  </si>
  <si>
    <t>alley</t>
  </si>
  <si>
    <t>Alley.</t>
  </si>
  <si>
    <t>soi</t>
  </si>
  <si>
    <t>Soi.</t>
  </si>
  <si>
    <t>เทียมรวมมิตร 7</t>
  </si>
  <si>
    <t>road</t>
  </si>
  <si>
    <t>Road.</t>
  </si>
  <si>
    <t>เทียนรวมมิตร</t>
  </si>
  <si>
    <t>subdistrict</t>
  </si>
  <si>
    <t>Sub district code.</t>
  </si>
  <si>
    <t>5984</t>
  </si>
  <si>
    <t>district</t>
  </si>
  <si>
    <t>District code.</t>
  </si>
  <si>
    <t>725</t>
  </si>
  <si>
    <t>province</t>
  </si>
  <si>
    <t>Province code.</t>
  </si>
  <si>
    <t>สท</t>
  </si>
  <si>
    <t>postcode</t>
  </si>
  <si>
    <t>Post code.</t>
  </si>
  <si>
    <t>10250</t>
  </si>
  <si>
    <t>geolocation</t>
  </si>
  <si>
    <t>Geo location.</t>
  </si>
  <si>
    <t>pdpa_uuid</t>
  </si>
  <si>
    <t>UUID of link PDPA.</t>
  </si>
  <si>
    <r>
      <rPr>
        <sz val="12"/>
        <rFont val="Arial"/>
      </rPr>
      <t xml:space="preserve">this uuid value is result from calling </t>
    </r>
    <r>
      <rPr>
        <u/>
        <sz val="12"/>
        <color rgb="FF1155CC"/>
        <rFont val="Arial"/>
      </rPr>
      <t>[PDPA-01] - generateUUID</t>
    </r>
    <r>
      <rPr>
        <sz val="12"/>
        <rFont val="Arial"/>
      </rPr>
      <t xml:space="preserve"> 
which act as primary key in this table</t>
    </r>
  </si>
  <si>
    <t>Prospect id (Customer id)</t>
  </si>
  <si>
    <t>FK</t>
  </si>
  <si>
    <t>application_id</t>
  </si>
  <si>
    <t>int</t>
  </si>
  <si>
    <t>Application ID</t>
  </si>
  <si>
    <r>
      <rPr>
        <u/>
        <sz val="12"/>
        <color rgb="FF1155CC"/>
        <rFont val="Arial"/>
        <scheme val="minor"/>
      </rPr>
      <t>application Table</t>
    </r>
    <r>
      <rPr>
        <sz val="12"/>
        <rFont val="Arial"/>
        <scheme val="minor"/>
      </rPr>
      <t xml:space="preserve"> (id)</t>
    </r>
  </si>
  <si>
    <t>99</t>
  </si>
  <si>
    <t>mobile_no</t>
  </si>
  <si>
    <t>Insured mobile number at application step.</t>
  </si>
  <si>
    <r>
      <rPr>
        <u/>
        <sz val="12"/>
        <color rgb="FF1155CC"/>
        <rFont val="Arial"/>
      </rPr>
      <t>application_insured Table</t>
    </r>
    <r>
      <rPr>
        <sz val="12"/>
        <rFont val="Arial"/>
      </rPr>
      <t xml:space="preserve"> (tel_no)</t>
    </r>
  </si>
  <si>
    <t>consent_type</t>
  </si>
  <si>
    <t>Consent type</t>
  </si>
  <si>
    <t>- P
- C</t>
  </si>
  <si>
    <t>P= Lead Sales
C = Customer</t>
  </si>
  <si>
    <t>pdpa_link</t>
  </si>
  <si>
    <t>varchar(255)</t>
  </si>
  <si>
    <t>PDPA webview link.</t>
  </si>
  <si>
    <r>
      <rPr>
        <u/>
        <sz val="12"/>
        <color rgb="FF1155CC"/>
        <rFont val="Arial"/>
        <scheme val="minor"/>
      </rPr>
      <t>https://dev-customer-service.thailife.com/cst-consent/0192ebba-6597-7655-9d5e-65d6bf3237b2</t>
    </r>
  </si>
  <si>
    <t>pdpa_expired</t>
  </si>
  <si>
    <t>datetime</t>
  </si>
  <si>
    <t>PDPA generate link expired</t>
  </si>
  <si>
    <t>request_countdown</t>
  </si>
  <si>
    <t>Date time for block new PDPA request action and disable button action in client</t>
  </si>
  <si>
    <t>2024-05-20 15:00:00+07</t>
  </si>
  <si>
    <t>now + 2 minute</t>
  </si>
  <si>
    <t>when user already generated PDPA it should block new request until reach this countdown time</t>
  </si>
  <si>
    <t>pdpa_result</t>
  </si>
  <si>
    <t>PDPA result.</t>
  </si>
  <si>
    <t>N</t>
  </si>
  <si>
    <t>- Y
- N</t>
  </si>
  <si>
    <t>Y = accept PDPA.
N = Not accept PDPA.</t>
  </si>
  <si>
    <t>alfresco path : application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</si>
  <si>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* </t>
    </r>
    <r>
      <rPr>
        <b/>
        <sz val="11"/>
        <color rgb="FF000000"/>
        <rFont val="Calibri"/>
        <scheme val="minor"/>
      </rPr>
      <t>from</t>
    </r>
    <r>
      <rPr>
        <sz val="11"/>
        <color rgb="FF000000"/>
        <rFont val="Calibri"/>
        <scheme val="minor"/>
      </rPr>
      <t xml:space="preserve"> attachfile </t>
    </r>
    <r>
      <rPr>
        <i/>
        <sz val="11"/>
        <color rgb="FF000000"/>
        <rFont val="Calibri"/>
        <scheme val="minor"/>
      </rPr>
      <t>a</t>
    </r>
    <r>
      <rPr>
        <sz val="11"/>
        <color rgb="FF000000"/>
        <rFont val="Calibri"/>
        <scheme val="minor"/>
      </rPr>
      <t xml:space="preserve"> 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</t>
    </r>
    <r>
      <rPr>
        <i/>
        <sz val="11"/>
        <color rgb="FF000000"/>
        <rFont val="Calibri"/>
        <scheme val="minor"/>
      </rPr>
      <t>a</t>
    </r>
    <r>
      <rPr>
        <sz val="11"/>
        <color rgb="FF000000"/>
        <rFont val="Calibri"/>
        <scheme val="minor"/>
      </rPr>
      <t>.</t>
    </r>
    <r>
      <rPr>
        <sz val="11"/>
        <color rgb="FF37797B"/>
        <rFont val="Calibri"/>
        <scheme val="minor"/>
      </rPr>
      <t>attribute01</t>
    </r>
    <r>
      <rPr>
        <sz val="11"/>
        <color rgb="FF000000"/>
        <rFont val="Calibri"/>
        <scheme val="minor"/>
      </rPr>
      <t xml:space="preserve"> = 'applicationpdf' </t>
    </r>
    <r>
      <rPr>
        <b/>
        <sz val="11"/>
        <color rgb="FF000000"/>
        <rFont val="Calibri"/>
        <scheme val="minor"/>
      </rPr>
      <t>and</t>
    </r>
    <r>
      <rPr>
        <sz val="11"/>
        <color rgb="FF000000"/>
        <rFont val="Calibri"/>
        <scheme val="minor"/>
      </rPr>
      <t xml:space="preserve"> </t>
    </r>
    <r>
      <rPr>
        <i/>
        <sz val="11"/>
        <color rgb="FF000000"/>
        <rFont val="Calibri"/>
        <scheme val="minor"/>
      </rPr>
      <t>a</t>
    </r>
    <r>
      <rPr>
        <sz val="11"/>
        <color rgb="FF000000"/>
        <rFont val="Calibri"/>
        <scheme val="minor"/>
      </rPr>
      <t>.</t>
    </r>
    <r>
      <rPr>
        <sz val="11"/>
        <color rgb="FF37797B"/>
        <rFont val="Calibri"/>
        <scheme val="minor"/>
      </rPr>
      <t>filetype</t>
    </r>
    <r>
      <rPr>
        <sz val="11"/>
        <color rgb="FF000000"/>
        <rFont val="Calibri"/>
        <scheme val="minor"/>
      </rPr>
      <t xml:space="preserve"> = 'pdf' </t>
    </r>
    <r>
      <rPr>
        <b/>
        <sz val="11"/>
        <color rgb="FF000000"/>
        <rFont val="Calibri"/>
        <scheme val="minor"/>
      </rPr>
      <t>and</t>
    </r>
    <r>
      <rPr>
        <sz val="11"/>
        <color rgb="FF000000"/>
        <rFont val="Calibri"/>
        <scheme val="minor"/>
      </rPr>
      <t xml:space="preserve"> </t>
    </r>
    <r>
      <rPr>
        <i/>
        <sz val="11"/>
        <color rgb="FF000000"/>
        <rFont val="Calibri"/>
        <scheme val="minor"/>
      </rPr>
      <t>a</t>
    </r>
    <r>
      <rPr>
        <sz val="11"/>
        <color rgb="FF000000"/>
        <rFont val="Calibri"/>
        <scheme val="minor"/>
      </rPr>
      <t>.</t>
    </r>
    <r>
      <rPr>
        <sz val="11"/>
        <color rgb="FF37797B"/>
        <rFont val="Calibri"/>
        <scheme val="minor"/>
      </rPr>
      <t>attribute03</t>
    </r>
    <r>
      <rPr>
        <sz val="11"/>
        <color rgb="FF000000"/>
        <rFont val="Calibri"/>
        <scheme val="minor"/>
      </rPr>
      <t xml:space="preserve"> = 'sendToBranch'</t>
    </r>
  </si>
  <si>
    <t>alfresco path : quotation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</si>
  <si>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* </t>
    </r>
    <r>
      <rPr>
        <b/>
        <sz val="11"/>
        <color rgb="FF000000"/>
        <rFont val="Calibri"/>
        <scheme val="minor"/>
      </rPr>
      <t>FROM</t>
    </r>
    <r>
      <rPr>
        <sz val="11"/>
        <color rgb="FF000000"/>
        <rFont val="Calibri"/>
        <scheme val="minor"/>
      </rPr>
      <t xml:space="preserve"> quotation </t>
    </r>
    <r>
      <rPr>
        <i/>
        <sz val="11"/>
        <color rgb="FF000000"/>
        <rFont val="Calibri"/>
        <scheme val="minor"/>
      </rPr>
      <t>q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</t>
    </r>
    <r>
      <rPr>
        <i/>
        <sz val="11"/>
        <color rgb="FF000000"/>
        <rFont val="Calibri"/>
        <scheme val="minor"/>
      </rPr>
      <t>q</t>
    </r>
    <r>
      <rPr>
        <sz val="11"/>
        <color rgb="FF000000"/>
        <rFont val="Calibri"/>
        <scheme val="minor"/>
      </rPr>
      <t>.</t>
    </r>
    <r>
      <rPr>
        <sz val="11"/>
        <color rgb="FF37797B"/>
        <rFont val="Calibri"/>
        <scheme val="minor"/>
      </rPr>
      <t>status</t>
    </r>
    <r>
      <rPr>
        <sz val="11"/>
        <color rgb="FF000000"/>
        <rFont val="Calibri"/>
        <scheme val="minor"/>
      </rPr>
      <t xml:space="preserve"> = 'S'</t>
    </r>
  </si>
  <si>
    <r>
      <rPr>
        <b/>
        <sz val="11"/>
        <color rgb="FF000000"/>
        <rFont val="Calibri"/>
        <scheme val="minor"/>
      </rPr>
      <t>INSERT</t>
    </r>
    <r>
      <rPr>
        <sz val="11"/>
        <color rgb="FF000000"/>
        <rFont val="Calibri"/>
        <scheme val="minor"/>
      </rPr>
      <t xml:space="preserve"> </t>
    </r>
    <r>
      <rPr>
        <b/>
        <sz val="11"/>
        <color rgb="FF000000"/>
        <rFont val="Calibri"/>
        <scheme val="minor"/>
      </rPr>
      <t>INTO</t>
    </r>
    <r>
      <rPr>
        <sz val="11"/>
        <color rgb="FF000000"/>
        <rFont val="Calibri"/>
        <scheme val="minor"/>
      </rPr>
      <t xml:space="preserve"> asa_sale.prospect</t>
    </r>
  </si>
  <si>
    <t>(id, agent_id, status, customer_type, consent_status, consent_date, "source"</t>
  </si>
  <si>
    <t>, progress_last_update, date_not_specified, pre_name, pre_name_code, pre_name_other</t>
  </si>
  <si>
    <r>
      <t xml:space="preserve">, first_name, last_name, birth_date, gender, identify_type, weight, </t>
    </r>
    <r>
      <rPr>
        <b/>
        <sz val="11"/>
        <color theme="1"/>
        <rFont val="Calibri"/>
        <family val="2"/>
        <scheme val="minor"/>
      </rPr>
      <t>height</t>
    </r>
    <r>
      <rPr>
        <sz val="11"/>
        <color theme="1"/>
        <rFont val="Calibri"/>
        <family val="2"/>
        <scheme val="minor"/>
      </rPr>
      <t>, marital_status</t>
    </r>
  </si>
  <si>
    <t>, first_name_old, last_name_old, citizen_id, identify_expire_date, is_no_identify_expire_date</t>
  </si>
  <si>
    <t>, identify_type_other, identify_type_other_text, passport, country_code, nationality, mobile_phone</t>
  </si>
  <si>
    <t>, mobile_phone2, email, line_id, link_facebook, telephone, fax, occupation, occ_detail</t>
  </si>
  <si>
    <t>, occupation_business, occ_bus_value, occupation_type, "position", job_description, salary</t>
  </si>
  <si>
    <t>, code_occ_to_uw, occupation_reserve, occ_detail_reserve, occupation_business_reserve</t>
  </si>
  <si>
    <t>, occ_bus_value_reserve, occupation_type_reserve, salary_reserve, position_reserve, job_description_reserve</t>
  </si>
  <si>
    <t>, code_occ_to_uw_reserve, call_date, call_start_time, call_end_time, call_remark, relation_type, first_name_parent</t>
  </si>
  <si>
    <t>, last_name_parent, flag_draft_yn, remark, calendar_option, create_time, create_user_code, last_update, update_user_code</t>
  </si>
  <si>
    <t>, delete_time, delete_user_code, call_date_not_specified)</t>
  </si>
  <si>
    <r>
      <t>VALUES</t>
    </r>
    <r>
      <rPr>
        <sz val="11"/>
        <color theme="1"/>
        <rFont val="Calibri"/>
        <family val="2"/>
        <scheme val="minor"/>
      </rPr>
      <t xml:space="preserve">('99999999-1111-1111-1111-439e888d4800', '0000000104',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'P', 'A',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>, 'TLPRO', '2026-04-21 09:30:24.539'</t>
    </r>
  </si>
  <si>
    <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'นาย', '000001',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'ขขข', 'โปรเก่า', '1995-11-19 00:00:00.000', 'M',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</si>
  <si>
    <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'0891111111',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</si>
  <si>
    <r>
      <t xml:space="preserve">, '01', 'กรรมกร', '01', 'ก่อสร้างทั่วไป', '3',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'01',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</si>
  <si>
    <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>, '2026-04-21 09:30:24.539'</t>
    </r>
  </si>
  <si>
    <r>
      <t xml:space="preserve">, '0000000104', '2026-04-21 03:00:49.955', '0000000104',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, '',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>);</t>
    </r>
  </si>
  <si>
    <t>INSERT INTO asa_sale.prospect</t>
  </si>
  <si>
    <t>## TLPro.prospect table</t>
  </si>
  <si>
    <t>(</t>
  </si>
  <si>
    <t>VALUES(</t>
  </si>
  <si>
    <t xml:space="preserve">    id, </t>
  </si>
  <si>
    <t xml:space="preserve">    '99999999-1111-1111-1111-439e888d4800', </t>
  </si>
  <si>
    <t xml:space="preserve">    agent_id, </t>
  </si>
  <si>
    <t xml:space="preserve">    '0000000104', </t>
  </si>
  <si>
    <t xml:space="preserve">    status, </t>
  </si>
  <si>
    <t xml:space="preserve">    NULL, </t>
  </si>
  <si>
    <t xml:space="preserve">    customer_type, </t>
  </si>
  <si>
    <t xml:space="preserve">    'P', </t>
  </si>
  <si>
    <t xml:space="preserve">    consent_status, </t>
  </si>
  <si>
    <t xml:space="preserve">    'A', </t>
  </si>
  <si>
    <t xml:space="preserve">    consent_date, </t>
  </si>
  <si>
    <t xml:space="preserve">    "source",</t>
  </si>
  <si>
    <t xml:space="preserve">    'TLPRO', </t>
  </si>
  <si>
    <t>sources</t>
  </si>
  <si>
    <t xml:space="preserve">    progress_last_update, </t>
  </si>
  <si>
    <t xml:space="preserve">    '2026-04-21 09:30:24.539',</t>
  </si>
  <si>
    <t xml:space="preserve">    date_not_specified, </t>
  </si>
  <si>
    <t xml:space="preserve">    pre_name, </t>
  </si>
  <si>
    <t xml:space="preserve">    'นาย', </t>
  </si>
  <si>
    <t xml:space="preserve">    pre_name_code, </t>
  </si>
  <si>
    <t xml:space="preserve">    '000001', </t>
  </si>
  <si>
    <t xml:space="preserve">    pre_name_other,</t>
  </si>
  <si>
    <t xml:space="preserve">    first_name, </t>
  </si>
  <si>
    <t xml:space="preserve">    'ขขข', </t>
  </si>
  <si>
    <t xml:space="preserve">    last_name, </t>
  </si>
  <si>
    <t xml:space="preserve">    'โปรเก่า', </t>
  </si>
  <si>
    <t xml:space="preserve">    birth_date, </t>
  </si>
  <si>
    <t xml:space="preserve">    '1995-11-19 00:00:00.000', </t>
  </si>
  <si>
    <t xml:space="preserve">    gender, </t>
  </si>
  <si>
    <t xml:space="preserve">    'M', </t>
  </si>
  <si>
    <t xml:space="preserve">    identify_type, </t>
  </si>
  <si>
    <t xml:space="preserve">    weight, </t>
  </si>
  <si>
    <t xml:space="preserve">    height, </t>
  </si>
  <si>
    <t xml:space="preserve">    marital_status,</t>
  </si>
  <si>
    <t xml:space="preserve">    first_name_old, </t>
  </si>
  <si>
    <t xml:space="preserve">    last_name_old, </t>
  </si>
  <si>
    <t xml:space="preserve">    null,</t>
  </si>
  <si>
    <t xml:space="preserve">    citizen_id, </t>
  </si>
  <si>
    <t xml:space="preserve">    identify_expire_date, </t>
  </si>
  <si>
    <t xml:space="preserve">    is_no_identify_expire_date,</t>
  </si>
  <si>
    <t xml:space="preserve">    identify_type_other, </t>
  </si>
  <si>
    <t xml:space="preserve">    identify_type_other_text, </t>
  </si>
  <si>
    <t xml:space="preserve">    passport, </t>
  </si>
  <si>
    <t xml:space="preserve">    country_code, </t>
  </si>
  <si>
    <t xml:space="preserve">    nationality, </t>
  </si>
  <si>
    <t xml:space="preserve">    mobile_phone,</t>
  </si>
  <si>
    <t xml:space="preserve">    '0891111111', </t>
  </si>
  <si>
    <t xml:space="preserve">    mobile_phone2, </t>
  </si>
  <si>
    <t xml:space="preserve">    email, </t>
  </si>
  <si>
    <t xml:space="preserve">    line_id, </t>
  </si>
  <si>
    <t xml:space="preserve">    link_facebook, </t>
  </si>
  <si>
    <t xml:space="preserve">    telephone, </t>
  </si>
  <si>
    <t xml:space="preserve">    fax, </t>
  </si>
  <si>
    <t xml:space="preserve">    occupation, </t>
  </si>
  <si>
    <t xml:space="preserve">    '01', </t>
  </si>
  <si>
    <t xml:space="preserve">    occ_detail,</t>
  </si>
  <si>
    <t xml:space="preserve">    'กรรมกร', </t>
  </si>
  <si>
    <t xml:space="preserve">    occupation_business, </t>
  </si>
  <si>
    <t xml:space="preserve">    occ_bus_value, </t>
  </si>
  <si>
    <t xml:space="preserve">    'ก่อสร้างทั่วไป', </t>
  </si>
  <si>
    <t xml:space="preserve">    occupation_type, </t>
  </si>
  <si>
    <t xml:space="preserve">    '3', </t>
  </si>
  <si>
    <t xml:space="preserve">    "position", </t>
  </si>
  <si>
    <t xml:space="preserve">    job_description, </t>
  </si>
  <si>
    <t xml:space="preserve">    salary,</t>
  </si>
  <si>
    <t xml:space="preserve">    code_occ_to_uw, </t>
  </si>
  <si>
    <t xml:space="preserve">    occupation_reserve, </t>
  </si>
  <si>
    <t xml:space="preserve">    occ_detail_reserve, </t>
  </si>
  <si>
    <t xml:space="preserve">    occupation_business_reserve,</t>
  </si>
  <si>
    <t xml:space="preserve">    occ_bus_value_reserve, </t>
  </si>
  <si>
    <t xml:space="preserve">    occupation_type_reserve, </t>
  </si>
  <si>
    <t xml:space="preserve">    salary_reserve, </t>
  </si>
  <si>
    <t xml:space="preserve">    position_reserve, </t>
  </si>
  <si>
    <t xml:space="preserve">    job_description_reserve, </t>
  </si>
  <si>
    <t xml:space="preserve">    code_occ_to_uw_reserve, </t>
  </si>
  <si>
    <t xml:space="preserve">    call_date, </t>
  </si>
  <si>
    <t xml:space="preserve">    call_start_time, </t>
  </si>
  <si>
    <t xml:space="preserve">    call_end_time, </t>
  </si>
  <si>
    <t xml:space="preserve">    call_remark, </t>
  </si>
  <si>
    <t xml:space="preserve">    relation_type, </t>
  </si>
  <si>
    <t xml:space="preserve">    first_name_parent, </t>
  </si>
  <si>
    <t xml:space="preserve">    last_name_parent, </t>
  </si>
  <si>
    <t xml:space="preserve">    flag_draft_yn, </t>
  </si>
  <si>
    <t xml:space="preserve">    remark, </t>
  </si>
  <si>
    <t xml:space="preserve">    calendar_option, </t>
  </si>
  <si>
    <t xml:space="preserve">    create_time, </t>
  </si>
  <si>
    <t xml:space="preserve">    create_user_code, </t>
  </si>
  <si>
    <t xml:space="preserve">    last_update, </t>
  </si>
  <si>
    <t xml:space="preserve">    '2026-04-21 03:00:49.955', </t>
  </si>
  <si>
    <t xml:space="preserve">    update_user_code, </t>
  </si>
  <si>
    <t xml:space="preserve">    delete_time, </t>
  </si>
  <si>
    <t xml:space="preserve">    delete_user_code, </t>
  </si>
  <si>
    <t xml:space="preserve">    '', </t>
  </si>
  <si>
    <t xml:space="preserve">    call_date_not_specified</t>
  </si>
  <si>
    <t xml:space="preserve">    NULL</t>
  </si>
  <si>
    <t>)</t>
  </si>
  <si>
    <t>);</t>
  </si>
  <si>
    <t>Column Name</t>
  </si>
  <si>
    <t>#</t>
  </si>
  <si>
    <t>Data type</t>
  </si>
  <si>
    <t>Identity</t>
  </si>
  <si>
    <t>Collation</t>
  </si>
  <si>
    <t>Not Null</t>
  </si>
  <si>
    <t>Default</t>
  </si>
  <si>
    <t>Comment</t>
  </si>
  <si>
    <t>default</t>
  </si>
  <si>
    <t>varchar</t>
  </si>
  <si>
    <t>sex</t>
  </si>
  <si>
    <t>varchar(400)</t>
  </si>
  <si>
    <t>prenameother</t>
  </si>
  <si>
    <t>varchar(240)</t>
  </si>
  <si>
    <t>linkfacebook</t>
  </si>
  <si>
    <t>lineid</t>
  </si>
  <si>
    <t>lastsync</t>
  </si>
  <si>
    <t>timestamp</t>
  </si>
  <si>
    <t>flagdraftyn</t>
  </si>
  <si>
    <t>varchar(40)</t>
  </si>
  <si>
    <t>varchar(3)</t>
  </si>
  <si>
    <t>N'::character varying</t>
  </si>
  <si>
    <t>A = Auto
C = Customer
N = No
Y = Yes</t>
  </si>
  <si>
    <t>calendaroption</t>
  </si>
  <si>
    <t>buildingname</t>
  </si>
  <si>
    <t>age</t>
  </si>
  <si>
    <t>addressno</t>
  </si>
  <si>
    <t>ord</t>
  </si>
  <si>
    <t>column_name</t>
  </si>
  <si>
    <t>value</t>
  </si>
  <si>
    <t>nullable</t>
  </si>
  <si>
    <t>data_type</t>
  </si>
  <si>
    <t>agentid,</t>
  </si>
  <si>
    <t>0000149200,</t>
  </si>
  <si>
    <t>character varying</t>
  </si>
  <si>
    <t>customerid,</t>
  </si>
  <si>
    <t>2f2a0468-1513-42ea-b8cc-8246e780585c,</t>
  </si>
  <si>
    <t>citizenid,</t>
  </si>
  <si>
    <t>2811056367520,</t>
  </si>
  <si>
    <t>firstname,</t>
  </si>
  <si>
    <t>ศูนย์สองเจ็ดเก้า,</t>
  </si>
  <si>
    <t>lastname,</t>
  </si>
  <si>
    <t>รอบหนึ่งแปดสาม,</t>
  </si>
  <si>
    <t>prename,</t>
  </si>
  <si>
    <t>เด็กชาย,</t>
  </si>
  <si>
    <t>prenameother,</t>
  </si>
  <si>
    <t>,</t>
  </si>
  <si>
    <t>gender,</t>
  </si>
  <si>
    <t>M,</t>
  </si>
  <si>
    <t>occupationtype,</t>
  </si>
  <si>
    <t>1,</t>
  </si>
  <si>
    <t>age,</t>
  </si>
  <si>
    <t>6,</t>
  </si>
  <si>
    <t>birthdate,</t>
  </si>
  <si>
    <t>2014-02-19T00:00:00,</t>
  </si>
  <si>
    <t>timestamp without time zone</t>
  </si>
  <si>
    <t>telephone,</t>
  </si>
  <si>
    <t>mobilephone,</t>
  </si>
  <si>
    <t>0876999999,</t>
  </si>
  <si>
    <t>fax,</t>
  </si>
  <si>
    <t>passport,</t>
  </si>
  <si>
    <t>lineid,</t>
  </si>
  <si>
    <t>linkfacebook,</t>
  </si>
  <si>
    <t>geolocation,</t>
  </si>
  <si>
    <t>address,</t>
  </si>
  <si>
    <t>subdistrict,</t>
  </si>
  <si>
    <t>district,</t>
  </si>
  <si>
    <t>province,</t>
  </si>
  <si>
    <t>postcode,</t>
  </si>
  <si>
    <t>status,</t>
  </si>
  <si>
    <t>P,</t>
  </si>
  <si>
    <t>remark,</t>
  </si>
  <si>
    <t>createdatetime,</t>
  </si>
  <si>
    <t>2020-02-19T18:26:21.427,</t>
  </si>
  <si>
    <t>lastmodify,</t>
  </si>
  <si>
    <t>2021-03-31T09:31:23.875184,</t>
  </si>
  <si>
    <t>lastsync,</t>
  </si>
  <si>
    <t>NULL,</t>
  </si>
  <si>
    <t>sex,</t>
  </si>
  <si>
    <t>email,</t>
  </si>
  <si>
    <t>customertype,</t>
  </si>
  <si>
    <t>maritalstatus,</t>
  </si>
  <si>
    <t>flagdraftyn,</t>
  </si>
  <si>
    <t>N,</t>
  </si>
  <si>
    <t>addressno,</t>
  </si>
  <si>
    <t>buildingname,</t>
  </si>
  <si>
    <t>moo,</t>
  </si>
  <si>
    <t>soi,</t>
  </si>
  <si>
    <t>road,</t>
  </si>
  <si>
    <t>sources,</t>
  </si>
  <si>
    <t>TLPROPLUS,</t>
  </si>
  <si>
    <t>salesforceid,</t>
  </si>
  <si>
    <t>consentstatus,</t>
  </si>
  <si>
    <t>Y,</t>
  </si>
  <si>
    <t>occupation,</t>
  </si>
  <si>
    <t>occupationbusiness,</t>
  </si>
  <si>
    <t>occbusvalue,</t>
  </si>
  <si>
    <t>codeocctouw,</t>
  </si>
  <si>
    <t>countrycode,</t>
  </si>
  <si>
    <t>identifyexpiredate,</t>
  </si>
  <si>
    <t>identifytype,</t>
  </si>
  <si>
    <t>calendaroption,</t>
  </si>
  <si>
    <t>occupationreserve,</t>
  </si>
  <si>
    <t>occupationbusinessreserve,</t>
  </si>
  <si>
    <t>occbusvaluereserve,</t>
  </si>
  <si>
    <t>codeocctouwreserve,</t>
  </si>
  <si>
    <t>To storing lead and prospect address information</t>
  </si>
  <si>
    <t>https://bluebik-team.atlassian.net/wiki/spaces/TNS/pages/28478285/prospect_address+Table</t>
  </si>
  <si>
    <t>https://tliidp-my.sharepoint.com/:x:/r/personal/banharn_swan_thailife_com/Documents/Projects/NASA%20Project/NASA_R2/SA%20Documents/Technical%20Solution/%5BNASA_R2%5D%20Migration%20data%20%26%20support%20existing%20case%20from%20TLPro.xlsx?d=w0ce4cfa6e2484346882e1ee4af36fcea&amp;csf=1&amp;web=1&amp;e=4Ynh7D&amp;nav=MTVfe0Q4M0E1NDRCLTU5RTktNDc0Qi04NUUwLTlFQTQ1Q0E5NEM0Qn0</t>
  </si>
  <si>
    <r>
      <rPr>
        <u/>
        <sz val="12"/>
        <color rgb="FF1155CC"/>
        <rFont val="Calibri Light"/>
        <scheme val="major"/>
      </rPr>
      <t>prospect Table</t>
    </r>
    <r>
      <rPr>
        <sz val="12"/>
        <rFont val="Calibri Light"/>
        <scheme val="major"/>
      </rPr>
      <t xml:space="preserve"> (id)</t>
    </r>
  </si>
  <si>
    <r>
      <rPr>
        <u/>
        <sz val="12"/>
        <color rgb="FF1155CC"/>
        <rFont val="Calibri Light"/>
        <scheme val="major"/>
      </rPr>
      <t>prospect_address Table</t>
    </r>
    <r>
      <rPr>
        <sz val="12"/>
        <rFont val="Calibri Light"/>
        <scheme val="major"/>
      </rPr>
      <t xml:space="preserve"> 
(id)</t>
    </r>
  </si>
  <si>
    <t>Fixed :
TRUE</t>
  </si>
  <si>
    <t>ปรับ length เป็น varchar(100)</t>
  </si>
  <si>
    <t>floors</t>
  </si>
  <si>
    <t>NOW()</t>
  </si>
  <si>
    <t>SYSTEM</t>
  </si>
  <si>
    <t>INSERT INTO asa_sale.prospect_address</t>
  </si>
  <si>
    <t>VALUES</t>
  </si>
  <si>
    <t>Example</t>
  </si>
  <si>
    <t>prospect_id,</t>
  </si>
  <si>
    <t>c9a60a14-554c-4b23-a7a4-0db4de56687f</t>
  </si>
  <si>
    <t>address_type,</t>
  </si>
  <si>
    <t>same_address_type,</t>
  </si>
  <si>
    <t>is_prefer_contact,</t>
  </si>
  <si>
    <t>address_no,</t>
  </si>
  <si>
    <t>work_place,</t>
  </si>
  <si>
    <t>village,</t>
  </si>
  <si>
    <t>building_name,</t>
  </si>
  <si>
    <t>floor,</t>
  </si>
  <si>
    <t>room,</t>
  </si>
  <si>
    <t>alley,</t>
  </si>
  <si>
    <t>sub_district,</t>
  </si>
  <si>
    <t>กท</t>
  </si>
  <si>
    <t>create_time,</t>
  </si>
  <si>
    <t>timestamp with time zone</t>
  </si>
  <si>
    <t>2025-06-09 10:04:43.887 +0700</t>
  </si>
  <si>
    <t>create_user_code,</t>
  </si>
  <si>
    <t>last_update,</t>
  </si>
  <si>
    <t>2025-06-09 10:05:22.152 +0700</t>
  </si>
  <si>
    <t>update_user_code,</t>
  </si>
  <si>
    <t>## TLSMART</t>
  </si>
  <si>
    <t>Identify id.
Remark : re-name from quotationno</t>
  </si>
  <si>
    <t>Prospect id.
Remark : re-name from customerid</t>
  </si>
  <si>
    <t>Agent id.
Remark : re-name from agentid</t>
  </si>
  <si>
    <t>reference_no</t>
  </si>
  <si>
    <t>Quotation reference number
Remark : re-name from referenceno</t>
  </si>
  <si>
    <t>Pattern:
YYYY_TH(พ.ศ.) + ""5"" + {runningNumber 7 digits} ex.256850000001*ขึ้นปี พ.ศ. ใหม่ ให้ reset runningNumber เป็น 0000001 ทุกปี</t>
  </si>
  <si>
    <r>
      <rPr>
        <b/>
        <sz val="10"/>
        <color rgb="FF000000"/>
        <rFont val="Arial"/>
      </rPr>
      <t xml:space="preserve">##Pattern การ Generate เลขอ้างอิง(RefNo)
</t>
    </r>
    <r>
      <rPr>
        <sz val="10"/>
        <color rgb="FF000000"/>
        <rFont val="Arial"/>
      </rPr>
      <t xml:space="preserve">--TLSmart generate
YYYY_TH(พ.ศ.) + ""5"" + {runningNumber 7 digits} 
ex.256850000001
</t>
    </r>
    <r>
      <rPr>
        <sz val="10"/>
        <color rgb="FFFF0000"/>
        <rFont val="Arial"/>
      </rPr>
      <t>*ขึ้นปี พ.ศ. ใหม่ ให้ reset runningNumber เป็น 0000001 ทุกปี</t>
    </r>
  </si>
  <si>
    <t xml:space="preserve">Quotation List 
Edit Quotation 
Application Detail 
Quotation Preview PDF 
E-Signature Quotation </t>
  </si>
  <si>
    <t>GET /ms-sales/v1/quotations
GET /ms-sales/v1/quotationsol/{quotationId}/temp
GET /ms-sales/v1/quotations/{quotationId}
POST /ms-sales/v1/quotationsgenerate-ref-no
POST /ms-sales/v1/quotationssend-email
POST /ms-sales/v1/quotations/{quotationId}/e-signature</t>
  </si>
  <si>
    <t>referenceno</t>
  </si>
  <si>
    <t>plan_code</t>
  </si>
  <si>
    <t>Plan code.
Remark : re-name from plancode</t>
  </si>
  <si>
    <t>TE01</t>
  </si>
  <si>
    <t xml:space="preserve">Favorite Management 
Quotation List 
Create Quotation 
Edit Quotation 
Quotation Preview PDF 
Application Detail 
Edit Quotation in Application 
Edit Quotation Page </t>
  </si>
  <si>
    <t>DELETE /ms-sales/v1/quotationsfavorite-plan
GET /ms-sales/v1/quotations
GET /ms-sales/v1/quotationsaccumulations/{planCode}
GET /ms-sales/v1/quotationsadditional-view-plan
GET /ms-sales/v1/quotationsfavorite-plan
GET /ms-sales/v1/quotationsolselling-description
GET /ms-sales/v1/quotationsol/{quotationId}/temp
GET /ms-sales/v1/quotationsproduct-illustration
GET /ms-sales/v1/quotationsul/{quotationId}/temp
GET /ms-sales/v1/quotations/{quotationId}
GET /ms-sales/v1/quotations/{quotationId}/preview
GET /ms-sales/v2/quotationsproduct-illustration
POST /ms-sales/v1/quotations
POST /ms-sales/v1/quotationsfavorite-plan
POST /ms-sales/v1/quotationsrevise
POST /ms-sales/v1/quotationssubmit-ref-no
POST /ms-sales/v2/quotations
PUT /ms-sales/v1/quotations/{quotationId}
PUT /ms-sales/v2/quotations/{quotationId}</t>
  </si>
  <si>
    <t>plancode</t>
  </si>
  <si>
    <t>product_type</t>
  </si>
  <si>
    <t>Product type.</t>
  </si>
  <si>
    <t>OL</t>
  </si>
  <si>
    <t>OL
UL
UK</t>
  </si>
  <si>
    <t>OL - Ordinary Life.
UL - Universal Life.
UK - Unit Link.</t>
  </si>
  <si>
    <t xml:space="preserve">Edit Quotation 
Application Detail 
Quotation Preview PDF 
Create Quotation 
Edit Quotation in Application 
Edit Quotation Page </t>
  </si>
  <si>
    <t>GET /ms-sales/v1/quotations/{quotationId}
GET /ms-sales/v1/quotations/{quotationId}/consent-premium-withdrawal
POST /ms-sales/v1/quotations
POST /ms-sales/v1/quotationsrevise
POST /ms-sales/v2/quotations
PUT /ms-sales/v1/quotations/{quotationId}
PUT /ms-sales/v2/quotations/{quotationId}</t>
  </si>
  <si>
    <t>plan_name</t>
  </si>
  <si>
    <t>Plan name.
Remark : re-name from planname</t>
  </si>
  <si>
    <t xml:space="preserve">Quotation List 
Edit Quotation 
Application Detail 
Quotation Preview PDF 
Create Quotation 
Edit Quotation in Application 
Edit Quotation Page </t>
  </si>
  <si>
    <t>GET /ms-sales/v1/quotations
GET /ms-sales/v1/quotationsol/{quotationId}/temp
GET /ms-sales/v1/quotations/{quotationId}
POST /ms-sales/v1/quotations
POST /ms-sales/v1/quotationsrevise
POST /ms-sales/v1/quotationssend-email
POST /ms-sales/v1/quotationssubmit-ref-no
POST /ms-sales/v2/quotations
PUT /ms-sales/v1/quotations/{quotationId}
PUT /ms-sales/v2/quotations/{quotationId}</t>
  </si>
  <si>
    <t>planname</t>
  </si>
  <si>
    <t>plan_display_name</t>
  </si>
  <si>
    <t>display_name</t>
  </si>
  <si>
    <t> </t>
  </si>
  <si>
    <t xml:space="preserve">Create Quotation 
Edit Quotation in Application 
Edit Quotation Page </t>
  </si>
  <si>
    <t>POST /ms-sales/v1/quotations
POST /ms-sales/v1/quotationsrevise
POST /ms-sales/v2/quotations
PUT /ms-sales/v1/quotations/{quotationId}</t>
  </si>
  <si>
    <t>plan_type</t>
  </si>
  <si>
    <t>Plan type.</t>
  </si>
  <si>
    <t>OL
UL
UK
PA
CANCER
TAKAFUL
PA_MICRO</t>
  </si>
  <si>
    <t>OL - Ordinary Life.
UL - Universal Life.
UK - Unit Link.
PA - Personal Accident
CANCER - Cancer
TAKAFUL - Takaful
PA_MICRO - Micro personal accident</t>
  </si>
  <si>
    <t>GET /ms-sales/v1/quotations/{quotationId}
GET /ms-sales/v1/quotations/{quotationId}/consent-premium-withdrawal
POST /ms-sales/v1/quotations
POST /ms-sales/v1/quotationsrevise
POST /ms-sales/v1/quotationssend-email
POST /ms-sales/v2/quotations
PUT /ms-sales/v1/quotations/{quotationId}
PUT /ms-sales/v2/quotations/{quotationId}</t>
  </si>
  <si>
    <t>insured_title_code</t>
  </si>
  <si>
    <t>Insured title code.</t>
  </si>
  <si>
    <r>
      <rPr>
        <u/>
        <sz val="12"/>
        <color rgb="FF1155CC"/>
        <rFont val="Arial"/>
        <scheme val="minor"/>
      </rPr>
      <t>pre_name Table</t>
    </r>
    <r>
      <rPr>
        <sz val="12"/>
        <rFont val="Arial"/>
        <scheme val="minor"/>
      </rPr>
      <t xml:space="preserve"> (code)</t>
    </r>
  </si>
  <si>
    <t>GET /ms-sales/v1/quotations/{quotationId}
POST /ms-sales/v1/quotations
POST /ms-sales/v1/quotationsrevise
POST /ms-sales/v2/quotations
PUT /ms-sales/v1/quotations/{quotationId}
PUT /ms-sales/v2/quotations/{quotationId}</t>
  </si>
  <si>
    <t>insured_title</t>
  </si>
  <si>
    <t>Insured title name.
Remark : re-name from pname</t>
  </si>
  <si>
    <r>
      <rPr>
        <u/>
        <sz val="12"/>
        <color rgb="FF1155CC"/>
        <rFont val="Arial"/>
        <scheme val="minor"/>
      </rPr>
      <t>pre_name Table</t>
    </r>
    <r>
      <rPr>
        <sz val="12"/>
        <rFont val="Arial"/>
        <scheme val="minor"/>
      </rPr>
      <t xml:space="preserve"> (pre_name)</t>
    </r>
  </si>
  <si>
    <t>GET /ms-sales/v1/quotationsol/{quotationId}/temp
GET /ms-sales/v1/quotations/{quotationId}
POST /ms-sales/v1/quotations
POST /ms-sales/v1/quotationsrevise
POST /ms-sales/v2/quotations
PUT /ms-sales/v1/quotations/{quotationId}
PUT /ms-sales/v2/quotations/{quotationId}</t>
  </si>
  <si>
    <t>pname</t>
  </si>
  <si>
    <t>insured_first_name</t>
  </si>
  <si>
    <t>Insured first name.
Remark : re-name from fname</t>
  </si>
  <si>
    <t>GET /ms-sales/v1/quotations
GET /ms-sales/v1/quotationsol/{quotationId}/temp
GET /ms-sales/v1/quotations/{quotationId}
POST /ms-sales/v1/quotations
POST /ms-sales/v1/quotationsrevise
POST /ms-sales/v1/quotationssend-email
POST /ms-sales/v2/quotations
PUT /ms-sales/v1/quotations/{quotationId}
PUT /ms-sales/v2/quotations/{quotationId}</t>
  </si>
  <si>
    <t>fname</t>
  </si>
  <si>
    <t>insured_last_name</t>
  </si>
  <si>
    <t>Insured last name.
Remark : re-name from lname</t>
  </si>
  <si>
    <t>lname</t>
  </si>
  <si>
    <t>insured_age</t>
  </si>
  <si>
    <t>integer</t>
  </si>
  <si>
    <t>Insured age.
Remark : re-name from insuredage</t>
  </si>
  <si>
    <t>GET /ms-sales/v1/quotations
GET /ms-sales/v1/quotationsol/{quotationId}/temp
GET /ms-sales/v1/quotations/{quotationId}
POST /ms-sales/v1/quotations
POST /ms-sales/v1/quotationsrevise
POST /ms-sales/v2/quotations
PUT /ms-sales/v1/quotations/{quotationId}
PUT /ms-sales/v2/quotations/{quotationId}</t>
  </si>
  <si>
    <t>insureage</t>
  </si>
  <si>
    <t>insured_birth_date</t>
  </si>
  <si>
    <t>Insured birth date.
Remark : re-name from birthdate</t>
  </si>
  <si>
    <t>1994-11-04</t>
  </si>
  <si>
    <t>GET /ms-sales/v1/quotations
GET /ms-sales/v1/quotations/{quotationId}
POST /ms-sales/v1/quotations
POST /ms-sales/v1/quotationsgenerate-ref-no
POST /ms-sales/v1/quotationsrevise
POST /ms-sales/v2/quotations
PUT /ms-sales/v1/quotations/{quotationId}
PUT /ms-sales/v2/quotations/{quotationId}</t>
  </si>
  <si>
    <t>insured_gender</t>
  </si>
  <si>
    <t>Insured gender
Remark : re-name from gender</t>
  </si>
  <si>
    <t>M
F</t>
  </si>
  <si>
    <t>M = Male
F = Female</t>
  </si>
  <si>
    <t>insured_mobile_no</t>
  </si>
  <si>
    <t>Insured mobile number</t>
  </si>
  <si>
    <t>GET /ms-sales/v1/quotations
GET /ms-sales/v1/quotations/{quotationId}
POST /ms-sales/v1/quotations
POST /ms-sales/v1/quotationsrevise
POST /ms-sales/v2/quotations
PUT /ms-sales/v1/quotations/{quotationId}
PUT /ms-sales/v2/quotations/{quotationId}</t>
  </si>
  <si>
    <t>insured_identify_type</t>
  </si>
  <si>
    <t>Identify type
Remark : re-name from identifytype</t>
  </si>
  <si>
    <t>TID
PPN</t>
  </si>
  <si>
    <t>TID = ID Number.
PPN = Passport Number</t>
  </si>
  <si>
    <t>insured_citizen_id</t>
  </si>
  <si>
    <t>Citizen id
Remark : re-name from citizenid</t>
  </si>
  <si>
    <t>insured_nationality</t>
  </si>
  <si>
    <t>Nationality</t>
  </si>
  <si>
    <t>insured_passport</t>
  </si>
  <si>
    <t>Passport no.
Remark : re-name from passport</t>
  </si>
  <si>
    <t>insured_country_code</t>
  </si>
  <si>
    <t>Passport country code.
Remark : re-name from countrycode</t>
  </si>
  <si>
    <r>
      <rPr>
        <u/>
        <sz val="12"/>
        <color rgb="FF1155CC"/>
        <rFont val="Arial"/>
        <scheme val="minor"/>
      </rPr>
      <t>country Table</t>
    </r>
    <r>
      <rPr>
        <sz val="12"/>
        <rFont val="Arial"/>
        <scheme val="minor"/>
      </rPr>
      <t xml:space="preserve"> (country_code)</t>
    </r>
  </si>
  <si>
    <t>Main occupation code. (รหัสอาชีพ)
Remark : re-name from occupation</t>
  </si>
  <si>
    <r>
      <rPr>
        <u/>
        <sz val="12"/>
        <color rgb="FF1155CC"/>
        <rFont val="Arial"/>
        <scheme val="minor"/>
      </rPr>
      <t>occupation Table</t>
    </r>
    <r>
      <rPr>
        <sz val="12"/>
        <rFont val="Arial"/>
        <scheme val="minor"/>
      </rPr>
      <t xml:space="preserve"> (code)</t>
    </r>
  </si>
  <si>
    <t xml:space="preserve">Edit Quotation 
Create Quotation 
Application Detail 
Quotation Preview PDF 
Edit Quotation in Application 
Edit Quotation Page </t>
  </si>
  <si>
    <t>GET /ms-sales/v1/quotationsol/{quotationId}/temp
GET /ms-sales/v1/quotationsproduct-illustration
GET /ms-sales/v1/quotationsul/{quotationId}/temp
GET /ms-sales/v1/quotations/{quotationId}
GET /ms-sales/v2/quotationsproduct-illustration
POST /ms-sales/v1/quotations
POST /ms-sales/v1/quotationsrevise
POST /ms-sales/v1/quotationssubmit-ref-no
POST /ms-sales/v2/quotations
PUT /ms-sales/v1/quotations/{quotationId}
PUT /ms-sales/v2/quotations/{quotationId}</t>
  </si>
  <si>
    <t>occupation_name</t>
  </si>
  <si>
    <t>Main occupation name. (ชื่ออาชีพ)</t>
  </si>
  <si>
    <r>
      <rPr>
        <u/>
        <sz val="12"/>
        <color rgb="FF1155CC"/>
        <rFont val="Arial"/>
        <scheme val="minor"/>
      </rPr>
      <t>occupation Table</t>
    </r>
    <r>
      <rPr>
        <sz val="12"/>
        <rFont val="Arial"/>
        <scheme val="minor"/>
      </rPr>
      <t xml:space="preserve"> (name)</t>
    </r>
  </si>
  <si>
    <t>GET /ms-sales/v1/quotationsul/{quotationId}/temp
GET /ms-sales/v1/quotations/{quotationId}
POST /ms-sales/v1/quotations
POST /ms-sales/v1/quotationsrevise
POST /ms-sales/v2/quotations
PUT /ms-sales/v1/quotations/{quotationId}
PUT /ms-sales/v2/quotations/{quotationId}</t>
  </si>
  <si>
    <t>Main occupation business type. (รหัสลักษณะงาน)
Remark : re-name from occupationbusiness</t>
  </si>
  <si>
    <r>
      <rPr>
        <u/>
        <sz val="12"/>
        <color rgb="FF1155CC"/>
        <rFont val="Arial"/>
        <scheme val="minor"/>
      </rPr>
      <t>occupation_level Table</t>
    </r>
    <r>
      <rPr>
        <sz val="12"/>
        <rFont val="Arial"/>
        <scheme val="minor"/>
      </rPr>
      <t xml:space="preserve"> (business_code)</t>
    </r>
  </si>
  <si>
    <t>Main occupation business description. (ลักษณะอาชีพ)
Remark : re-name from occbusvalue</t>
  </si>
  <si>
    <r>
      <rPr>
        <u/>
        <sz val="12"/>
        <color rgb="FF1155CC"/>
        <rFont val="Arial"/>
        <scheme val="minor"/>
      </rPr>
      <t>occupation_level Table</t>
    </r>
    <r>
      <rPr>
        <sz val="12"/>
        <rFont val="Arial"/>
        <scheme val="minor"/>
      </rPr>
      <t xml:space="preserve"> (business_name)</t>
    </r>
  </si>
  <si>
    <t>Higest occupation class. (ขั้นอาชีพ)
Remark : re-name from occupationtype</t>
  </si>
  <si>
    <r>
      <rPr>
        <u/>
        <sz val="12"/>
        <color rgb="FF1155CC"/>
        <rFont val="Arial"/>
        <scheme val="minor"/>
      </rPr>
      <t>occupation_level Table</t>
    </r>
    <r>
      <rPr>
        <sz val="12"/>
        <rFont val="Arial"/>
        <scheme val="minor"/>
      </rPr>
      <t xml:space="preserve"> (type)</t>
    </r>
  </si>
  <si>
    <t>GET /ms-sales/v1/quotationsol/{quotationId}/temp
GET /ms-sales/v1/quotationsproduct-illustration
GET /ms-sales/v1/quotationsul/{quotationId}/temp
GET /ms-sales/v1/quotations/{quotationId}
GET /ms-sales/v2/quotationsproduct-illustration
POST /ms-sales/v1/quotations
POST /ms-sales/v1/quotationsrevise
POST /ms-sales/v2/quotations
PUT /ms-sales/v1/quotations/{quotationId}
PUT /ms-sales/v2/quotations/{quotationId}</t>
  </si>
  <si>
    <t>Main occupation UW code. (รหัสอาชีพ Pre-UW)
Remark : re-name from codeocctouw</t>
  </si>
  <si>
    <r>
      <rPr>
        <u/>
        <sz val="12"/>
        <color rgb="FF1155CC"/>
        <rFont val="Arial"/>
        <scheme val="minor"/>
      </rPr>
      <t>occupation_level Table</t>
    </r>
    <r>
      <rPr>
        <sz val="12"/>
        <rFont val="Arial"/>
        <scheme val="minor"/>
      </rPr>
      <t xml:space="preserve"> (underwrite_code)</t>
    </r>
  </si>
  <si>
    <t>Reserve occupation code. (รหัสอาชีพรอง)
Remark : re-name from occupationreserve</t>
  </si>
  <si>
    <t>occupation_reserve_name</t>
  </si>
  <si>
    <t>Reserve occupation name. (ชื่ออาชีพรอง)</t>
  </si>
  <si>
    <t>Reserve occupation business type. (รหัสลักษณะอาชีพรอง).
Remark : re-name from occupationbusinessreserve</t>
  </si>
  <si>
    <t>Reserve occupation business description. (ลักษณะอาชีพรอง)
Remark : re-name from occbusvaluereserve</t>
  </si>
  <si>
    <t>Reserve occupation UW code. (รหัสอาชีพรอง Pre-UW)
Remark : re-name from codeocctouwreserve</t>
  </si>
  <si>
    <r>
      <rPr>
        <u/>
        <sz val="12"/>
        <color rgb="FF1155CC"/>
        <rFont val="Arial"/>
        <scheme val="minor"/>
      </rPr>
      <t>occupation_level Table</t>
    </r>
  </si>
  <si>
    <t>occupation_group</t>
  </si>
  <si>
    <t>Occupation group
Remark : re-name from occgroup</t>
  </si>
  <si>
    <r>
      <rPr>
        <u/>
        <sz val="12"/>
        <color rgb="FF1155CC"/>
        <rFont val="Arial"/>
        <scheme val="minor"/>
      </rPr>
      <t>occupation_sub_level Table</t>
    </r>
  </si>
  <si>
    <t>occgroup</t>
  </si>
  <si>
    <t>parent_title_code</t>
  </si>
  <si>
    <t>Parent title code.</t>
  </si>
  <si>
    <t xml:space="preserve">Edit Quotation 
Application Detail 
Quotation Preview PDF 
E-Signature Quotation </t>
  </si>
  <si>
    <t>GET /ms-sales/v1/quotations/{quotationId}
POST /ms-sales/v1/quotations/{quotationId}/e-signature</t>
  </si>
  <si>
    <t>parent_title</t>
  </si>
  <si>
    <t>Parent title name.</t>
  </si>
  <si>
    <t>parent_first_name</t>
  </si>
  <si>
    <t>parent_last_name</t>
  </si>
  <si>
    <t>parent_age</t>
  </si>
  <si>
    <t>Parent age.</t>
  </si>
  <si>
    <t>parent_relation_code</t>
  </si>
  <si>
    <t>Parent relation code.</t>
  </si>
  <si>
    <r>
      <rPr>
        <u/>
        <sz val="12"/>
        <color rgb="FF1155CC"/>
        <rFont val="Arial"/>
        <scheme val="minor"/>
      </rPr>
      <t>relation Table</t>
    </r>
    <r>
      <rPr>
        <sz val="12"/>
        <rFont val="Arial"/>
        <scheme val="minor"/>
      </rPr>
      <t xml:space="preserve"> (code)</t>
    </r>
  </si>
  <si>
    <t>parent_relation</t>
  </si>
  <si>
    <t>Parent relation name.</t>
  </si>
  <si>
    <r>
      <rPr>
        <u/>
        <sz val="12"/>
        <color rgb="FF1155CC"/>
        <rFont val="Arial"/>
        <scheme val="minor"/>
      </rPr>
      <t>relation Table</t>
    </r>
    <r>
      <rPr>
        <sz val="12"/>
        <rFont val="Arial"/>
        <scheme val="minor"/>
      </rPr>
      <t xml:space="preserve"> (name)</t>
    </r>
  </si>
  <si>
    <t>มารดา</t>
  </si>
  <si>
    <t>life_sum_assured</t>
  </si>
  <si>
    <t>Life sum assured</t>
  </si>
  <si>
    <t>lifesum</t>
  </si>
  <si>
    <t>life_premium</t>
  </si>
  <si>
    <t>decimal(12,2)</t>
  </si>
  <si>
    <t>Life premium</t>
  </si>
  <si>
    <t>GET /ms-sales/v1/quotationsol/{quotationId}/temp
GET /ms-sales/v1/quotations/{quotationId}
POST /ms-sales/v1/quotations
POST /ms-sales/v1/quotationsrevise
POST /ms-sales/v1/quotationssubmit-ref-no
POST /ms-sales/v2/quotations
PUT /ms-sales/v1/quotations/{quotationId}
PUT /ms-sales/v2/quotations/{quotationId}</t>
  </si>
  <si>
    <t>lifepremium</t>
  </si>
  <si>
    <t>payment_code</t>
  </si>
  <si>
    <t>Payment mode code</t>
  </si>
  <si>
    <r>
      <rPr>
        <u/>
        <sz val="12"/>
        <color rgb="FF1155CC"/>
        <rFont val="Arial"/>
        <scheme val="minor"/>
      </rPr>
      <t>product_payment_mode Table</t>
    </r>
    <r>
      <rPr>
        <sz val="12"/>
        <rFont val="Arial"/>
        <scheme val="minor"/>
      </rPr>
      <t xml:space="preserve"> (code)</t>
    </r>
  </si>
  <si>
    <t>0</t>
  </si>
  <si>
    <t>0
1
2
4
9</t>
  </si>
  <si>
    <t>0 = MONTHLY
1 = YEARLY
2 = HALF YEAR
4 = QUARTERLY
9 = ONE TIMES</t>
  </si>
  <si>
    <t>payment_type</t>
  </si>
  <si>
    <t>Plan payment period type (pay premium until year or pay premium until age).
Remark : re-name from paytype.</t>
  </si>
  <si>
    <t>1
0</t>
  </si>
  <si>
    <t>1 - Pay premium until age ( payment_period - {insured age}).
0 - Pay premium until year (payment_period).</t>
  </si>
  <si>
    <t xml:space="preserve">Edit Quotation 
Create Quotation 
Edit Quotation in Application 
Edit Quotation Page </t>
  </si>
  <si>
    <t>GET /ms-sales/v1/quotationsol/{quotationId}/temp
POST /ms-sales/v1/quotations
POST /ms-sales/v1/quotationsrevise
POST /ms-sales/v2/quotations
PUT /ms-sales/v1/quotations/{quotationId}
PUT /ms-sales/v2/quotations/{quotationId}</t>
  </si>
  <si>
    <t>payment_period</t>
  </si>
  <si>
    <t>Plan payment period.
Remark : re-name from ppayyear.</t>
  </si>
  <si>
    <t>GET /ms-sales/v1/quotationsol/{quotationId}/temp
GET /ms-sales/v1/quotationsul/{quotationId}/temp
POST /ms-sales/v1/quotations
POST /ms-sales/v1/quotationsrevise
POST /ms-sales/v2/quotations
PUT /ms-sales/v1/quotations/{quotationId}
PUT /ms-sales/v2/quotations/{quotationId}</t>
  </si>
  <si>
    <t>coverage_type</t>
  </si>
  <si>
    <t>Plan coverage period type (cover until year or cover until age).
Remark : re-name from endowmenttype.</t>
  </si>
  <si>
    <t>1 - cover until age (coverage_period - {insured age}).
0 - cover until year (coverage_period).</t>
  </si>
  <si>
    <t>POST /ms-sales/v1/quotations
POST /ms-sales/v1/quotationsrevise
POST /ms-sales/v2/quotations
PUT /ms-sales/v1/quotations/{quotationId}
PUT /ms-sales/v2/quotations/{quotationId}</t>
  </si>
  <si>
    <t>endowmenttype</t>
  </si>
  <si>
    <t>coverage_period</t>
  </si>
  <si>
    <t>Plan coverage period.
Remark : re-name from pendowmentyear.</t>
  </si>
  <si>
    <t>pendowmentyear</t>
  </si>
  <si>
    <t>branch</t>
  </si>
  <si>
    <t>Branch
Remark : re-name from branch.</t>
  </si>
  <si>
    <t>NULL
tlpro ไม่ได้ใช้</t>
  </si>
  <si>
    <t xml:space="preserve">Create Quotation 
Edit Quotation 
Application Detail 
Quotation Preview PDF </t>
  </si>
  <si>
    <t>GET /ms-sales/v1/quotationsinitial
GET /ms-sales/v1/quotationsul/{quotationId}/temp
GET /ms-sales/v1/quotations/{quotationId}</t>
  </si>
  <si>
    <t>package_number</t>
  </si>
  <si>
    <t>Package number
Remark : re-name from packageno.</t>
  </si>
  <si>
    <t>Use in OL</t>
  </si>
  <si>
    <t>GET /ms-sales/v1/quotationsol/{quotationId}/temp
GET /ms-sales/v1/quotationsproduct-illustration
GET /ms-sales/v1/quotations/{quotationId}
GET /ms-sales/v2/quotationsproduct-illustration
POST /ms-sales/v1/quotations
POST /ms-sales/v1/quotationsrevise
POST /ms-sales/v2/quotations
PUT /ms-sales/v1/quotations/{quotationId}
PUT /ms-sales/v2/quotations/{quotationId}</t>
  </si>
  <si>
    <t>packageno</t>
  </si>
  <si>
    <t>type_app</t>
  </si>
  <si>
    <t>Application type.
Remark : re-name from typeapp.</t>
  </si>
  <si>
    <t>typeapp</t>
  </si>
  <si>
    <t>tp_flag</t>
  </si>
  <si>
    <t>TP flag (rider)
Remark : re-name from havetp.</t>
  </si>
  <si>
    <t>true
false</t>
  </si>
  <si>
    <t>havetp</t>
  </si>
  <si>
    <t>kb_coverage_year</t>
  </si>
  <si>
    <t>KB coverage year
Remark : re-name from kbcoverageyear.</t>
  </si>
  <si>
    <t>kbcoverageyear</t>
  </si>
  <si>
    <t>soldier</t>
  </si>
  <si>
    <t>Soldier
Remark : re-name from soldier.</t>
  </si>
  <si>
    <t>NULL
เก็บอาชีพ ทหาร soldier IN ('0','1','2','3') แต่แบบประกันถูกปิดเลยไม่ได้ใช้</t>
  </si>
  <si>
    <t>health_check_flag</t>
  </si>
  <si>
    <t>Health check flag
Remark : re-name from healthcheckflag.</t>
  </si>
  <si>
    <t>healthcheckflag</t>
  </si>
  <si>
    <t>preferred</t>
  </si>
  <si>
    <t>Prefered
Remark : re-name from preferred.</t>
  </si>
  <si>
    <t>Use in HNW
แบบประกัน hnw เช่น W001,W002,W003 เป็น N, Y</t>
  </si>
  <si>
    <t>GET /ms-sales/v1/quotationsol/{quotationId}/temp
POST /ms-sales/v1/quotations
POST /ms-sales/v1/quotationsrevise
POST /ms-sales/v1/quotationssubmit-ref-no
POST /ms-sales/v2/quotations
PUT /ms-sales/v1/quotations/{quotationId}
PUT /ms-sales/v2/quotations/{quotationId}</t>
  </si>
  <si>
    <t>saving_sum_assure</t>
  </si>
  <si>
    <t>Saving sum assure
Remark : re-name from savingsum</t>
  </si>
  <si>
    <t>savingsum</t>
  </si>
  <si>
    <t>saving_premium</t>
  </si>
  <si>
    <t>Saving premium.
Remark : re-name from savingpremium.</t>
  </si>
  <si>
    <t>savingpremium</t>
  </si>
  <si>
    <t>topup_type</t>
  </si>
  <si>
    <t>Top-up type.
Remark : re-name from topuptype.</t>
  </si>
  <si>
    <t>ไม่มี
ครั้งเดียวตอนออกกรมธรรม์
ตามงวดชำระเบี้ยประกันหลัก</t>
  </si>
  <si>
    <t>topuptype</t>
  </si>
  <si>
    <t>topup_premium</t>
  </si>
  <si>
    <t>Top-up premium.
Remark : re-name from topuppremium.</t>
  </si>
  <si>
    <t>topuppremium</t>
  </si>
  <si>
    <t>total_premium</t>
  </si>
  <si>
    <t>Total premium.
Remark : re-name from totalpremium.</t>
  </si>
  <si>
    <t>GET /ms-sales/v1/quotationsul/{quotationId}/temp
GET /ms-sales/v1/quotations/{quotationId}
POST /ms-sales/v1/quotations
POST /ms-sales/v1/quotationsrevise
POST /ms-sales/v1/quotationssubmit-ref-no
POST /ms-sales/v2/quotations
PUT /ms-sales/v1/quotations/{quotationId}
PUT /ms-sales/v2/quotations/{quotationId}</t>
  </si>
  <si>
    <t>totalpremium</t>
  </si>
  <si>
    <t>tax_deduction_type</t>
  </si>
  <si>
    <t>Tax deduction type.</t>
  </si>
  <si>
    <t>N
Y
S
A
C
F</t>
  </si>
  <si>
    <t>N - No tax deduction
Y - Allow tax deduction.
S - Tax Condition
A - Tax sum condition
C - Tax formula
F - Tax fix rate</t>
  </si>
  <si>
    <t>GET /ms-sales/v1/quotationsol/{quotationId}/temp
GET /ms-sales/v1/quotationsul/{quotationId}/temp
GET /ms-sales/v1/quotations/{quotationId}
POST /ms-sales/v1/quotations
POST /ms-sales/v1/quotationsrevise
POST /ms-sales/v2/quotations
PUT /ms-sales/v1/quotations/{quotationId}
PUT /ms-sales/v2/quotations/{quotationId}</t>
  </si>
  <si>
    <t>tax</t>
  </si>
  <si>
    <t>Tax
Remark : re-name from tax.</t>
  </si>
  <si>
    <t>discount_type</t>
  </si>
  <si>
    <t>Discount type.
Remark : re-name from discounttype.</t>
  </si>
  <si>
    <t>Null
TE16</t>
  </si>
  <si>
    <t>discounttype</t>
  </si>
  <si>
    <t>first_discount</t>
  </si>
  <si>
    <t>First discount.
Remark : re-name from firstdiscount.</t>
  </si>
  <si>
    <t>firstdiscount</t>
  </si>
  <si>
    <t>special_discount</t>
  </si>
  <si>
    <t>Special discount.
Remark : re-name from specialdiscount.</t>
  </si>
  <si>
    <t>specialdiscount</t>
  </si>
  <si>
    <t>premium_discount</t>
  </si>
  <si>
    <t>Premium discount.
Remark : re-name from premiumdiscount.</t>
  </si>
  <si>
    <t>premiumdiscount</t>
  </si>
  <si>
    <t>total_premium_after_discount</t>
  </si>
  <si>
    <t>Total premium after discount
Remark : re-name from totalpremiumafterdiscount.</t>
  </si>
  <si>
    <t>totalpremiumafterdiscount</t>
  </si>
  <si>
    <t>bank_code</t>
  </si>
  <si>
    <t>Bank code
Remark : re-name from bankcode.</t>
  </si>
  <si>
    <t>bankcode</t>
  </si>
  <si>
    <t>status_odd</t>
  </si>
  <si>
    <t>ODD status
Remark : re-name from statusodd.</t>
  </si>
  <si>
    <t>*ไม่ใช้ใน TLSmart</t>
  </si>
  <si>
    <t xml:space="preserve">Step 1.1 Insured 
Step 1.2 Payor 
Step 1.3 Beneficiary/Guardian 
Step 1.4 Insurance History 
Step 1.5 Health Q 
Step 1.6 FATCA 
Step 1.7 CRS 
Step 1.8 Summary </t>
  </si>
  <si>
    <t>POST /ms-sales/v1/applications</t>
  </si>
  <si>
    <t>statusodd</t>
  </si>
  <si>
    <t>check_occ_te16</t>
  </si>
  <si>
    <t>Check occ te 16
Remark : re-name from checkoccte16.</t>
  </si>
  <si>
    <t>45
4</t>
  </si>
  <si>
    <t>checkOccTe16 =&gt; เก็บ อาชีพ te16 เก็บ "45" = เลือกเป็นสมาชิกวิสาหกิจชุมชนที่ทำวิถีเกษตรอินทรีย์ และ 4 = เป็นสมาชิกวิสาหกิจชุมชนทั่วไป (มีผลกับส่วนลดที่จะได้รับ)</t>
  </si>
  <si>
    <t>checkoccte16</t>
  </si>
  <si>
    <t>72</t>
  </si>
  <si>
    <t>gen_reference_date</t>
  </si>
  <si>
    <t>Generate reference number date.
Remark : re-name from referencenodate.</t>
  </si>
  <si>
    <t xml:space="preserve">Quotation List 
Edit Quotation 
Application Detail 
Quotation Preview PDF </t>
  </si>
  <si>
    <t>GET /ms-sales/v1/quotations
GET /ms-sales/v1/quotations/{quotationId}
POST /ms-sales/v1/quotationsgenerate-ref-no</t>
  </si>
  <si>
    <t>referencenodate</t>
  </si>
  <si>
    <t>73</t>
  </si>
  <si>
    <t>publish_status</t>
  </si>
  <si>
    <t>Publish status.
Remark : re-name from publishstatus.</t>
  </si>
  <si>
    <t>A
D</t>
  </si>
  <si>
    <t>A = Active
D = Delete / Expired</t>
  </si>
  <si>
    <t>*เพิ่ม support flow delete</t>
  </si>
  <si>
    <t xml:space="preserve">Quotation List 
Quotation Preview PDF 
Create Quotation 
Edit Quotation in Application </t>
  </si>
  <si>
    <t>GET /ms-sales/v1/quotations
GET /ms-sales/v1/quotationswidgetcounter
GET /ms-sales/v1/quotations/{quotationId}/preview
POST /ms-sales/v1/quotations
POST /ms-sales/v1/quotationsrevise
POST /ms-sales/v2/quotations
PUT /ms-sales/v1/quotationsdelete</t>
  </si>
  <si>
    <t>publishstatus</t>
  </si>
  <si>
    <t>74</t>
  </si>
  <si>
    <t>submit_core_status</t>
  </si>
  <si>
    <t>Submit into core system status
Remark : re-name from submitmqstatus.</t>
  </si>
  <si>
    <t>submitmqstatus</t>
  </si>
  <si>
    <t>75</t>
  </si>
  <si>
    <t>transfer_status</t>
  </si>
  <si>
    <t>Transfer status
Remark : re-name from transferstatus.</t>
  </si>
  <si>
    <t>transferstatus</t>
  </si>
  <si>
    <t>76</t>
  </si>
  <si>
    <t>strid</t>
  </si>
  <si>
    <t>Remark : re-name from strid.</t>
  </si>
  <si>
    <t>Using agent_id instead.</t>
  </si>
  <si>
    <t>GET /ms-members/v1/internalmembersupper-structure
GET /ms-members/v1/membersupper-structure
GET /ms-members/v2/internalmembersupper-structure
GET /ms-members/v2/membersupper-structure
POST /ms-sales/v1/applications</t>
  </si>
  <si>
    <t>77</t>
  </si>
  <si>
    <t>N
R
S</t>
  </si>
  <si>
    <t>N = New quotation
R = Have reference number already.
S = Prospect signed signature.</t>
  </si>
  <si>
    <t xml:space="preserve">Favorite Management 
Quotation List 
Create Quotation 
Edit Quotation 
Quotation Preview PDF 
Application Detail 
Edit Quotation in Application 
E-Signature Quotation 
Edit Quotation Page </t>
  </si>
  <si>
    <t>DELETE /ms-sales/v1/quotationsfavorite-plan
GET /ms-sales/v1/quotations
GET /ms-sales/v1/quotationsaccumulations/{planCode}
GET /ms-sales/v1/quotationsadditional-view-plan
GET /ms-sales/v1/quotationsadditional-view-plan-file
GET /ms-sales/v1/quotationsfavorite-plan
GET /ms-sales/v1/quotationsinitial
GET /ms-sales/v1/quotationsolhealthinform
GET /ms-sales/v1/quotationsolselling-description
GET /ms-sales/v1/quotationsol/{quotationId}/temp
GET /ms-sales/v1/quotationsproduct-illustration
GET /ms-sales/v1/quotationsul/{quotationId}/temp
GET /ms-sales/v1/quotationswidgetcounter
GET /ms-sales/v1/quotations/{quotationId}
GET /ms-sales/v1/quotations/{quotationId}/consent-premium-withdrawal
GET /ms-sales/v1/quotations/{quotationId}/preview
GET /ms-sales/v1/quotations/{quotationId}/status
GET /ms-sales/v2/quotationsproduct-illustration
POST /ms-sales/v1/quotations
POST /ms-sales/v1/quotationscallback-document-file
POST /ms-sales/v1/quotationsfavorite-plan
POST /ms-sales/v1/quotationsgenerate-ref-no
POST /ms-sales/v1/quotationsrevise
POST /ms-sales/v1/quotationssend-email
POST /ms-sales/v1/quotationssubmit-ref-no
POST /ms-sales/v1/quotations/{quotationId}/e-signature
POST /ms-sales/v2/quotations
PUT /ms-sales/v1/quotationsdelete
PUT /ms-sales/v1/quotations/{quotationId}
PUT /ms-sales/v1/quotations/{quotationId}/consent-premium-withdrawal
PUT /ms-sales/v2/quotations/{quotationId}</t>
  </si>
  <si>
    <t>78</t>
  </si>
  <si>
    <t>submit_reference_no_status</t>
  </si>
  <si>
    <t>Status of submit referenceno to InsureMo</t>
  </si>
  <si>
    <t>S
F</t>
  </si>
  <si>
    <t>S = Success
F = Fail</t>
  </si>
  <si>
    <t>79</t>
  </si>
  <si>
    <t>queue_status</t>
  </si>
  <si>
    <t>SQS Queue for generate pdf without sign process status (RefNo)</t>
  </si>
  <si>
    <t>W
S
F</t>
  </si>
  <si>
    <t>W = Waiting in queue
S = Success
F = Fail</t>
  </si>
  <si>
    <t xml:space="preserve">Edit Quotation 
Application Detail 
Quotation Preview PDF 
Quotation List </t>
  </si>
  <si>
    <t>GET /ms-sales/v1/quotations/{quotationId}
GET /ms-sales/v1/quotations/{quotationId}/status
POST /ms-sales/v1/quotationscallback-document-file
POST /ms-sales/v1/quotationsgenerate-ref-no
POST /ms-sales/v1/quotationssend-email</t>
  </si>
  <si>
    <t>80</t>
  </si>
  <si>
    <t>e_sign_status</t>
  </si>
  <si>
    <t>SQS Queue for generate pdf with sign process status</t>
  </si>
  <si>
    <t>GET /ms-sales/v1/quotations/{quotationId}
POST /ms-sales/v1/quotationscallback-document-file
POST /ms-sales/v1/quotations/{quotationId}/e-signature</t>
  </si>
  <si>
    <t>81</t>
  </si>
  <si>
    <t>is_include_life_planning</t>
  </si>
  <si>
    <t>include life planning pdf extend quotation pdf</t>
  </si>
  <si>
    <t>true</t>
  </si>
  <si>
    <t>82</t>
  </si>
  <si>
    <t>life_planning_id</t>
  </si>
  <si>
    <t>life planning id</t>
  </si>
  <si>
    <t>83</t>
  </si>
  <si>
    <t>partial_withdraw_consent_flag</t>
  </si>
  <si>
    <t>string</t>
  </si>
  <si>
    <t>Consent withdrawal flag</t>
  </si>
  <si>
    <t>Y
N</t>
  </si>
  <si>
    <t>Y = Yes
N = No</t>
  </si>
  <si>
    <t xml:space="preserve">Edit Quotation </t>
  </si>
  <si>
    <t>GET /ms-sales/v1/quotations/{quotationId}/consent-premium-withdrawal
PUT /ms-sales/v1/quotations/{quotationId}/consent-premium-withdrawal</t>
  </si>
  <si>
    <t>84</t>
  </si>
  <si>
    <t>submit_refno_attempt</t>
  </si>
  <si>
    <t>attempt for submit ref no</t>
  </si>
  <si>
    <t>85</t>
  </si>
  <si>
    <t>is_draft_edit</t>
  </si>
  <si>
    <t>Indicates this quotation is draft from editing.</t>
  </si>
  <si>
    <t>TRUE, FALSE</t>
  </si>
  <si>
    <t xml:space="preserve">Quotation List 
Edit Quotation 
Application Detail 
Quotation Preview PDF 
Create Quotation 
Edit Quotation in Application </t>
  </si>
  <si>
    <t>GET /ms-sales/v1/quotations
GET /ms-sales/v1/quotations/{quotationId}
POST /ms-sales/v1/quotations
POST /ms-sales/v1/quotationsrevise
POST /ms-sales/v2/quotations</t>
  </si>
  <si>
    <t>86</t>
  </si>
  <si>
    <t>is_example_benefit</t>
  </si>
  <si>
    <t>Flag accepts ตาราง ง life planning</t>
  </si>
  <si>
    <t>true = accepts ตาราง ง life planning</t>
  </si>
  <si>
    <t xml:space="preserve">Edit Quotation 
Application Detail 
Quotation Preview PDF 
Create Quotation 
Edit Quotation Page 
Edit Quotation in Application </t>
  </si>
  <si>
    <t>GET /ms-sales/v1/quotationsul/{quotationId}/temp
GET /ms-sales/v1/quotations/{quotationId}
POST /ms-sales/v1/quotations
POST /ms-sales/v2/quotations
PUT /ms-sales/v1/quotations/{quotationId}
PUT /ms-sales/v2/quotations/{quotationId}</t>
  </si>
  <si>
    <t>87</t>
  </si>
  <si>
    <t>check_status_wn3</t>
  </si>
  <si>
    <t>Check status WN3 flag</t>
  </si>
  <si>
    <t>checkstatuswn3</t>
  </si>
  <si>
    <t>88</t>
  </si>
  <si>
    <t>89</t>
  </si>
  <si>
    <t>90</t>
  </si>
  <si>
    <t>91</t>
  </si>
  <si>
    <t>The usercode who was deleted this record</t>
  </si>
  <si>
    <t>To storing Leads PDPA versioning and information.</t>
  </si>
  <si>
    <t>https://bluebik-team.atlassian.net/wiki/spaces/TNS/pages/28493694/prospect_pdpa+Table</t>
  </si>
  <si>
    <t>(cross-table)</t>
  </si>
  <si>
    <t>applicationid</t>
  </si>
  <si>
    <t xml:space="preserve">Prospect List &amp; Profile 
Quotation Search Lead 
Step 3.2 PDPA Consent 
Prospect List </t>
  </si>
  <si>
    <t>GET /ms-sales/v1/prospects
GET /ms-sales/v1/prospects/{prospectId}/profile
POST /ms-sales/v1/prospectssend-pdpa</t>
  </si>
  <si>
    <t>telno</t>
  </si>
  <si>
    <t xml:space="preserve">Step 3.2 PDPA Consent 
Prospect List </t>
  </si>
  <si>
    <t>POST /ms-sales/v1/prospectssend-pdpa</t>
  </si>
  <si>
    <t>GET /ms-sales/v1/prospects
POST /ms-sales/v1/prospectssend-pdpa</t>
  </si>
  <si>
    <t xml:space="preserve">Prospect List &amp; Profile 
Step 3.2 PDPA Consent 
Prospect List </t>
  </si>
  <si>
    <t>GET /ms-sales/v1/prospects/{prospectId}/profile
POST /ms-sales/v1/prospectssend-pdpa</t>
  </si>
  <si>
    <t>regid</t>
  </si>
  <si>
    <t>updatedate</t>
  </si>
  <si>
    <t>updateid</t>
  </si>
  <si>
    <t>R2_SP2</t>
  </si>
  <si>
    <t>To storing document file to upload to S3</t>
  </si>
  <si>
    <t>https://bluebik-team.atlassian.net/wiki/spaces/TNS/pages/59474010/document_file+Table+-+R2+S2</t>
  </si>
  <si>
    <t>uuid of rows</t>
  </si>
  <si>
    <t>Agent ID</t>
  </si>
  <si>
    <t>0002901215</t>
  </si>
  <si>
    <t>UUID of prospect.</t>
  </si>
  <si>
    <t>quotation_id</t>
  </si>
  <si>
    <t>UUID of quotation.</t>
  </si>
  <si>
    <r>
      <rPr>
        <u/>
        <sz val="12"/>
        <color rgb="FF1155CC"/>
        <rFont val="Arial"/>
        <scheme val="minor"/>
      </rPr>
      <t>quotation Table</t>
    </r>
    <r>
      <rPr>
        <sz val="12"/>
        <rFont val="Arial"/>
        <scheme val="minor"/>
      </rPr>
      <t>.id</t>
    </r>
  </si>
  <si>
    <t>UUID of application.</t>
  </si>
  <si>
    <t>123456</t>
  </si>
  <si>
    <t>type</t>
  </si>
  <si>
    <t>Document type</t>
  </si>
  <si>
    <t>ID_CARD</t>
  </si>
  <si>
    <r>
      <rPr>
        <u/>
        <sz val="12"/>
        <color rgb="FF1155CC"/>
        <rFont val="Arial"/>
      </rPr>
      <t>document_type Table</t>
    </r>
    <r>
      <rPr>
        <sz val="12"/>
        <rFont val="Arial"/>
      </rPr>
      <t xml:space="preserve"> 
(doc_type)</t>
    </r>
  </si>
  <si>
    <t xml:space="preserve">Step 2 Document attachment 
Edit Quotation </t>
  </si>
  <si>
    <t>POST /ms-sales/v1/internaldocument-files
POST /ms-sales/v1/quotationscallback-document-file</t>
  </si>
  <si>
    <t>person_type</t>
  </si>
  <si>
    <t>Person type</t>
  </si>
  <si>
    <t>INSURED</t>
  </si>
  <si>
    <r>
      <rPr>
        <u/>
        <sz val="12"/>
        <color rgb="FF1155CC"/>
        <rFont val="Arial"/>
        <scheme val="minor"/>
      </rPr>
      <t>document_type Table</t>
    </r>
    <r>
      <rPr>
        <sz val="12"/>
        <rFont val="Arial"/>
        <scheme val="minor"/>
      </rPr>
      <t xml:space="preserve"> 
(person_type)</t>
    </r>
  </si>
  <si>
    <t>POST /ms-sales/v1/internaldocument-files</t>
  </si>
  <si>
    <t>s3_key</t>
  </si>
  <si>
    <t>varchar(1024)</t>
  </si>
  <si>
    <t>path on s3</t>
  </si>
  <si>
    <t>/ms-sales/quotation/25680101/quotation.pdf</t>
  </si>
  <si>
    <t>APPROVED
DECLINE
PENDING</t>
  </si>
  <si>
    <t>seq</t>
  </si>
  <si>
    <t>Sequence</t>
  </si>
  <si>
    <t>metadata</t>
  </si>
  <si>
    <t>json</t>
  </si>
  <si>
    <t>Metadata</t>
  </si>
  <si>
    <t>{"key": "value"}</t>
  </si>
  <si>
    <t>Stored non-essential data to avoid schema changes</t>
  </si>
  <si>
    <t>Stored in UTC + 7.
Defaults to the current timestamp at the time of insertion.</t>
  </si>
  <si>
    <t>The unique identifier id (เลขที่ใบคำขอ)</t>
  </si>
  <si>
    <t>Auto Increment</t>
  </si>
  <si>
    <t>ref: applicationid (varchar) ** To avoid overlap when migration, should be start auto increment with 100001</t>
  </si>
  <si>
    <t>Customer unique identifier (UUID)</t>
  </si>
  <si>
    <t>prospect Table (id)</t>
  </si>
  <si>
    <t>25540a20-78be-4d4a-8210-ce4a26ca9993</t>
  </si>
  <si>
    <t>ref: customerid</t>
  </si>
  <si>
    <t>application_no</t>
  </si>
  <si>
    <t>Application reference number</t>
  </si>
  <si>
    <t>quotation Table (reference_no)</t>
  </si>
  <si>
    <t>ref: applicationno</t>
  </si>
  <si>
    <t xml:space="preserve">Application Detail 
Step 1.1-1.8 
Step 1.1 Insured 
Step 1.2 Payor 
Step 1.3 Beneficiary/Guardian 
Step 1.4 Insurance History 
Step 1.5 Health Q 
Step 1.6 FATCA 
Step 1.7 CRS 
Step 1.8 Summary </t>
  </si>
  <si>
    <t>GET /ms-sales/v1/applications/{applicationId}
POST /ms-sales/v1/applications</t>
  </si>
  <si>
    <t>applicationno</t>
  </si>
  <si>
    <t>Quotation reference number</t>
  </si>
  <si>
    <t>quotation Table (id)</t>
  </si>
  <si>
    <t>ref: quotationno (varchar)</t>
  </si>
  <si>
    <t>quotationno</t>
  </si>
  <si>
    <t>OL = Ordinary Life (ประกันชีวิตแบบสามัญ), UL = Universal Life (ประกันชีวิตแบบยูนิเวอร์แซล), UK = Unit Link (ประกันชีวิตควบการลงทุน/ยูนิตลิงค์)</t>
  </si>
  <si>
    <t xml:space="preserve">Application List 
Application Detail 
Step 1.1-1.8 
Step 1.1 Insured 
Step 1.2 Payor 
Step 1.3 Beneficiary/Guardian 
Step 1.4 Insurance History 
Step 1.5 Health Q 
Step 1.6 FATCA 
Step 1.7 CRS 
Step 1.8 Summary </t>
  </si>
  <si>
    <t>GET /ms-sales/v1/applications
GET /ms-sales/v1/applications/{applicationId}
POST /ms-sales/v1/applications</t>
  </si>
  <si>
    <t>Plan code</t>
  </si>
  <si>
    <t>UWB</t>
  </si>
  <si>
    <t xml:space="preserve">Application List 
Application Detail 
Step 1.1-1.8 
Step 1.1 
Step 1.1 Insured 
Step 1.2 Payor 
Step 1.3 Beneficiary/Guardian 
Step 1.4 Insurance History 
Step 1.5 Health Q 
Step 1.6 FATCA 
Step 1.7 CRS 
Step 1.8 Summary </t>
  </si>
  <si>
    <t>GET /ms-sales/v1/applications
GET /ms-sales/v1/applications/{applicationId}
GET /ms-sales/v1/applications/{planCode}/initial
POST /ms-sales/v1/applications</t>
  </si>
  <si>
    <t>Plan name</t>
  </si>
  <si>
    <t>ทีแอล ยูนิเวอร์แซลไลฟ์ 90/90 []</t>
  </si>
  <si>
    <t>Display name</t>
  </si>
  <si>
    <t>ทีแอล ยูนิเวอร์แซลไลฟ์ 90/90</t>
  </si>
  <si>
    <t>Plan type</t>
  </si>
  <si>
    <t>OL = Ordinary Life (ประกันชีวิตแบบสามัญ), UL = Universal Life (ประกันชีวิตแบบยูนิเวอร์แซล), UK = Unit Link (ประกันชีวิตควบการลงทุน/ยูนิตลิงค์), PA = Personal Accident, CANCER = Cancer, TAKAFUL = Takaful, PA_MICRO = Micro personal accident</t>
  </si>
  <si>
    <t>Sales agent ID</t>
  </si>
  <si>
    <t>ref: agentid</t>
  </si>
  <si>
    <t>agent_title</t>
  </si>
  <si>
    <t>Sales agent title name</t>
  </si>
  <si>
    <t>agent_full_name</t>
  </si>
  <si>
    <t>Sales agent full name **update before generate pdf (if diff current date)</t>
  </si>
  <si>
    <t>ฝ่ายขาย ฝ่ายขาย</t>
  </si>
  <si>
    <t>ref: agentfullname</t>
  </si>
  <si>
    <t>agentfullname</t>
  </si>
  <si>
    <t>agent_str_id</t>
  </si>
  <si>
    <t>Sales agent structure ID **update before generate pdf (if diff current date)</t>
  </si>
  <si>
    <t>A123456Z</t>
  </si>
  <si>
    <t>agent_deposit_no</t>
  </si>
  <si>
    <t>Sales agent deposit no **update before generate pdf (if diff current date)</t>
  </si>
  <si>
    <t>agent_license_no</t>
  </si>
  <si>
    <t>Sales agent license no **update before generate pdf (if diff current date)</t>
  </si>
  <si>
    <t>agent_branch_code</t>
  </si>
  <si>
    <t>Sales agent branch code **update before generate pdf (if diff current date)</t>
  </si>
  <si>
    <t>agent_branch_name</t>
  </si>
  <si>
    <t>Sales agent branch name</t>
  </si>
  <si>
    <t>บางนา</t>
  </si>
  <si>
    <t>b_agent_id</t>
  </si>
  <si>
    <t>Sales agent ID level B **update before generate pdf (if diff current date)</t>
  </si>
  <si>
    <t>b_str_id</t>
  </si>
  <si>
    <t>Sales agent structure id level B **update before generate pdf (if diff current date)</t>
  </si>
  <si>
    <t>B123456A</t>
  </si>
  <si>
    <t>b_agent_full_name</t>
  </si>
  <si>
    <t>Sales agent full name level B **update before generate pdf (if diff current date)</t>
  </si>
  <si>
    <t>นายฝ่ายขาย ฝ่ายขาย</t>
  </si>
  <si>
    <t>d_agent_id</t>
  </si>
  <si>
    <t>Sales agent deposit no level D **update before generate pdf (if diff current date)</t>
  </si>
  <si>
    <t>d_str_id</t>
  </si>
  <si>
    <t>Sales agent structure id level D **update before generate pdf (if diff current date)</t>
  </si>
  <si>
    <t>D123456A</t>
  </si>
  <si>
    <t>d_agent_full_name</t>
  </si>
  <si>
    <t>agent_info_last_update</t>
  </si>
  <si>
    <t>Sales agent last update **update before generate pdf (if diff current date)</t>
  </si>
  <si>
    <t>insure_title</t>
  </si>
  <si>
    <t>Title of the insured person (ชื่อที่แสดงเวลาเซ็นเอกสารใน pdf)</t>
  </si>
  <si>
    <t>ref: insuretitle</t>
  </si>
  <si>
    <t>insuretitle</t>
  </si>
  <si>
    <t>insure_first_name</t>
  </si>
  <si>
    <t>First name of the insured person (ชื่อที่แสดงเวลาเซ็นเอกสารใน pdf)</t>
  </si>
  <si>
    <t>ทดสอบ</t>
  </si>
  <si>
    <t>ref: insurename</t>
  </si>
  <si>
    <t xml:space="preserve">Application List 
Step 1.1 Insured 
Step 1.2 Payor 
Step 1.3 Beneficiary/Guardian 
Step 1.4 Insurance History 
Step 1.5 Health Q 
Step 1.6 FATCA 
Step 1.7 CRS 
Step 1.8 Summary </t>
  </si>
  <si>
    <t>GET /ms-sales/v1/applications
POST /ms-sales/v1/applications</t>
  </si>
  <si>
    <t>insurename</t>
  </si>
  <si>
    <t>insure_last_name</t>
  </si>
  <si>
    <t>Last name of the insured person (ชื่อที่แสดงเวลาเซ็นเอกสารใน pdf)</t>
  </si>
  <si>
    <t>ref: insurelastname</t>
  </si>
  <si>
    <t>insurelastname</t>
  </si>
  <si>
    <t>witness1_title_code</t>
  </si>
  <si>
    <t>Title code of the first witness</t>
  </si>
  <si>
    <t>witness1_title</t>
  </si>
  <si>
    <t>Title of the first witness</t>
  </si>
  <si>
    <t>ref: witness1title</t>
  </si>
  <si>
    <t>witness1title</t>
  </si>
  <si>
    <t>witness1_first_name</t>
  </si>
  <si>
    <t>First name of the first witness</t>
  </si>
  <si>
    <t>ref: witness1fname</t>
  </si>
  <si>
    <t>witness1fname</t>
  </si>
  <si>
    <t>witness1_last_name</t>
  </si>
  <si>
    <t>Last name of the first witness</t>
  </si>
  <si>
    <t>ref: witness1lname</t>
  </si>
  <si>
    <t>witness1lname</t>
  </si>
  <si>
    <t>witness2_title_code</t>
  </si>
  <si>
    <t>Title code of the second witness</t>
  </si>
  <si>
    <t>witness2_title</t>
  </si>
  <si>
    <t>Title of the second witness</t>
  </si>
  <si>
    <t>ref: witness2title</t>
  </si>
  <si>
    <t>witness2title</t>
  </si>
  <si>
    <t>witness2_first_name</t>
  </si>
  <si>
    <t>First name of the second witness</t>
  </si>
  <si>
    <t>ref: witness2fname</t>
  </si>
  <si>
    <t>witness2fname</t>
  </si>
  <si>
    <t>witness2_last_name</t>
  </si>
  <si>
    <t>Last name of the second witness</t>
  </si>
  <si>
    <t>ref: witness2lname</t>
  </si>
  <si>
    <t>witness2lname</t>
  </si>
  <si>
    <t>form_type</t>
  </si>
  <si>
    <t>Application form type</t>
  </si>
  <si>
    <t>NORMAL</t>
  </si>
  <si>
    <t>EAPP = เล่นไปถึง EAPP แล้ว, NORMAL = ยังอยู่ที่การกรอกข้อมูลใบคำขอ</t>
  </si>
  <si>
    <t>ref: formtype</t>
  </si>
  <si>
    <t>formtype</t>
  </si>
  <si>
    <t>application_status</t>
  </si>
  <si>
    <t>Application status</t>
  </si>
  <si>
    <t>code Table (code)</t>
  </si>
  <si>
    <t>code Table (code) when searchKey = applicationStatus</t>
  </si>
  <si>
    <t>ref: applicationstatus</t>
  </si>
  <si>
    <t>applicationstatus</t>
  </si>
  <si>
    <t>Publish status</t>
  </si>
  <si>
    <t>D = กรอกใบคำขอยังไม่ครบ Draft, P = กรอกข้อมูลใบคำขอ ครบแล้ว Published</t>
  </si>
  <si>
    <t>ref: publishstatus</t>
  </si>
  <si>
    <t>place</t>
  </si>
  <si>
    <t>Place of insurance submission (ทำประกันที่ ....)</t>
  </si>
  <si>
    <t>ไทยประกัน</t>
  </si>
  <si>
    <t>ref: place</t>
  </si>
  <si>
    <t>yy_mm</t>
  </si>
  <si>
    <t>varchar(4)</t>
  </si>
  <si>
    <t>Year and month for WAP number (YYMM) (ปีเดือนที่ขอเลข wapno UK)</t>
  </si>
  <si>
    <t>ref: yymm</t>
  </si>
  <si>
    <t>yymm</t>
  </si>
  <si>
    <t>wap_no</t>
  </si>
  <si>
    <t>WAP number (UK) (เลขที่ wapno UK)</t>
  </si>
  <si>
    <t>WAP066298</t>
  </si>
  <si>
    <t>ref: wapno</t>
  </si>
  <si>
    <t>wapno</t>
  </si>
  <si>
    <t>Customer consent status</t>
  </si>
  <si>
    <t>Y = consent, N = no</t>
  </si>
  <si>
    <t>ref: consentstatus</t>
  </si>
  <si>
    <t>Prospect List &amp; Profile 
Quotation Search Lead (R2S3)
Create Prospect (R2S6)
Create Quotation 
Edit Quotation in Application (R2S15)</t>
  </si>
  <si>
    <t>GET /ms-sales/v1/prospects
GET /ms-sales/v1/prospects/{prospectId}/profile
POST /ms-sales/v1/prospects
POST /ms-sales/v1/quotations
POST /ms-sales/v1/quotationsrevise
POST /ms-sales/v2/quotations</t>
  </si>
  <si>
    <t>is_consent_agent_email</t>
  </si>
  <si>
    <t>Allow agent email usage</t>
  </si>
  <si>
    <t>true = ยอมรับเรื่องใช้เป็นเมล์ฝ่ายขาย, false = ไม่ยินยอม</t>
  </si>
  <si>
    <t>ref: allowagentemail. If insured is not agent but use agent's email, after consent will be stamp true</t>
  </si>
  <si>
    <t>isemailagent</t>
  </si>
  <si>
    <t>agent_email_match</t>
  </si>
  <si>
    <t>Email contact source</t>
  </si>
  <si>
    <t>CUS</t>
  </si>
  <si>
    <t>CUS = เทียบเมล์ ไม่เป็นฝ่ายขาย, MSALE = เทียบเมล์ เจอเป็นฝ่ายขาย, PAY = เทียบเมล์ เจอเป็นคนจ่าย</t>
  </si>
  <si>
    <t>ref: isemailagent. If insured is agent → MSALE. If insured is not agent but payor is agent → PAY. If insured is not agent and payor is not agent → CUS</t>
  </si>
  <si>
    <t>allowagentemail</t>
  </si>
  <si>
    <t>f2f</t>
  </si>
  <si>
    <t>Face-to-face submission flag</t>
  </si>
  <si>
    <t>true = เลือก f2f, false = เลือก eapp</t>
  </si>
  <si>
    <t>ref: f2f</t>
  </si>
  <si>
    <t>insure_rejection_flag</t>
  </si>
  <si>
    <t>Insurance rejection flag</t>
  </si>
  <si>
    <t>Y = มีถูกปฏิเสธการรับประกัน, N = ไม่</t>
  </si>
  <si>
    <t>ref: insurerejectionflag</t>
  </si>
  <si>
    <t>insurerejectionflag</t>
  </si>
  <si>
    <t>other_insurance_yn</t>
  </si>
  <si>
    <t>Other insurance existence flag</t>
  </si>
  <si>
    <t>Y = มีประกันที่อื่น, N = ไม่</t>
  </si>
  <si>
    <t>ref: otherinsuranceyn</t>
  </si>
  <si>
    <t>otherinsuranceyn</t>
  </si>
  <si>
    <t>smart_case_flag</t>
  </si>
  <si>
    <t>Smart case flag (เป็น flag ได้มาจาก unw)</t>
  </si>
  <si>
    <t>Y, N</t>
  </si>
  <si>
    <t>ref: smartcaseflag</t>
  </si>
  <si>
    <t>smartcaseflag</t>
  </si>
  <si>
    <t>Status odd type</t>
  </si>
  <si>
    <t>C = cancel ยกเลิก, N = none default, P = progress กำลังดำเนินการ, R = reject กรณี ยกเลิกรับประกัน, S = success สำเร็จ</t>
  </si>
  <si>
    <t>ref: statusodd</t>
  </si>
  <si>
    <t>fatca_agree</t>
  </si>
  <si>
    <t>FATCA agreement flag</t>
  </si>
  <si>
    <t>Y = agree, N = no</t>
  </si>
  <si>
    <t>ref: fatcaagree</t>
  </si>
  <si>
    <t>fatcaagree</t>
  </si>
  <si>
    <t>crs_agree</t>
  </si>
  <si>
    <t>CRS agreement flag</t>
  </si>
  <si>
    <t>ref: crsagree</t>
  </si>
  <si>
    <t>crsagree</t>
  </si>
  <si>
    <t>e_policy_type</t>
  </si>
  <si>
    <t>varchar(12)</t>
  </si>
  <si>
    <t>E-policy type</t>
  </si>
  <si>
    <t>NONPAPER</t>
  </si>
  <si>
    <t>NONPAPER = แบบอิเล็กทรอนิกส์ โดยจัดส่งตามอีเมล (e-mail) ที่ให้ไว้กับบริษัท, PAPER = กระดาษ</t>
  </si>
  <si>
    <t>ref: epolicytype</t>
  </si>
  <si>
    <t>epolicytype</t>
  </si>
  <si>
    <t>e_receipt_type</t>
  </si>
  <si>
    <t>E-receipt type</t>
  </si>
  <si>
    <t>ref: ereceipttype</t>
  </si>
  <si>
    <t>ereceipttype</t>
  </si>
  <si>
    <t>deposit_no</t>
  </si>
  <si>
    <t>Deposit number</t>
  </si>
  <si>
    <t>ref: depositno</t>
  </si>
  <si>
    <t xml:space="preserve">Step 1.1 
Step 1.1 Insured 
Step 1.2 Payor 
Step 1.3 Beneficiary/Guardian 
Step 1.4 Insurance History 
Step 1.5 Health Q 
Step 1.6 FATCA 
Step 1.7 CRS 
Step 1.8 Summary </t>
  </si>
  <si>
    <t>GET /ms-sales/v1/applications/{planCode}/initial
POST /ms-sales/v1/applications</t>
  </si>
  <si>
    <t>depositno</t>
  </si>
  <si>
    <t>deposit_owner</t>
  </si>
  <si>
    <t>varchar(250)</t>
  </si>
  <si>
    <t>Deposit owner</t>
  </si>
  <si>
    <t>นางเอ เอ (08833)</t>
  </si>
  <si>
    <t>ref: depositowner</t>
  </si>
  <si>
    <t>depositowner</t>
  </si>
  <si>
    <t>edit_deposit_date</t>
  </si>
  <si>
    <t>Deposit edit timestamp</t>
  </si>
  <si>
    <t>ref: editdepositdate</t>
  </si>
  <si>
    <t>editdepositdate</t>
  </si>
  <si>
    <t>Bank code</t>
  </si>
  <si>
    <t>ref: bankcode</t>
  </si>
  <si>
    <t>is_accept_pay_credit_uk</t>
  </si>
  <si>
    <t>Accept credit card payment (UK)</t>
  </si>
  <si>
    <t>true = checkbox ยอมรับ, false = default</t>
  </si>
  <si>
    <t>ref: isacceptpaycredituk</t>
  </si>
  <si>
    <t>isacceptpaycredituk</t>
  </si>
  <si>
    <t>submit_no</t>
  </si>
  <si>
    <t>Submit number (after payment)</t>
  </si>
  <si>
    <t>A000044377</t>
  </si>
  <si>
    <t>ref: submitno</t>
  </si>
  <si>
    <t>*Src: 
newCore: api generate proposalNo
oldCore: after submit process</t>
  </si>
  <si>
    <t>submitno</t>
  </si>
  <si>
    <t>submit_date</t>
  </si>
  <si>
    <t>Application submit timestamp (วันที่ส่งใบคำขอ)</t>
  </si>
  <si>
    <t>ref: submitdate วันที่ส่งใบคำขอ</t>
  </si>
  <si>
    <t>*Src: api generate proposalNo</t>
  </si>
  <si>
    <t>GET /ms-sales/v1/quotationsol/{quotationId}/temp</t>
  </si>
  <si>
    <t>submitdate</t>
  </si>
  <si>
    <t>submit_date_unw</t>
  </si>
  <si>
    <t>Underwriting submit timestamp (เวลา unw submit)</t>
  </si>
  <si>
    <t>ref: submitdateunw</t>
  </si>
  <si>
    <t>submitdateunw</t>
  </si>
  <si>
    <t>policy_no</t>
  </si>
  <si>
    <t>Policy number (Got from generate proposal number)</t>
  </si>
  <si>
    <t>ref: policyno</t>
  </si>
  <si>
    <t>policyno</t>
  </si>
  <si>
    <t>temp_policy_no</t>
  </si>
  <si>
    <t>Temporary policy number (Proposal Number)</t>
  </si>
  <si>
    <t>ZE143621</t>
  </si>
  <si>
    <t>ref: temppolicyno</t>
  </si>
  <si>
    <t xml:space="preserve">Application Detail </t>
  </si>
  <si>
    <t>GET /ms-sales/v1/applications/{applicationId}/get-transaction</t>
  </si>
  <si>
    <t>temppolicyno</t>
  </si>
  <si>
    <t>auto_app</t>
  </si>
  <si>
    <t>Auto-approval flag for unitlink (ส่ง autoapprove ของ unitlink)</t>
  </si>
  <si>
    <t>true, false</t>
  </si>
  <si>
    <t>ref: autoapp</t>
  </si>
  <si>
    <t>autoapp</t>
  </si>
  <si>
    <t>auto_unw</t>
  </si>
  <si>
    <t>Auto-underwriting flag for unitlink (เรียก autounw ของ unitlink)</t>
  </si>
  <si>
    <t>ref: autounw</t>
  </si>
  <si>
    <t>autounw</t>
  </si>
  <si>
    <t>errmsg_unw</t>
  </si>
  <si>
    <t>Error message from auto-underwriting (error จาก autoapprove)</t>
  </si>
  <si>
    <t>เคยเสพยาเสพติด : Basic validate from TLProPlus.</t>
  </si>
  <si>
    <t>ref: errmsgunw</t>
  </si>
  <si>
    <t>errmsgunw</t>
  </si>
  <si>
    <t>is_new_core</t>
  </si>
  <si>
    <t>Is new core system (true/false)</t>
  </si>
  <si>
    <t>true = new core, false = old core</t>
  </si>
  <si>
    <t>ref: isnewcore</t>
  </si>
  <si>
    <t>GET /ms-sales/v1/applications/{applicationId}
GET /ms-sales/v1/applications/{applicationId}/get-transaction
POST /ms-sales/v1/applications</t>
  </si>
  <si>
    <t>isnewcore</t>
  </si>
  <si>
    <t>additional_flag</t>
  </si>
  <si>
    <t>Additional health disclosure flag (สำหรับผู้ขอเอาประกัน กรณีต้องการแจ้งรายละเอียดเพิ่มเติม)</t>
  </si>
  <si>
    <t>true = Insured give health disclosure, false = Insured does not give health disclosure</t>
  </si>
  <si>
    <t>additional_detail</t>
  </si>
  <si>
    <t>Additional health disclosure (สำหรับผู้ขอเอาประกัน กรณีต้องการแจ้งรายละเอียดเพิ่มเติม)</t>
  </si>
  <si>
    <t>แถลงเพิ่มเติมสุขภาพ</t>
  </si>
  <si>
    <t>ref: additiondetail</t>
  </si>
  <si>
    <t>Health check flag</t>
  </si>
  <si>
    <t>pdf_queue_attempt</t>
  </si>
  <si>
    <t>Generate PDF Attempt (Only when final PDF)</t>
  </si>
  <si>
    <t>SQS Queue for generate pdf</t>
  </si>
  <si>
    <t>W</t>
  </si>
  <si>
    <t>W = Waiting in queue, S = Success, F = Failed</t>
  </si>
  <si>
    <t xml:space="preserve">Application Detail 
Step 1.1-1.8 </t>
  </si>
  <si>
    <t>GET /ms-sales/v1/applications/{applicationId}</t>
  </si>
  <si>
    <t>proposal_no_queue_status</t>
  </si>
  <si>
    <t>SQS Queue for MuleSoft</t>
  </si>
  <si>
    <t>email_for_verify</t>
  </si>
  <si>
    <t>Verified email</t>
  </si>
  <si>
    <t>example@thailife.com</t>
  </si>
  <si>
    <t>email_status</t>
  </si>
  <si>
    <t>Email status</t>
  </si>
  <si>
    <t>{null} = no verify, N = not verify, Y = verified</t>
  </si>
  <si>
    <t>email_resend_time</t>
  </si>
  <si>
    <t>Time available to resend email</t>
  </si>
  <si>
    <t>email_ref_id</t>
  </si>
  <si>
    <t>Email reference ID</t>
  </si>
  <si>
    <t>s4THa9</t>
  </si>
  <si>
    <t>agent_mobile_no</t>
  </si>
  <si>
    <t>Agent Mobile No.</t>
  </si>
  <si>
    <t>esubmission_queue_status</t>
  </si>
  <si>
    <t>SQS Queue for e-Submission</t>
  </si>
  <si>
    <t>esubmission_attempt</t>
  </si>
  <si>
    <t>Attempt for e-Submission (Add attempt when send e-submission failed = 1)</t>
  </si>
  <si>
    <t>sprint 5</t>
  </si>
  <si>
    <t>esubmission_last_update</t>
  </si>
  <si>
    <t>e-Submission Last Update (When Consumer)</t>
  </si>
  <si>
    <t>sprint 6</t>
  </si>
  <si>
    <t>is_delete</t>
  </si>
  <si>
    <t>Delete application flag</t>
  </si>
  <si>
    <t>true = deleted, false = not delete</t>
  </si>
  <si>
    <t xml:space="preserve">Application List </t>
  </si>
  <si>
    <t>GET /ms-sales/v1/applications</t>
  </si>
  <si>
    <t>approved_policy_date</t>
  </si>
  <si>
    <t>Stamp datetime when got approved application</t>
  </si>
  <si>
    <t>insure_doc_status</t>
  </si>
  <si>
    <t>Insure Doc Status</t>
  </si>
  <si>
    <t>W = Waiting callback, S = Callback Success, E = Callback Error, F = Submit Failed</t>
  </si>
  <si>
    <t>insure_doc_attempt</t>
  </si>
  <si>
    <t>Insure Doc Submit Attempt</t>
  </si>
  <si>
    <t>insure_doc_last_update</t>
  </si>
  <si>
    <t>Insure Doc Status Last Update</t>
  </si>
  <si>
    <t>dim_uuid</t>
  </si>
  <si>
    <t>DIM UUID for OldCore submission tracking</t>
  </si>
  <si>
    <t>scan_no</t>
  </si>
  <si>
    <t>Scan number for OldCore document tracking</t>
  </si>
  <si>
    <t>pdf_dim_queue_attempt</t>
  </si>
  <si>
    <t>Generate PDF DIM Queue Attempt (Add attempt when send DIM failed = 1)</t>
  </si>
  <si>
    <t>{"information": {"insured": true, "payor": false}, "document": false, "verification": false}</t>
  </si>
  <si>
    <t>Stored in UTC + 7. Defaults to the current timestamp at the time of insertion. ref: createdate</t>
  </si>
  <si>
    <t>Stored in UTC + 7. Automatically updated to the current timestamp whenever the record is updated. ref: updatedate</t>
  </si>
  <si>
    <t>Stored in UTC + 7. Defaults to the current timestamp at the time of insertion.</t>
  </si>
  <si>
    <t>R2_SP7</t>
  </si>
  <si>
    <t>To storing quotation transaction with selected rider.</t>
  </si>
  <si>
    <t>https://bluebik-team.atlassian.net/wiki/spaces/TNS/pages/54132737/quotation_rider+Table</t>
  </si>
  <si>
    <t>Quotation id.
Remark : Re-name from quotationno</t>
  </si>
  <si>
    <r>
      <rPr>
        <u/>
        <sz val="12"/>
        <color rgb="FF1155CC"/>
        <rFont val="Arial"/>
        <scheme val="minor"/>
      </rPr>
      <t>quotation Table</t>
    </r>
    <r>
      <rPr>
        <sz val="12"/>
        <rFont val="Arial"/>
        <scheme val="minor"/>
      </rPr>
      <t xml:space="preserve"> (id)</t>
    </r>
  </si>
  <si>
    <t>rider_code</t>
  </si>
  <si>
    <t>Rider code.
Remark : Re-name from ridertype</t>
  </si>
  <si>
    <t>AC01</t>
  </si>
  <si>
    <t>ridertype</t>
  </si>
  <si>
    <t>rider_name</t>
  </si>
  <si>
    <t>Rider name</t>
  </si>
  <si>
    <t>อ.1</t>
  </si>
  <si>
    <t>rider_group</t>
  </si>
  <si>
    <t>Rider group</t>
  </si>
  <si>
    <t>-ACCIDENT (อุบัติเหตุ ฆาตกรรมและจลาจล)
-DISEASE (โรคร้ายแรง)
-TEMPORARY (เฉพาะกาล)
-HEALTH (สุขภาพ)
-MEDICAL (ค่ารักษาพยาบาล หรือชดเชยรายได้)
-PAYOR (คุ้มครองผู้ชำระเบี้ย)</t>
  </si>
  <si>
    <t>sum_assure</t>
  </si>
  <si>
    <t>Rider sum assure.
Remark : Re-name from sum</t>
  </si>
  <si>
    <t>500000</t>
  </si>
  <si>
    <t>sum</t>
  </si>
  <si>
    <t>sum_assured_coverage</t>
  </si>
  <si>
    <t>Rider sum assure converage</t>
  </si>
  <si>
    <t>premium</t>
  </si>
  <si>
    <t>Rider premium.
Remark : Re-name from premium</t>
  </si>
  <si>
    <t>1300</t>
  </si>
  <si>
    <t xml:space="preserve">Create Quotation 
Edit Quotation 
Application Detail 
Quotation Preview PDF 
Edit Quotation in Application 
Edit Quotation Page </t>
  </si>
  <si>
    <t>GET /ms-sales/v1/quotationsolselling-description
GET /ms-sales/v1/quotationsol/{quotationId}/temp
GET /ms-sales/v1/quotationsproduct-illustration
GET /ms-sales/v1/quotationsul/{quotationId}/temp
GET /ms-sales/v1/quotations/{quotationId}
GET /ms-sales/v1/quotations/{quotationId}/consent-premium-withdrawal
GET /ms-sales/v2/quotationsproduct-illustration
POST /ms-sales/v1/quotations
POST /ms-sales/v1/quotationsrevise
POST /ms-sales/v1/quotationssubmit-ref-no
POST /ms-sales/v2/quotations
PUT /ms-sales/v1/quotations/{quotationId}
PUT /ms-sales/v1/quotations/{quotationId}/consent-premium-withdrawal
PUT /ms-sales/v2/quotations/{quotationId}</t>
  </si>
  <si>
    <t>0000014074UA0220240513092747</t>
  </si>
  <si>
    <t>0000000001EN0820240513120433</t>
  </si>
  <si>
    <t>0000000104UA0220240513165357</t>
  </si>
  <si>
    <t>0000020412PM20240514164519</t>
  </si>
  <si>
    <t>0000728779UZB20240514145401</t>
  </si>
  <si>
    <t>77a611e4-3bdd-4d9f-bc3c-df7e9b969c59</t>
  </si>
  <si>
    <t>9c4665f8-60b6-4e7b-b8bd-ddbbd9bfcf80</t>
  </si>
  <si>
    <t>55cea6a7-1c09-442a-80b2-5e4bc9da3c91</t>
  </si>
  <si>
    <t>cc4038fd-a249-4edd-a984-aa0faa051188</t>
  </si>
  <si>
    <t>04a3b829-d470-4c0c-a84f-79982087d665</t>
  </si>
  <si>
    <t>devicerefno</t>
  </si>
  <si>
    <t>UA02</t>
  </si>
  <si>
    <t>EN08</t>
  </si>
  <si>
    <t>PM</t>
  </si>
  <si>
    <t>UZB</t>
  </si>
  <si>
    <t>ทีแอล ไลฟ์ โซลูชั่น 99/99 (ยูนิตลิงค์)  [UA02]</t>
  </si>
  <si>
    <t>ตะกาฟุล 20/20 [EN08]</t>
  </si>
  <si>
    <t>คุ้มทวี 10 เท่า 20/20 [PM]</t>
  </si>
  <si>
    <t>ทีแอล ยูนิเวอร์แซลไลฟ์ 10/1 [UZB]</t>
  </si>
  <si>
    <t>mode</t>
  </si>
  <si>
    <t>นางสาว</t>
  </si>
  <si>
    <t>ยูเค</t>
  </si>
  <si>
    <t>นาตาชา</t>
  </si>
  <si>
    <t>เคสสอง</t>
  </si>
  <si>
    <t>ยูแอลสอง</t>
  </si>
  <si>
    <t>เพิ่มบริษัทประกัน</t>
  </si>
  <si>
    <t>รังสิมันต์</t>
  </si>
  <si>
    <t>เบิ้ลๆ</t>
  </si>
  <si>
    <t>คอมสองหนึ่ง</t>
  </si>
  <si>
    <t>ทำไลฟ์เนสสส</t>
  </si>
  <si>
    <t>pdfpath</t>
  </si>
  <si>
    <t>0000014074_UA02_25670513_092811</t>
  </si>
  <si>
    <t>EN08_00000000018e8bfa54-7d94-4377-88a2-93b9529021af</t>
  </si>
  <si>
    <t>0000000104_UA02_25670513_165449</t>
  </si>
  <si>
    <t>PM_0000020412023b301b-59eb-40e4-8692-7efab7a7c3f4</t>
  </si>
  <si>
    <t>0000728779_UZB_25670514_150559</t>
  </si>
  <si>
    <t>occ</t>
  </si>
  <si>
    <t>ทุกอาชีพที่เหลือทั้งหมด</t>
  </si>
  <si>
    <t>ULink</t>
  </si>
  <si>
    <t>ISLAM</t>
  </si>
  <si>
    <t>PER</t>
  </si>
  <si>
    <t>UL</t>
  </si>
  <si>
    <t>ppayyear</t>
  </si>
  <si>
    <t>paytype</t>
  </si>
  <si>
    <t>pdflang</t>
  </si>
  <si>
    <t>T</t>
  </si>
  <si>
    <t>alfrescoid</t>
  </si>
  <si>
    <t>workspace://SpacesStore/4e776096-1c19-4df1-9f13-3046f557aef0</t>
  </si>
  <si>
    <t>workspace://SpacesStore/5c8ecae0-32ff-49f5-ad75-04fdd59201f3</t>
  </si>
  <si>
    <t>workspace://SpacesStore/f0f2e092-e8bd-4e28-94e2-f35ea9660fb2</t>
  </si>
  <si>
    <t>workspace://SpacesStore/2eadbc16-52fb-4d40-a563-5dc98bc02b06</t>
  </si>
  <si>
    <t>workspace://SpacesStore/ce107072-df00-49fb-8e7a-2859f4dee28c</t>
  </si>
  <si>
    <t>F</t>
  </si>
  <si>
    <t>ทำงานในสถานพยาบาล / องค์กรรัฐ-เอกชน</t>
  </si>
  <si>
    <t>รับจ้าง</t>
  </si>
  <si>
    <t>ทำหน้าที่ภายนอกสำนักงาน (บางครั้ง)</t>
  </si>
  <si>
    <t>ข้าราชการทั่วไป (ปฏิบัติหน้าที่ในสำนักงาน)</t>
  </si>
  <si>
    <t>บริหารกิจการ</t>
  </si>
  <si>
    <t>D59113478V</t>
  </si>
  <si>
    <t>B00100045V</t>
  </si>
  <si>
    <t>G406.18L</t>
  </si>
  <si>
    <t>B99438986V</t>
  </si>
  <si>
    <t>D99462657V</t>
  </si>
  <si>
    <t>insured_passport_expired</t>
  </si>
  <si>
    <t>88888888-1111-1111-1111-439e888d4800</t>
  </si>
  <si>
    <t>99999999-1111-1111-1111-439e888d4800</t>
  </si>
  <si>
    <t>W006</t>
  </si>
  <si>
    <t>คุ้มธนกิจ 99/20 (1n) [W006]</t>
  </si>
  <si>
    <t>เอามาจากโปร</t>
  </si>
  <si>
    <t>ซัก อบ รีด</t>
  </si>
  <si>
    <t>ลูกจ้าง</t>
  </si>
  <si>
    <t>ไม่ซื้อ</t>
  </si>
  <si>
    <t>R</t>
  </si>
  <si>
    <t>คุ้มธนกิจ 99/20 (1n)</t>
  </si>
  <si>
    <t>TLPRO</t>
  </si>
  <si>
    <t xml:space="preserve">INSERT INTO asa_sale.quotation (id,prospect_id,agent_id,reference_no,plan_code,product_type,plan_name,plan_type,insured_title_code,insured_title,insured_first_name,insured_last_name,insured_age,insured_birth_date,insured_gender,insured_mobile_no,insured_identify_type,insured_citizen_id,insured_nationality,insured_passport,insured_country_code,occupation,occupation_name,occupation_business,occ_bus_value,occupation_type,code_occ_to_uw,occupation_reserve,occupation_reserve_name,occupation_business_reserve,occ_bus_value_reserve,code_occ_to_uw_reserve,occupation_group,parent_title_code,parent_title,parent_first_name,parent_last_name,parent_age,parent_relation_code,parent_relation,life_sum_assured,life_premium,payment_code,payment_type,payment_period,coverage_type,coverage_period,branch,package_number,type_app,tp_flag,kb_coverage_year,soldier,health_check_flag,preferred,saving_sum_assure,saving_premium,topup_type,topup_premium,total_premium,tax,discount_type,first_discount,special_discount,premium_discount,total_premium_after_discount,bank_code,status_odd,check_occ_te16,gen_reference_date,publish_status,submit_core_status,transfer_status,strid,status,submit_reference_no_status,queue_status,create_time,create_user_code,last_update,update_user_code,tax_deduction_type,delete_time,delete_user_code,e_sign_status,is_include_life_planning,life_planning_id,partial_withdraw_consent_flag,plan_display_name,insured_passport_expired,submit_refno_attempt,is_draft_edit,is_example_benefit) VALUES </t>
  </si>
  <si>
    <t>('88888888-1111-1111-1111-439e888d4800','99999999-1111-1111-1111-439e888d4800','0000000104','256950099999','W006','OL','คุ้มธนกิจ 99/20 (1n) [W006]','OL','000003','นางสาว','ทดสอบ','เอามาจากโปร',30,'1996-04-28 00:00:00.000','F','0629819619','TID','1900700160876','THA',NULL,NULL,'151','ซัก อบ รีด','04','ลูกจ้าง','2','24',NULL,NULL,NULL,NULL,NULL,NULL,NULL,NULL,NULL,NULL,NULL,NULL,NULL,500000,21230.00,'1','0',20,'1',99,NULL,'',NULL,true,NULL,NULL,false,NULL,NULL,NULL,'ไม่ซื้อ',0.00,21230.00,0.00,NULL,NULL,NULL,NULL,21230.00,NULL,NULL,NULL,'2026-04-28 17:43:43.440','A',NULL,NULL,NULL,'R','S','S','2026-04-28 17:43:35.831','0000000104','2026-04-28 18:48:13.394','0000000104','A',NULL,NULL,NULL,NULL,NULL,NULL,'คุ้มธนกิจ 99/20 (1n)',NULL,NULL,false,NULL)</t>
  </si>
  <si>
    <t>;</t>
  </si>
  <si>
    <t xml:space="preserve">INSERT INTO asa_sale.prospect (id,agent_id,status,customer_type,consent_status,consent_date,"source",progress_last_update,date_not_specified,pre_name,pre_name_code,pre_name_other,first_name,last_name,birth_date,gender,identify_type,weight,height,marital_status,first_name_old,last_name_old,citizen_id,identify_expire_date,is_no_identify_expire_date,identify_type_other,identify_type_other_text,passport,country_code,nationality,mobile_phone,mobile_phone2,email,line_id,link_facebook,telephone,fax,occupation,occ_detail,occupation_business,occ_bus_value,occupation_type,"position",job_description,salary,code_occ_to_uw,occupation_reserve,occ_detail_reserve,occupation_business_reserve,occ_bus_value_reserve,occupation_type_reserve,salary_reserve,position_reserve,job_description_reserve,code_occ_to_uw_reserve,call_date,call_start_time,call_end_time,call_remark,relation_type,first_name_parent,last_name_parent,flag_draft_yn,remark,calendar_option,create_time,create_user_code,last_update,update_user_code,delete_time,delete_user_code,call_date_not_specified) VALUES </t>
  </si>
  <si>
    <t>('99999999-1111-1111-1111-439e888d4800','0000000104',NULL,'P','A',NULL,'TLPRO','2026-04-28 18:48:13.394',NULL,'นางสาว','000003',NULL,'ทดสอบ','เอามาจากโปร','1996-04-28 00:00:00.000','F','TID',NULL,NULL,NULL,NULL,NULL,'1900700160876',NULL,NULL,NULL,NULL,NULL,NULL,'THA','0629819619',NULL,NULL,NULL,NULL,NULL,NULL,'151','ซัก อบ รีด','04','ลูกจ้าง','2',NULL,NULL,NULL,'24',NULL,NULL,NULL,NULL,NULL,NULL,NULL,NULL,NULL,NULL,NULL,NULL,NULL,NULL,NULL,NULL,NULL,NULL,NULL,'2026-04-21 09:30:24.539','0000000104','2026-04-28 18:48:13.394','0000000104',NULL,'',NULL)</t>
  </si>
  <si>
    <t>INSERT INTO asa_sale.quotation (</t>
  </si>
  <si>
    <t>VALUES (</t>
  </si>
  <si>
    <t xml:space="preserve">    id,</t>
  </si>
  <si>
    <t xml:space="preserve">    '88888888-1111-1111-1111-439e888d4800',</t>
  </si>
  <si>
    <t xml:space="preserve">    prospect_id,</t>
  </si>
  <si>
    <t xml:space="preserve">    '99999999-1111-1111-1111-439e888d4800',</t>
  </si>
  <si>
    <t xml:space="preserve">    agent_id,</t>
  </si>
  <si>
    <t xml:space="preserve">    '0000000104',</t>
  </si>
  <si>
    <t xml:space="preserve">    reference_no,</t>
  </si>
  <si>
    <t xml:space="preserve">    '256950099999',</t>
  </si>
  <si>
    <t xml:space="preserve">    plan_code,</t>
  </si>
  <si>
    <t xml:space="preserve">    'W006',</t>
  </si>
  <si>
    <t xml:space="preserve">    product_type,</t>
  </si>
  <si>
    <t xml:space="preserve">    'OL',</t>
  </si>
  <si>
    <t xml:space="preserve">    plan_name,</t>
  </si>
  <si>
    <t xml:space="preserve">    'คุ้มธนกิจ 99/20 (1n) [W006]',</t>
  </si>
  <si>
    <t xml:space="preserve">    plan_type,</t>
  </si>
  <si>
    <t xml:space="preserve">    insured_title_code,</t>
  </si>
  <si>
    <t xml:space="preserve">    '000003',</t>
  </si>
  <si>
    <t xml:space="preserve">    insured_title,</t>
  </si>
  <si>
    <t xml:space="preserve">    'นางสาว',</t>
  </si>
  <si>
    <t xml:space="preserve">    insured_first_name,</t>
  </si>
  <si>
    <t xml:space="preserve">    'ทดสอบ',</t>
  </si>
  <si>
    <t xml:space="preserve">    insured_last_name,</t>
  </si>
  <si>
    <t xml:space="preserve">    'เอามาจากโปร',</t>
  </si>
  <si>
    <t xml:space="preserve">    insured_age,</t>
  </si>
  <si>
    <t xml:space="preserve">    30,</t>
  </si>
  <si>
    <t xml:space="preserve">    insured_birth_date,</t>
  </si>
  <si>
    <t xml:space="preserve">    '1996-04-28 00:00:00.000',</t>
  </si>
  <si>
    <t xml:space="preserve">    insured_gender,</t>
  </si>
  <si>
    <t xml:space="preserve">    'F',</t>
  </si>
  <si>
    <t xml:space="preserve">    insured_mobile_no,</t>
  </si>
  <si>
    <t xml:space="preserve">    '0629819619',</t>
  </si>
  <si>
    <t xml:space="preserve">    insured_identify_type,</t>
  </si>
  <si>
    <t xml:space="preserve">    'TID',</t>
  </si>
  <si>
    <t xml:space="preserve">    insured_citizen_id,</t>
  </si>
  <si>
    <t xml:space="preserve">    '1900700160876',</t>
  </si>
  <si>
    <t xml:space="preserve">    insured_nationality,</t>
  </si>
  <si>
    <t xml:space="preserve">    'THA',</t>
  </si>
  <si>
    <t xml:space="preserve">    insured_passport,</t>
  </si>
  <si>
    <t xml:space="preserve">    NULL,</t>
  </si>
  <si>
    <t xml:space="preserve">    insured_country_code,</t>
  </si>
  <si>
    <t xml:space="preserve">    occupation,</t>
  </si>
  <si>
    <t xml:space="preserve">    '151',</t>
  </si>
  <si>
    <t xml:space="preserve">    occupation_name,</t>
  </si>
  <si>
    <t xml:space="preserve">    'ซัก อบ รีด',</t>
  </si>
  <si>
    <t xml:space="preserve">    occupation_business,</t>
  </si>
  <si>
    <t xml:space="preserve">    '04',</t>
  </si>
  <si>
    <t xml:space="preserve">    occ_bus_value,</t>
  </si>
  <si>
    <t xml:space="preserve">    'ลูกจ้าง',</t>
  </si>
  <si>
    <t xml:space="preserve">    occupation_type,</t>
  </si>
  <si>
    <t xml:space="preserve">    '2',</t>
  </si>
  <si>
    <t xml:space="preserve">    code_occ_to_uw,</t>
  </si>
  <si>
    <t xml:space="preserve">    '24',</t>
  </si>
  <si>
    <t xml:space="preserve">    occupation_reserve,</t>
  </si>
  <si>
    <t xml:space="preserve">    occupation_reserve_name,</t>
  </si>
  <si>
    <t xml:space="preserve">    occ_bus_value_reserve,</t>
  </si>
  <si>
    <t xml:space="preserve">    code_occ_to_uw_reserve,</t>
  </si>
  <si>
    <t xml:space="preserve">    occupation_group,</t>
  </si>
  <si>
    <t xml:space="preserve">    parent_title_code,</t>
  </si>
  <si>
    <t xml:space="preserve">    parent_title,</t>
  </si>
  <si>
    <t xml:space="preserve">    parent_first_name,</t>
  </si>
  <si>
    <t xml:space="preserve">    parent_last_name,</t>
  </si>
  <si>
    <t xml:space="preserve">    parent_age,</t>
  </si>
  <si>
    <t xml:space="preserve">    parent_relation_code,</t>
  </si>
  <si>
    <t xml:space="preserve">    parent_relation,</t>
  </si>
  <si>
    <t xml:space="preserve">    life_sum_assured,</t>
  </si>
  <si>
    <t xml:space="preserve">    500000,</t>
  </si>
  <si>
    <t xml:space="preserve">    life_premium,</t>
  </si>
  <si>
    <t xml:space="preserve">    21230.00,</t>
  </si>
  <si>
    <t xml:space="preserve">    payment_code,</t>
  </si>
  <si>
    <t xml:space="preserve">    '1',</t>
  </si>
  <si>
    <t xml:space="preserve">    payment_type,</t>
  </si>
  <si>
    <t xml:space="preserve">    '0',</t>
  </si>
  <si>
    <t xml:space="preserve">    payment_period,</t>
  </si>
  <si>
    <t xml:space="preserve">    20,</t>
  </si>
  <si>
    <t xml:space="preserve">    coverage_type,</t>
  </si>
  <si>
    <t xml:space="preserve">    coverage_period,</t>
  </si>
  <si>
    <t xml:space="preserve">    99,</t>
  </si>
  <si>
    <t xml:space="preserve">    branch,</t>
  </si>
  <si>
    <t xml:space="preserve">    package_number,</t>
  </si>
  <si>
    <t xml:space="preserve">    '',</t>
  </si>
  <si>
    <t xml:space="preserve">    type_app,</t>
  </si>
  <si>
    <t xml:space="preserve">    tp_flag,</t>
  </si>
  <si>
    <t xml:space="preserve">    true,</t>
  </si>
  <si>
    <t xml:space="preserve">    kb_coverage_year,</t>
  </si>
  <si>
    <t xml:space="preserve">    soldier,</t>
  </si>
  <si>
    <t xml:space="preserve">    health_check_flag,</t>
  </si>
  <si>
    <t xml:space="preserve">    false,</t>
  </si>
  <si>
    <t xml:space="preserve">    preferred,</t>
  </si>
  <si>
    <t xml:space="preserve">    saving_sum_assure,</t>
  </si>
  <si>
    <t xml:space="preserve">    saving_premium,</t>
  </si>
  <si>
    <t xml:space="preserve">    topup_type,</t>
  </si>
  <si>
    <t xml:space="preserve">    'ไม่ซื้อ',</t>
  </si>
  <si>
    <t xml:space="preserve">    topup_premium,</t>
  </si>
  <si>
    <t xml:space="preserve">    0.00,</t>
  </si>
  <si>
    <t xml:space="preserve">    total_premium,</t>
  </si>
  <si>
    <t xml:space="preserve">    tax,</t>
  </si>
  <si>
    <t xml:space="preserve">    discount_type,</t>
  </si>
  <si>
    <t xml:space="preserve">    first_discount,</t>
  </si>
  <si>
    <t xml:space="preserve">    special_discount,</t>
  </si>
  <si>
    <t xml:space="preserve">    premium_discount,</t>
  </si>
  <si>
    <t xml:space="preserve">    total_premium_after_discount,</t>
  </si>
  <si>
    <t xml:space="preserve">    bank_code,</t>
  </si>
  <si>
    <t xml:space="preserve">    status_odd,</t>
  </si>
  <si>
    <t xml:space="preserve">    check_occ_te16,</t>
  </si>
  <si>
    <t xml:space="preserve">    gen_reference_date,</t>
  </si>
  <si>
    <t xml:space="preserve">    '2026-04-28 17:43:43.440',</t>
  </si>
  <si>
    <t xml:space="preserve">    publish_status,</t>
  </si>
  <si>
    <t xml:space="preserve">    'A',</t>
  </si>
  <si>
    <t xml:space="preserve">    submit_core_status,</t>
  </si>
  <si>
    <t xml:space="preserve">    transfer_status,</t>
  </si>
  <si>
    <t xml:space="preserve">    strid,</t>
  </si>
  <si>
    <t xml:space="preserve">    status,</t>
  </si>
  <si>
    <t xml:space="preserve">    'R',</t>
  </si>
  <si>
    <t xml:space="preserve">    submit_reference_no_status,</t>
  </si>
  <si>
    <t xml:space="preserve">    'S',</t>
  </si>
  <si>
    <t xml:space="preserve">    queue_status,</t>
  </si>
  <si>
    <t xml:space="preserve">    create_time,</t>
  </si>
  <si>
    <t xml:space="preserve">    '2026-04-28 17:43:35.831',</t>
  </si>
  <si>
    <t xml:space="preserve">    create_user_code,</t>
  </si>
  <si>
    <t xml:space="preserve">    last_update,</t>
  </si>
  <si>
    <t xml:space="preserve">    '2026-04-28 18:48:13.394',</t>
  </si>
  <si>
    <t xml:space="preserve">    update_user_code,</t>
  </si>
  <si>
    <t xml:space="preserve">    tax_deduction_type,</t>
  </si>
  <si>
    <t xml:space="preserve">    delete_time,</t>
  </si>
  <si>
    <t xml:space="preserve">    delete_user_code,</t>
  </si>
  <si>
    <t xml:space="preserve">    e_sign_status,</t>
  </si>
  <si>
    <t xml:space="preserve">    is_include_life_planning,</t>
  </si>
  <si>
    <t xml:space="preserve">    life_planning_id,</t>
  </si>
  <si>
    <t xml:space="preserve">    partial_withdraw_consent_flag,</t>
  </si>
  <si>
    <t xml:space="preserve">    plan_display_name,</t>
  </si>
  <si>
    <t xml:space="preserve">    'คุ้มธนกิจ 99/20 (1n)',</t>
  </si>
  <si>
    <t xml:space="preserve">    insured_passport_expired,</t>
  </si>
  <si>
    <t xml:space="preserve">    submit_refno_attempt,</t>
  </si>
  <si>
    <t xml:space="preserve">    is_draft_edit,</t>
  </si>
  <si>
    <t xml:space="preserve">    is_example_benefit</t>
  </si>
  <si>
    <t xml:space="preserve">) </t>
  </si>
  <si>
    <r>
      <t>INSERT</t>
    </r>
    <r>
      <rPr>
        <sz val="10"/>
        <color rgb="FF000000"/>
        <rFont val="Courier New"/>
        <charset val="1"/>
      </rPr>
      <t xml:space="preserve"> </t>
    </r>
    <r>
      <rPr>
        <b/>
        <sz val="10"/>
        <color rgb="FF800000"/>
        <rFont val="Courier New"/>
        <charset val="1"/>
      </rPr>
      <t>INTO</t>
    </r>
    <r>
      <rPr>
        <sz val="10"/>
        <color rgb="FF000000"/>
        <rFont val="Courier New"/>
        <charset val="1"/>
      </rPr>
      <t xml:space="preserve"> asa_sale.application</t>
    </r>
  </si>
  <si>
    <t>(id, prospect_id, application_no, quotation_id, product_type, plan_code, plan_name, plan_type, agent_id, agent_full_name, agent_str_id, agent_deposit_no, agent_license_no, agent_branch_code, b_agent_id, b_str_id, b_agent_full_name, d_agent_id, d_str_id, d_agent_full_name, agent_info_last_update, insure_title, insure_first_name, insure_last_name, witness1_title_code, witness1_title, witness1_first_name, witness1_last_name, witness2_title_code, witness2_title, witness2_first_name, witness2_last_name, form_type, application_status, publish_status, place, yy_mm, wap_no, consent_status, is_consent_agent_email, agent_email_match, f2f, insure_rejection_flag, other_insurance_yn, smart_case_flag, status_odd, fatca_agree, crs_agree, e_policy_type, e_receipt_type, deposit_no, deposit_owner, edit_deposit_date, bank_code, is_accept_pay_credit_uk, submit_no, submit_date, submit_date_unw, policy_no, temp_policy_no, auto_app, auto_unw, errmsg_unw, is_new_core, additional_detail, health_check_flag, queue_status, metadata, create_time, create_user_code, last_update, update_user_code, delete_time, delete_user_code, proposal_no_queue_status, email_status, email_resend_time, email_ref_id, agent_mobile_no, esubmission_queue_status, esubmission_attempt, is_delete, email_for_verify, approved_policy_date, additional_flag, insure_doc_status, insure_doc_attempt, insure_doc_last_update, esubmission_last_update, agent_branch_name, agent_title, pdf_queue_attempt, plan_display_name)</t>
  </si>
  <si>
    <r>
      <t>VALUES</t>
    </r>
    <r>
      <rPr>
        <sz val="10"/>
        <color rgb="FF000000"/>
        <rFont val="Courier New"/>
        <charset val="1"/>
      </rPr>
      <t>(</t>
    </r>
    <r>
      <rPr>
        <sz val="10"/>
        <color rgb="FF0000FF"/>
        <rFont val="Courier New"/>
        <charset val="1"/>
      </rPr>
      <t>220111</t>
    </r>
    <r>
      <rPr>
        <sz val="10"/>
        <color rgb="FF000000"/>
        <rFont val="Courier New"/>
        <charset val="1"/>
      </rPr>
      <t xml:space="preserve">, </t>
    </r>
    <r>
      <rPr>
        <sz val="10"/>
        <color rgb="FF008000"/>
        <rFont val="Courier New"/>
        <charset val="1"/>
      </rPr>
      <t>'99999999-1111-1111-1111-439e888d4800'</t>
    </r>
    <r>
      <rPr>
        <sz val="10"/>
        <color rgb="FF000000"/>
        <rFont val="Courier New"/>
        <charset val="1"/>
      </rPr>
      <t xml:space="preserve">::uuid, </t>
    </r>
    <r>
      <rPr>
        <sz val="10"/>
        <color rgb="FF008000"/>
        <rFont val="Courier New"/>
        <charset val="1"/>
      </rPr>
      <t>'256950099999'</t>
    </r>
    <r>
      <rPr>
        <sz val="10"/>
        <color rgb="FF000000"/>
        <rFont val="Courier New"/>
        <charset val="1"/>
      </rPr>
      <t xml:space="preserve">, </t>
    </r>
    <r>
      <rPr>
        <sz val="10"/>
        <color rgb="FF008000"/>
        <rFont val="Courier New"/>
        <charset val="1"/>
      </rPr>
      <t>'88888888-1111-1111-1111-439e888d4800'</t>
    </r>
    <r>
      <rPr>
        <sz val="10"/>
        <color rgb="FF000000"/>
        <rFont val="Courier New"/>
        <charset val="1"/>
      </rPr>
      <t xml:space="preserve">::uuid, </t>
    </r>
    <r>
      <rPr>
        <sz val="10"/>
        <color rgb="FF008000"/>
        <rFont val="Courier New"/>
        <charset val="1"/>
      </rPr>
      <t>'OL'</t>
    </r>
    <r>
      <rPr>
        <sz val="10"/>
        <color rgb="FF000000"/>
        <rFont val="Courier New"/>
        <charset val="1"/>
      </rPr>
      <t xml:space="preserve">, </t>
    </r>
    <r>
      <rPr>
        <sz val="10"/>
        <color rgb="FF008000"/>
        <rFont val="Courier New"/>
        <charset val="1"/>
      </rPr>
      <t>'W006'</t>
    </r>
    <r>
      <rPr>
        <sz val="10"/>
        <color rgb="FF000000"/>
        <rFont val="Courier New"/>
        <charset val="1"/>
      </rPr>
      <t xml:space="preserve">, </t>
    </r>
    <r>
      <rPr>
        <sz val="10"/>
        <color rgb="FF008000"/>
        <rFont val="Courier New"/>
        <charset val="1"/>
      </rPr>
      <t>'คุ้มธนกิจ 99/20 (1n) [W006]'</t>
    </r>
    <r>
      <rPr>
        <sz val="10"/>
        <color rgb="FF000000"/>
        <rFont val="Courier New"/>
        <charset val="1"/>
      </rPr>
      <t xml:space="preserve">, </t>
    </r>
    <r>
      <rPr>
        <sz val="10"/>
        <color rgb="FF008000"/>
        <rFont val="Courier New"/>
        <charset val="1"/>
      </rPr>
      <t>'OL'</t>
    </r>
    <r>
      <rPr>
        <sz val="10"/>
        <color rgb="FF000000"/>
        <rFont val="Courier New"/>
        <charset val="1"/>
      </rPr>
      <t xml:space="preserve">, </t>
    </r>
    <r>
      <rPr>
        <sz val="10"/>
        <color rgb="FF008000"/>
        <rFont val="Courier New"/>
        <charset val="1"/>
      </rPr>
      <t>'0000000104'</t>
    </r>
    <r>
      <rPr>
        <sz val="10"/>
        <color rgb="FF000000"/>
        <rFont val="Courier New"/>
        <charset val="1"/>
      </rPr>
      <t xml:space="preserve">, </t>
    </r>
    <r>
      <rPr>
        <sz val="10"/>
        <color rgb="FF008000"/>
        <rFont val="Courier New"/>
        <charset val="1"/>
      </rPr>
      <t>'รณxxxxx สุลัxxxxx'</t>
    </r>
    <r>
      <rPr>
        <sz val="10"/>
        <color rgb="FF000000"/>
        <rFont val="Courier New"/>
        <charset val="1"/>
      </rPr>
      <t xml:space="preserve">, </t>
    </r>
    <r>
      <rPr>
        <sz val="10"/>
        <color rgb="FF008000"/>
        <rFont val="Courier New"/>
        <charset val="1"/>
      </rPr>
      <t>'D00721990A'</t>
    </r>
    <r>
      <rPr>
        <sz val="10"/>
        <color rgb="FF000000"/>
        <rFont val="Courier New"/>
        <charset val="1"/>
      </rPr>
      <t xml:space="preserve">, </t>
    </r>
    <r>
      <rPr>
        <sz val="10"/>
        <color rgb="FF008000"/>
        <rFont val="Courier New"/>
        <charset val="1"/>
      </rPr>
      <t>'15387'</t>
    </r>
    <r>
      <rPr>
        <sz val="10"/>
        <color rgb="FF000000"/>
        <rFont val="Courier New"/>
        <charset val="1"/>
      </rPr>
      <t xml:space="preserve">, </t>
    </r>
    <r>
      <rPr>
        <sz val="10"/>
        <color rgb="FF008000"/>
        <rFont val="Courier New"/>
        <charset val="1"/>
      </rPr>
      <t>'3801034965'</t>
    </r>
    <r>
      <rPr>
        <sz val="10"/>
        <color rgb="FF000000"/>
        <rFont val="Courier New"/>
        <charset val="1"/>
      </rPr>
      <t xml:space="preserve">, </t>
    </r>
    <r>
      <rPr>
        <sz val="10"/>
        <color rgb="FF008000"/>
        <rFont val="Courier New"/>
        <charset val="1"/>
      </rPr>
      <t>'571'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sz val="10"/>
        <color rgb="FF008000"/>
        <rFont val="Courier New"/>
        <charset val="1"/>
      </rPr>
      <t>'0000000104'</t>
    </r>
    <r>
      <rPr>
        <sz val="10"/>
        <color rgb="FF000000"/>
        <rFont val="Courier New"/>
        <charset val="1"/>
      </rPr>
      <t xml:space="preserve">, </t>
    </r>
    <r>
      <rPr>
        <sz val="10"/>
        <color rgb="FF008000"/>
        <rFont val="Courier New"/>
        <charset val="1"/>
      </rPr>
      <t>'D00721990A'</t>
    </r>
    <r>
      <rPr>
        <sz val="10"/>
        <color rgb="FF000000"/>
        <rFont val="Courier New"/>
        <charset val="1"/>
      </rPr>
      <t xml:space="preserve">, </t>
    </r>
    <r>
      <rPr>
        <sz val="10"/>
        <color rgb="FF008000"/>
        <rFont val="Courier New"/>
        <charset val="1"/>
      </rPr>
      <t>'รณxxxxx สุลัxxxxx'</t>
    </r>
    <r>
      <rPr>
        <sz val="10"/>
        <color rgb="FF000000"/>
        <rFont val="Courier New"/>
        <charset val="1"/>
      </rPr>
      <t xml:space="preserve">, </t>
    </r>
    <r>
      <rPr>
        <sz val="10"/>
        <color rgb="FF008000"/>
        <rFont val="Courier New"/>
        <charset val="1"/>
      </rPr>
      <t>'2026-04-28 18:48:29.411'</t>
    </r>
    <r>
      <rPr>
        <sz val="10"/>
        <color rgb="FF000000"/>
        <rFont val="Courier New"/>
        <charset val="1"/>
      </rPr>
      <t xml:space="preserve">, </t>
    </r>
    <r>
      <rPr>
        <sz val="10"/>
        <color rgb="FF008000"/>
        <rFont val="Courier New"/>
        <charset val="1"/>
      </rPr>
      <t>'000003'</t>
    </r>
    <r>
      <rPr>
        <sz val="10"/>
        <color rgb="FF000000"/>
        <rFont val="Courier New"/>
        <charset val="1"/>
      </rPr>
      <t xml:space="preserve">, </t>
    </r>
    <r>
      <rPr>
        <sz val="10"/>
        <color rgb="FF008000"/>
        <rFont val="Courier New"/>
        <charset val="1"/>
      </rPr>
      <t>'ทดสอย'</t>
    </r>
    <r>
      <rPr>
        <sz val="10"/>
        <color rgb="FF000000"/>
        <rFont val="Courier New"/>
        <charset val="1"/>
      </rPr>
      <t xml:space="preserve">, </t>
    </r>
    <r>
      <rPr>
        <sz val="10"/>
        <color rgb="FF008000"/>
        <rFont val="Courier New"/>
        <charset val="1"/>
      </rPr>
      <t>'ทพนยอ'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sz val="10"/>
        <color rgb="FF008000"/>
        <rFont val="Courier New"/>
        <charset val="1"/>
      </rPr>
      <t>'NORMAL'</t>
    </r>
    <r>
      <rPr>
        <sz val="10"/>
        <color rgb="FF000000"/>
        <rFont val="Courier New"/>
        <charset val="1"/>
      </rPr>
      <t xml:space="preserve">, </t>
    </r>
    <r>
      <rPr>
        <sz val="10"/>
        <color rgb="FF008000"/>
        <rFont val="Courier New"/>
        <charset val="1"/>
      </rPr>
      <t>'01'</t>
    </r>
    <r>
      <rPr>
        <sz val="10"/>
        <color rgb="FF000000"/>
        <rFont val="Courier New"/>
        <charset val="1"/>
      </rPr>
      <t xml:space="preserve">, </t>
    </r>
    <r>
      <rPr>
        <sz val="10"/>
        <color rgb="FF008000"/>
        <rFont val="Courier New"/>
        <charset val="1"/>
      </rPr>
      <t>'D'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sz val="10"/>
        <color rgb="FF008000"/>
        <rFont val="Courier New"/>
        <charset val="1"/>
      </rPr>
      <t>'N'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sz val="10"/>
        <color rgb="FF008000"/>
        <rFont val="Courier New"/>
        <charset val="1"/>
      </rPr>
      <t>'15387'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false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false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false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sz val="10"/>
        <color rgb="FF008000"/>
        <rFont val="Courier New"/>
        <charset val="1"/>
      </rPr>
      <t>'{"payment": false, "delivery": null, "document": false, "signature": false, "information": {"crs": false, "fatca": false, "payor": false, "health": false, "insured": false, "summary": false, "beneficiary": false, "insuranceHistory": false}, "verification": {"pdpa": false, "email": false}, "applicationForm": null}'</t>
    </r>
    <r>
      <rPr>
        <sz val="10"/>
        <color rgb="FF000000"/>
        <rFont val="Courier New"/>
        <charset val="1"/>
      </rPr>
      <t>::</t>
    </r>
    <r>
      <rPr>
        <b/>
        <sz val="10"/>
        <color rgb="FF000080"/>
        <rFont val="Courier New"/>
        <charset val="1"/>
      </rPr>
      <t>json</t>
    </r>
    <r>
      <rPr>
        <sz val="10"/>
        <color rgb="FF000000"/>
        <rFont val="Courier New"/>
        <charset val="1"/>
      </rPr>
      <t xml:space="preserve">, </t>
    </r>
    <r>
      <rPr>
        <sz val="10"/>
        <color rgb="FF008000"/>
        <rFont val="Courier New"/>
        <charset val="1"/>
      </rPr>
      <t>'2026-04-28 18:48:29.411'</t>
    </r>
    <r>
      <rPr>
        <sz val="10"/>
        <color rgb="FF000000"/>
        <rFont val="Courier New"/>
        <charset val="1"/>
      </rPr>
      <t xml:space="preserve">, </t>
    </r>
    <r>
      <rPr>
        <sz val="10"/>
        <color rgb="FF008000"/>
        <rFont val="Courier New"/>
        <charset val="1"/>
      </rPr>
      <t>'0000000104'</t>
    </r>
    <r>
      <rPr>
        <sz val="10"/>
        <color rgb="FF000000"/>
        <rFont val="Courier New"/>
        <charset val="1"/>
      </rPr>
      <t xml:space="preserve">, </t>
    </r>
    <r>
      <rPr>
        <sz val="10"/>
        <color rgb="FF008000"/>
        <rFont val="Courier New"/>
        <charset val="1"/>
      </rPr>
      <t>'2026-04-28 18:48:29.411'</t>
    </r>
    <r>
      <rPr>
        <sz val="10"/>
        <color rgb="FF000000"/>
        <rFont val="Courier New"/>
        <charset val="1"/>
      </rPr>
      <t xml:space="preserve">, </t>
    </r>
    <r>
      <rPr>
        <sz val="10"/>
        <color rgb="FF008000"/>
        <rFont val="Courier New"/>
        <charset val="1"/>
      </rPr>
      <t>'0000000104'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sz val="10"/>
        <color rgb="FF008000"/>
        <rFont val="Courier New"/>
        <charset val="1"/>
      </rPr>
      <t>'บางนา'</t>
    </r>
    <r>
      <rPr>
        <sz val="10"/>
        <color rgb="FF000000"/>
        <rFont val="Courier New"/>
        <charset val="1"/>
      </rPr>
      <t xml:space="preserve">, </t>
    </r>
    <r>
      <rPr>
        <sz val="10"/>
        <color rgb="FF008000"/>
        <rFont val="Courier New"/>
        <charset val="1"/>
      </rPr>
      <t>'นาย'</t>
    </r>
    <r>
      <rPr>
        <sz val="10"/>
        <color rgb="FF000000"/>
        <rFont val="Courier New"/>
        <charset val="1"/>
      </rPr>
      <t xml:space="preserve">, </t>
    </r>
    <r>
      <rPr>
        <b/>
        <sz val="10"/>
        <color rgb="FF800000"/>
        <rFont val="Courier New"/>
        <charset val="1"/>
      </rPr>
      <t>NULL</t>
    </r>
    <r>
      <rPr>
        <sz val="10"/>
        <color rgb="FF000000"/>
        <rFont val="Courier New"/>
        <charset val="1"/>
      </rPr>
      <t xml:space="preserve">, </t>
    </r>
    <r>
      <rPr>
        <sz val="10"/>
        <color rgb="FF008000"/>
        <rFont val="Courier New"/>
        <charset val="1"/>
      </rPr>
      <t>'คุ้มธนกิจ 99/20 (1n)'</t>
    </r>
    <r>
      <rPr>
        <sz val="10"/>
        <color rgb="FF000000"/>
        <rFont val="Courier New"/>
        <charset val="1"/>
      </rPr>
      <t>)</t>
    </r>
    <r>
      <rPr>
        <sz val="10"/>
        <color rgb="FFFF0000"/>
        <rFont val="Courier New"/>
        <charset val="1"/>
      </rPr>
      <t>;</t>
    </r>
  </si>
  <si>
    <t>INSERT INTO asa_sale.application</t>
  </si>
  <si>
    <t xml:space="preserve">    220111, </t>
  </si>
  <si>
    <t xml:space="preserve">    prospect_id, </t>
  </si>
  <si>
    <t xml:space="preserve">    '99999999-1111-1111-1111-439e888d4800'::uuid, </t>
  </si>
  <si>
    <t xml:space="preserve">    application_no, </t>
  </si>
  <si>
    <t xml:space="preserve">    '256950099999', </t>
  </si>
  <si>
    <t xml:space="preserve">    quotation_id, </t>
  </si>
  <si>
    <t xml:space="preserve">    '88888888-1111-1111-1111-439e888d4800'::uuid, </t>
  </si>
  <si>
    <t xml:space="preserve">    product_type, </t>
  </si>
  <si>
    <t xml:space="preserve">    'OL', </t>
  </si>
  <si>
    <t xml:space="preserve">    plan_code, </t>
  </si>
  <si>
    <t xml:space="preserve">    'W006', </t>
  </si>
  <si>
    <t xml:space="preserve">    plan_name, </t>
  </si>
  <si>
    <t xml:space="preserve">    'คุ้มธนกิจ 99/20 (1n) [W006]', </t>
  </si>
  <si>
    <t xml:space="preserve">    plan_type, </t>
  </si>
  <si>
    <t xml:space="preserve">    agent_full_name, </t>
  </si>
  <si>
    <t xml:space="preserve">    'รณxxxxx สุลัxxxxx', </t>
  </si>
  <si>
    <t xml:space="preserve">    agent_str_id, </t>
  </si>
  <si>
    <t xml:space="preserve">    'D00721990A', </t>
  </si>
  <si>
    <t xml:space="preserve">    agent_deposit_no, </t>
  </si>
  <si>
    <t xml:space="preserve">    '15387', </t>
  </si>
  <si>
    <t xml:space="preserve">    agent_license_no, </t>
  </si>
  <si>
    <t xml:space="preserve">    '3801034965', </t>
  </si>
  <si>
    <t xml:space="preserve">    agent_branch_code, </t>
  </si>
  <si>
    <t xml:space="preserve">    '571', </t>
  </si>
  <si>
    <t xml:space="preserve">    b_agent_id, </t>
  </si>
  <si>
    <t xml:space="preserve">    b_str_id, </t>
  </si>
  <si>
    <t xml:space="preserve">    b_agent_full_name, </t>
  </si>
  <si>
    <t xml:space="preserve">    d_agent_id, </t>
  </si>
  <si>
    <t xml:space="preserve">    d_str_id, </t>
  </si>
  <si>
    <t xml:space="preserve">    d_agent_full_name, </t>
  </si>
  <si>
    <t xml:space="preserve">    agent_info_last_update, </t>
  </si>
  <si>
    <t xml:space="preserve">    '2026-04-28 18:48:29.411', </t>
  </si>
  <si>
    <t xml:space="preserve">    insure_title, </t>
  </si>
  <si>
    <t xml:space="preserve">    '000003', </t>
  </si>
  <si>
    <t xml:space="preserve">    insure_first_name, </t>
  </si>
  <si>
    <t xml:space="preserve">    'ทดสอย', </t>
  </si>
  <si>
    <t xml:space="preserve">    insure_last_name, </t>
  </si>
  <si>
    <t xml:space="preserve">    'ทพนยอ', </t>
  </si>
  <si>
    <t xml:space="preserve">    witness1_title_code, </t>
  </si>
  <si>
    <t xml:space="preserve">    witness1_title, </t>
  </si>
  <si>
    <t xml:space="preserve">    witness1_first_name, </t>
  </si>
  <si>
    <t xml:space="preserve">    witness1_last_name, </t>
  </si>
  <si>
    <t xml:space="preserve">    witness2_title_code, </t>
  </si>
  <si>
    <t xml:space="preserve">    witness2_title, </t>
  </si>
  <si>
    <t xml:space="preserve">    witness2_first_name, </t>
  </si>
  <si>
    <t xml:space="preserve">    witness2_last_name, </t>
  </si>
  <si>
    <t xml:space="preserve">    form_type, </t>
  </si>
  <si>
    <t xml:space="preserve">    'NORMAL', </t>
  </si>
  <si>
    <t xml:space="preserve">    application_status, </t>
  </si>
  <si>
    <t xml:space="preserve">    publish_status, </t>
  </si>
  <si>
    <t xml:space="preserve">    'D', </t>
  </si>
  <si>
    <t xml:space="preserve">    place, </t>
  </si>
  <si>
    <t xml:space="preserve">    yy_mm, </t>
  </si>
  <si>
    <t xml:space="preserve">    wap_no, </t>
  </si>
  <si>
    <t xml:space="preserve">    is_consent_agent_email, </t>
  </si>
  <si>
    <t xml:space="preserve">    agent_email_match, </t>
  </si>
  <si>
    <t xml:space="preserve">    f2f, </t>
  </si>
  <si>
    <t xml:space="preserve">    insure_rejection_flag, </t>
  </si>
  <si>
    <t xml:space="preserve">    other_insurance_yn, </t>
  </si>
  <si>
    <t xml:space="preserve">    smart_case_flag, </t>
  </si>
  <si>
    <t xml:space="preserve">    status_odd, </t>
  </si>
  <si>
    <t xml:space="preserve">    'N', </t>
  </si>
  <si>
    <t xml:space="preserve">    fatca_agree, </t>
  </si>
  <si>
    <t xml:space="preserve">    crs_agree, </t>
  </si>
  <si>
    <t xml:space="preserve">    e_policy_type, </t>
  </si>
  <si>
    <t xml:space="preserve">    e_receipt_type, </t>
  </si>
  <si>
    <t xml:space="preserve">    deposit_no, </t>
  </si>
  <si>
    <t xml:space="preserve">    deposit_owner, </t>
  </si>
  <si>
    <t xml:space="preserve">    edit_deposit_date, </t>
  </si>
  <si>
    <t xml:space="preserve">    bank_code, </t>
  </si>
  <si>
    <t xml:space="preserve">    is_accept_pay_credit_uk, </t>
  </si>
  <si>
    <t xml:space="preserve">    false, </t>
  </si>
  <si>
    <t xml:space="preserve">    submit_no, </t>
  </si>
  <si>
    <t xml:space="preserve">    submit_date, </t>
  </si>
  <si>
    <t xml:space="preserve">    submit_date_unw, </t>
  </si>
  <si>
    <t xml:space="preserve">    policy_no, </t>
  </si>
  <si>
    <t xml:space="preserve">    temp_policy_no, </t>
  </si>
  <si>
    <t xml:space="preserve">    auto_app, </t>
  </si>
  <si>
    <t xml:space="preserve">    auto_unw, </t>
  </si>
  <si>
    <t xml:space="preserve">    errmsg_unw, </t>
  </si>
  <si>
    <t xml:space="preserve">    is_new_core, </t>
  </si>
  <si>
    <t xml:space="preserve">    additional_detail, </t>
  </si>
  <si>
    <t xml:space="preserve">    health_check_flag, </t>
  </si>
  <si>
    <t xml:space="preserve">    queue_status, </t>
  </si>
  <si>
    <t xml:space="preserve">    metadata, </t>
  </si>
  <si>
    <t xml:space="preserve">    '{"payment": false, "delivery": null, "document": false, "signature": false, "information": {"crs": false, "fatca": false, "payor": false, "health": false, "insured": false, "summary": false, "beneficiary": false, "insuranceHistory": false}, "verification": {"pdpa": false, "email": false}, "applicationForm": null}'::json, </t>
  </si>
  <si>
    <t xml:space="preserve">    proposal_no_queue_status, </t>
  </si>
  <si>
    <t xml:space="preserve">    email_status, </t>
  </si>
  <si>
    <t xml:space="preserve">    email_resend_time, </t>
  </si>
  <si>
    <t xml:space="preserve">    email_ref_id, </t>
  </si>
  <si>
    <t xml:space="preserve">    agent_mobile_no, </t>
  </si>
  <si>
    <t xml:space="preserve">    esubmission_queue_status, </t>
  </si>
  <si>
    <t xml:space="preserve">    esubmission_attempt, </t>
  </si>
  <si>
    <t xml:space="preserve">    is_delete, </t>
  </si>
  <si>
    <t xml:space="preserve">    email_for_verify, </t>
  </si>
  <si>
    <t xml:space="preserve">    approved_policy_date, </t>
  </si>
  <si>
    <t xml:space="preserve">    additional_flag, </t>
  </si>
  <si>
    <t xml:space="preserve">    insure_doc_status, </t>
  </si>
  <si>
    <t xml:space="preserve">    insure_doc_attempt, </t>
  </si>
  <si>
    <t xml:space="preserve">    insure_doc_last_update, </t>
  </si>
  <si>
    <t xml:space="preserve">    esubmission_last_update, </t>
  </si>
  <si>
    <t xml:space="preserve">    agent_branch_name, </t>
  </si>
  <si>
    <t xml:space="preserve">    'บางนา', </t>
  </si>
  <si>
    <t xml:space="preserve">    agent_title, </t>
  </si>
  <si>
    <t xml:space="preserve">    pdf_queue_attempt, </t>
  </si>
  <si>
    <t xml:space="preserve">    plan_display_name</t>
  </si>
  <si>
    <t xml:space="preserve">    'คุ้มธนกิจ 99/20 (1n)'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</si>
</sst>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42424"/>
      <name val="Aptos Narrow"/>
      <charset val="1"/>
    </font>
    <font>
      <b/>
      <sz val="12"/>
      <color rgb="FF292A2E"/>
      <name val="Arial"/>
    </font>
    <font>
      <b/>
      <sz val="12"/>
      <color rgb="FF292A2E"/>
      <name val="&quot;Atlassian Sans&quot;"/>
    </font>
    <font>
      <sz val="12"/>
      <color rgb="FF6B6E76"/>
      <name val="&quot;Atlassian Sans&quot;"/>
    </font>
    <font>
      <sz val="12"/>
      <color rgb="FF292A2E"/>
      <name val="&quot;Atlassian Sans&quot;"/>
    </font>
    <font>
      <sz val="12"/>
      <color rgb="FF292A2E"/>
      <name val="Arial"/>
    </font>
    <font>
      <sz val="12"/>
      <color theme="1"/>
      <name val="&quot;Atlassian Sans&quot;"/>
    </font>
    <font>
      <sz val="12"/>
      <color theme="1"/>
      <name val="Arial"/>
    </font>
    <font>
      <u/>
      <sz val="12"/>
      <color rgb="FF0000FF"/>
      <name val="&quot;Atlassian Sans&quot;"/>
    </font>
    <font>
      <u/>
      <sz val="12"/>
      <color rgb="FF1155CC"/>
      <name val="Arial"/>
      <scheme val="minor"/>
    </font>
    <font>
      <sz val="10"/>
      <color theme="1"/>
      <name val="Arial"/>
      <scheme val="minor"/>
    </font>
    <font>
      <sz val="12"/>
      <color rgb="FF000000"/>
      <name val="Arial"/>
    </font>
    <font>
      <sz val="12"/>
      <name val="Arial"/>
      <scheme val="minor"/>
    </font>
    <font>
      <b/>
      <sz val="10"/>
      <color theme="1"/>
      <name val="Arial"/>
      <scheme val="minor"/>
    </font>
    <font>
      <sz val="10"/>
      <color rgb="FFFF0000"/>
      <name val="Arial"/>
      <scheme val="minor"/>
    </font>
    <font>
      <sz val="12"/>
      <name val="Arial"/>
    </font>
    <font>
      <u/>
      <sz val="12"/>
      <color rgb="FF1155CC"/>
      <name val="Arial"/>
    </font>
    <font>
      <sz val="11"/>
      <color rgb="FFFF0000"/>
      <name val="Calibri"/>
      <family val="2"/>
      <scheme val="minor"/>
    </font>
    <font>
      <sz val="11"/>
      <color rgb="FFFF0000"/>
      <name val="Calibri"/>
      <scheme val="minor"/>
    </font>
    <font>
      <b/>
      <sz val="11"/>
      <color rgb="FFFF0000"/>
      <name val="Calibri"/>
      <scheme val="minor"/>
    </font>
    <font>
      <b/>
      <sz val="16"/>
      <color theme="1"/>
      <name val="Calibri"/>
      <family val="2"/>
      <scheme val="minor"/>
    </font>
    <font>
      <strike/>
      <sz val="11"/>
      <color rgb="FF242424"/>
      <name val="Aptos Narrow"/>
      <charset val="1"/>
    </font>
    <font>
      <sz val="11"/>
      <color theme="5" tint="-0.249977111117893"/>
      <name val="Aptos Narrow"/>
      <charset val="1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sz val="11"/>
      <color rgb="FF37797B"/>
      <name val="Calibri"/>
      <scheme val="minor"/>
    </font>
    <font>
      <b/>
      <sz val="11"/>
      <color theme="1"/>
      <name val="Calibri"/>
      <scheme val="minor"/>
    </font>
    <font>
      <b/>
      <sz val="10"/>
      <color theme="1"/>
      <name val="Courier New"/>
      <charset val="1"/>
    </font>
    <font>
      <sz val="10"/>
      <color theme="1"/>
      <name val="Arial"/>
      <charset val="1"/>
    </font>
    <font>
      <sz val="10"/>
      <color rgb="FF000000"/>
      <name val="Courier New"/>
      <charset val="1"/>
    </font>
    <font>
      <b/>
      <sz val="10"/>
      <color rgb="FF800000"/>
      <name val="Courier New"/>
      <charset val="1"/>
    </font>
    <font>
      <sz val="10"/>
      <color rgb="FF0000FF"/>
      <name val="Courier New"/>
      <charset val="1"/>
    </font>
    <font>
      <sz val="10"/>
      <color rgb="FF008000"/>
      <name val="Courier New"/>
      <charset val="1"/>
    </font>
    <font>
      <b/>
      <sz val="10"/>
      <color rgb="FF000080"/>
      <name val="Courier New"/>
      <charset val="1"/>
    </font>
    <font>
      <sz val="10"/>
      <color rgb="FFFF0000"/>
      <name val="Courier New"/>
      <charset val="1"/>
    </font>
    <font>
      <sz val="10"/>
      <color theme="1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FF0000"/>
      <name val="Arial"/>
    </font>
    <font>
      <sz val="12"/>
      <color rgb="FF292A2E"/>
      <name val="Atlassian Sans"/>
      <charset val="1"/>
    </font>
    <font>
      <sz val="12"/>
      <color rgb="FF6B6E76"/>
      <name val="Atlassian Sans"/>
      <charset val="1"/>
    </font>
    <font>
      <sz val="11"/>
      <color rgb="FF292A2E"/>
      <name val="Atlassian Mono"/>
      <charset val="1"/>
    </font>
    <font>
      <b/>
      <sz val="10"/>
      <color rgb="FF0000FF"/>
      <name val="Arial"/>
      <scheme val="minor"/>
    </font>
    <font>
      <u/>
      <sz val="10"/>
      <color rgb="FF0000FF"/>
      <name val="Arial"/>
    </font>
    <font>
      <sz val="10"/>
      <color rgb="FF0000FF"/>
      <name val="Arial"/>
      <scheme val="minor"/>
    </font>
    <font>
      <sz val="11"/>
      <color rgb="FF000000"/>
      <name val="Calibri"/>
      <charset val="1"/>
    </font>
    <font>
      <sz val="12"/>
      <color rgb="FF0000FF"/>
      <name val="Arial"/>
    </font>
    <font>
      <b/>
      <sz val="11"/>
      <name val="Calibri"/>
    </font>
    <font>
      <b/>
      <sz val="10"/>
      <color theme="1"/>
      <name val="Calibri Light"/>
      <scheme val="major"/>
    </font>
    <font>
      <sz val="10"/>
      <color theme="1"/>
      <name val="Calibri Light"/>
      <scheme val="major"/>
    </font>
    <font>
      <b/>
      <sz val="10"/>
      <color rgb="FF0000FF"/>
      <name val="Calibri Light"/>
      <scheme val="major"/>
    </font>
    <font>
      <sz val="11"/>
      <color theme="1"/>
      <name val="Calibri Light"/>
      <scheme val="major"/>
    </font>
    <font>
      <u/>
      <sz val="10"/>
      <color rgb="FF0000FF"/>
      <name val="Calibri Light"/>
      <scheme val="major"/>
    </font>
    <font>
      <u/>
      <sz val="11"/>
      <color theme="10"/>
      <name val="Calibri Light"/>
      <scheme val="major"/>
    </font>
    <font>
      <b/>
      <sz val="12"/>
      <color rgb="FF292A2E"/>
      <name val="Calibri Light"/>
      <scheme val="major"/>
    </font>
    <font>
      <sz val="12"/>
      <color rgb="FF6B6E76"/>
      <name val="Calibri Light"/>
      <scheme val="major"/>
    </font>
    <font>
      <sz val="12"/>
      <color rgb="FF292A2E"/>
      <name val="Calibri Light"/>
      <scheme val="major"/>
    </font>
    <font>
      <sz val="10"/>
      <color rgb="FF0000FF"/>
      <name val="Calibri Light"/>
      <scheme val="major"/>
    </font>
    <font>
      <sz val="12"/>
      <color rgb="FFFF00FF"/>
      <name val="Calibri Light"/>
      <scheme val="major"/>
    </font>
    <font>
      <sz val="10"/>
      <color rgb="FFFF0000"/>
      <name val="Calibri Light"/>
      <scheme val="major"/>
    </font>
    <font>
      <sz val="11"/>
      <color rgb="FF000000"/>
      <name val="Calibri Light"/>
      <scheme val="major"/>
    </font>
    <font>
      <strike/>
      <sz val="12"/>
      <color rgb="FF000000"/>
      <name val="Calibri Light"/>
      <scheme val="major"/>
    </font>
    <font>
      <sz val="12"/>
      <color rgb="FF000000"/>
      <name val="Calibri Light"/>
      <scheme val="major"/>
    </font>
    <font>
      <sz val="12"/>
      <color rgb="FF0000FF"/>
      <name val="Calibri Light"/>
      <scheme val="major"/>
    </font>
    <font>
      <sz val="12"/>
      <color theme="1"/>
      <name val="Calibri Light"/>
      <scheme val="major"/>
    </font>
    <font>
      <u/>
      <sz val="12"/>
      <color rgb="FF0000FF"/>
      <name val="Calibri Light"/>
      <scheme val="major"/>
    </font>
    <font>
      <u/>
      <sz val="12"/>
      <color rgb="FF1155CC"/>
      <name val="Calibri Light"/>
      <scheme val="major"/>
    </font>
    <font>
      <sz val="12"/>
      <name val="Calibri Light"/>
      <scheme val="major"/>
    </font>
    <font>
      <sz val="12"/>
      <color rgb="FFFF0000"/>
      <name val="Calibri Light"/>
      <scheme val="major"/>
    </font>
    <font>
      <strike/>
      <sz val="11"/>
      <color rgb="FFC00000"/>
      <name val="Calibri"/>
      <family val="2"/>
      <scheme val="minor"/>
    </font>
    <font>
      <strike/>
      <u/>
      <sz val="11"/>
      <color rgb="FFC00000"/>
      <name val="Calibri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trike/>
      <u/>
      <sz val="11"/>
      <color rgb="FFFF000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1"/>
      <name val="Calibri Light"/>
    </font>
    <font>
      <sz val="10"/>
      <color rgb="FF000000"/>
      <name val="Calibri Light"/>
    </font>
    <font>
      <sz val="11"/>
      <color rgb="FF000000"/>
      <name val="Calibri Light"/>
    </font>
    <font>
      <b/>
      <sz val="11"/>
      <color theme="1"/>
      <name val="Calibri Light"/>
    </font>
    <font>
      <b/>
      <sz val="10"/>
      <color rgb="FF000000"/>
      <name val="Calibri Light"/>
    </font>
    <font>
      <sz val="11"/>
      <color rgb="FFC65911"/>
      <name val="Calibri Light"/>
    </font>
    <font>
      <sz val="11"/>
      <color rgb="FFC65911"/>
      <name val="Calibri"/>
      <scheme val="minor"/>
    </font>
    <font>
      <strike/>
      <sz val="10"/>
      <color rgb="FFFF0000"/>
      <name val="Calibri Light"/>
    </font>
    <font>
      <strike/>
      <sz val="11"/>
      <color theme="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9FC5E8"/>
        <bgColor rgb="FF9FC5E8"/>
      </patternFill>
    </fill>
    <fill>
      <patternFill patternType="solid">
        <fgColor rgb="FFF0F1F2"/>
        <bgColor rgb="FFF0F1F2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BAF3DB"/>
        <bgColor rgb="FFBAF3DB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0E3FA"/>
        <bgColor indexed="64"/>
      </patternFill>
    </fill>
    <fill>
      <patternFill patternType="solid">
        <fgColor rgb="FFE8ED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DCFFF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0F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E3FCEF"/>
        <bgColor rgb="FFE3FCEF"/>
      </patternFill>
    </fill>
    <fill>
      <patternFill patternType="solid">
        <fgColor rgb="FFF4F5F7"/>
        <bgColor rgb="FFF4F5F7"/>
      </patternFill>
    </fill>
    <fill>
      <patternFill patternType="solid">
        <fgColor rgb="FFDEEBFF"/>
        <bgColor rgb="FFDEEBFF"/>
      </patternFill>
    </fill>
    <fill>
      <patternFill patternType="solid">
        <fgColor rgb="FFE3FCEF"/>
        <bgColor indexed="64"/>
      </patternFill>
    </fill>
    <fill>
      <patternFill patternType="solid">
        <fgColor rgb="FFF4F5F7"/>
        <bgColor indexed="64"/>
      </patternFill>
    </fill>
    <fill>
      <patternFill patternType="solid">
        <fgColor rgb="FFFFE699"/>
        <bgColor rgb="FFFFE699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rgb="FFE8F0FE"/>
        <bgColor rgb="FFE8F0FE"/>
      </patternFill>
    </fill>
    <fill>
      <patternFill patternType="solid">
        <fgColor rgb="FFFFF4E5"/>
        <bgColor rgb="FFFFF4E5"/>
      </patternFill>
    </fill>
    <fill>
      <patternFill patternType="solid">
        <fgColor rgb="FFE2EFDA"/>
        <bgColor rgb="FFE2EFDA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DDEE1"/>
      </left>
      <right/>
      <top style="thin">
        <color rgb="FFDDDEE1"/>
      </top>
      <bottom/>
      <diagonal/>
    </border>
    <border>
      <left style="thin">
        <color rgb="FFDDDEE1"/>
      </left>
      <right style="thin">
        <color rgb="FFDDDEE1"/>
      </right>
      <top style="thin">
        <color rgb="FFDDDEE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6495ED"/>
      </right>
      <top style="thin">
        <color rgb="FF000000"/>
      </top>
      <bottom style="thin">
        <color rgb="FF6495ED"/>
      </bottom>
      <diagonal/>
    </border>
    <border>
      <left style="thin">
        <color rgb="FFCCCCCC"/>
      </left>
      <right style="thin">
        <color rgb="FF6495ED"/>
      </right>
      <top style="thin">
        <color rgb="FF000000"/>
      </top>
      <bottom style="thin">
        <color rgb="FF6495ED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6495ED"/>
      </bottom>
      <diagonal/>
    </border>
    <border>
      <left style="thin">
        <color rgb="FF000000"/>
      </left>
      <right style="thin">
        <color rgb="FF6495ED"/>
      </right>
      <top style="thin">
        <color rgb="FFCCCCCC"/>
      </top>
      <bottom style="thin">
        <color rgb="FF6495ED"/>
      </bottom>
      <diagonal/>
    </border>
    <border>
      <left style="thin">
        <color rgb="FFCCCCCC"/>
      </left>
      <right style="thin">
        <color rgb="FF6495ED"/>
      </right>
      <top style="thin">
        <color rgb="FFCCCCCC"/>
      </top>
      <bottom style="thin">
        <color rgb="FF6495E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6495ED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6495ED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DDDEE1"/>
      </left>
      <right/>
      <top style="thin">
        <color rgb="FFDDDEE1"/>
      </top>
      <bottom style="thin">
        <color rgb="FFDDDEE1"/>
      </bottom>
      <diagonal/>
    </border>
    <border>
      <left style="thin">
        <color rgb="FFDDDEE1"/>
      </left>
      <right style="thin">
        <color rgb="FFDDDEE1"/>
      </right>
      <top style="thin">
        <color rgb="FFDDDEE1"/>
      </top>
      <bottom style="thin">
        <color rgb="FFDDDEE1"/>
      </bottom>
      <diagonal/>
    </border>
    <border>
      <left style="thin">
        <color rgb="FFDDDEE1"/>
      </left>
      <right/>
      <top/>
      <bottom style="thin">
        <color rgb="FFDDDEE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9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0" xfId="1"/>
    <xf numFmtId="0" fontId="3" fillId="0" borderId="0" xfId="0" applyFont="1"/>
    <xf numFmtId="0" fontId="4" fillId="4" borderId="0" xfId="0" applyFont="1" applyFill="1"/>
    <xf numFmtId="49" fontId="5" fillId="5" borderId="1" xfId="0" applyNumberFormat="1" applyFont="1" applyFill="1" applyBorder="1" applyAlignment="1">
      <alignment horizontal="left" vertical="top"/>
    </xf>
    <xf numFmtId="49" fontId="6" fillId="5" borderId="1" xfId="0" applyNumberFormat="1" applyFont="1" applyFill="1" applyBorder="1" applyAlignment="1">
      <alignment horizontal="left" vertical="top"/>
    </xf>
    <xf numFmtId="49" fontId="8" fillId="7" borderId="1" xfId="0" applyNumberFormat="1" applyFont="1" applyFill="1" applyBorder="1" applyAlignment="1">
      <alignment horizontal="left" vertical="top"/>
    </xf>
    <xf numFmtId="49" fontId="9" fillId="7" borderId="1" xfId="0" applyNumberFormat="1" applyFont="1" applyFill="1" applyBorder="1" applyAlignment="1">
      <alignment horizontal="left" vertical="top"/>
    </xf>
    <xf numFmtId="49" fontId="8" fillId="0" borderId="1" xfId="0" applyNumberFormat="1" applyFont="1" applyBorder="1" applyAlignment="1">
      <alignment horizontal="left" vertical="top"/>
    </xf>
    <xf numFmtId="49" fontId="8" fillId="7" borderId="1" xfId="0" applyNumberFormat="1" applyFont="1" applyFill="1" applyBorder="1" applyAlignment="1">
      <alignment horizontal="left" vertical="top" wrapText="1"/>
    </xf>
    <xf numFmtId="49" fontId="6" fillId="5" borderId="1" xfId="0" applyNumberFormat="1" applyFont="1" applyFill="1" applyBorder="1" applyAlignment="1">
      <alignment horizontal="left" vertical="top" wrapText="1"/>
    </xf>
    <xf numFmtId="49" fontId="9" fillId="7" borderId="1" xfId="0" applyNumberFormat="1" applyFont="1" applyFill="1" applyBorder="1" applyAlignment="1">
      <alignment horizontal="left" vertical="top" wrapText="1"/>
    </xf>
    <xf numFmtId="49" fontId="12" fillId="0" borderId="1" xfId="0" applyNumberFormat="1" applyFont="1" applyBorder="1" applyAlignment="1">
      <alignment horizontal="left" vertical="top" wrapText="1"/>
    </xf>
    <xf numFmtId="49" fontId="8" fillId="0" borderId="1" xfId="0" applyNumberFormat="1" applyFont="1" applyBorder="1" applyAlignment="1">
      <alignment horizontal="left" vertical="top" wrapText="1"/>
    </xf>
    <xf numFmtId="49" fontId="14" fillId="0" borderId="0" xfId="0" applyNumberFormat="1" applyFont="1"/>
    <xf numFmtId="49" fontId="12" fillId="0" borderId="1" xfId="0" applyNumberFormat="1" applyFont="1" applyBorder="1" applyAlignment="1">
      <alignment horizontal="left" vertical="top"/>
    </xf>
    <xf numFmtId="49" fontId="8" fillId="7" borderId="1" xfId="0" applyNumberFormat="1" applyFont="1" applyFill="1" applyBorder="1" applyAlignment="1">
      <alignment horizontal="center" vertical="top"/>
    </xf>
    <xf numFmtId="49" fontId="9" fillId="0" borderId="1" xfId="0" applyNumberFormat="1" applyFont="1" applyBorder="1" applyAlignment="1">
      <alignment horizontal="left" vertical="top"/>
    </xf>
    <xf numFmtId="49" fontId="8" fillId="0" borderId="1" xfId="0" applyNumberFormat="1" applyFont="1" applyBorder="1" applyAlignment="1">
      <alignment horizontal="center" vertical="top"/>
    </xf>
    <xf numFmtId="49" fontId="17" fillId="11" borderId="0" xfId="0" applyNumberFormat="1" applyFont="1" applyFill="1"/>
    <xf numFmtId="49" fontId="17" fillId="11" borderId="0" xfId="0" applyNumberFormat="1" applyFont="1" applyFill="1" applyAlignment="1">
      <alignment vertical="top"/>
    </xf>
    <xf numFmtId="49" fontId="17" fillId="7" borderId="0" xfId="0" applyNumberFormat="1" applyFont="1" applyFill="1"/>
    <xf numFmtId="49" fontId="14" fillId="7" borderId="0" xfId="0" applyNumberFormat="1" applyFont="1" applyFill="1"/>
    <xf numFmtId="49" fontId="14" fillId="0" borderId="0" xfId="0" applyNumberFormat="1" applyFont="1" applyAlignment="1">
      <alignment wrapText="1"/>
    </xf>
    <xf numFmtId="0" fontId="14" fillId="0" borderId="0" xfId="0" applyFont="1"/>
    <xf numFmtId="49" fontId="7" fillId="6" borderId="1" xfId="0" applyNumberFormat="1" applyFont="1" applyFill="1" applyBorder="1" applyAlignment="1">
      <alignment horizontal="center" vertical="top"/>
    </xf>
    <xf numFmtId="49" fontId="18" fillId="0" borderId="0" xfId="0" applyNumberFormat="1" applyFont="1"/>
    <xf numFmtId="49" fontId="18" fillId="0" borderId="0" xfId="0" applyNumberFormat="1" applyFont="1" applyAlignment="1">
      <alignment wrapText="1"/>
    </xf>
    <xf numFmtId="49" fontId="8" fillId="12" borderId="1" xfId="0" applyNumberFormat="1" applyFont="1" applyFill="1" applyBorder="1" applyAlignment="1">
      <alignment horizontal="left" vertical="top"/>
    </xf>
    <xf numFmtId="49" fontId="8" fillId="12" borderId="1" xfId="0" applyNumberFormat="1" applyFont="1" applyFill="1" applyBorder="1" applyAlignment="1">
      <alignment horizontal="center" vertical="top"/>
    </xf>
    <xf numFmtId="49" fontId="9" fillId="12" borderId="1" xfId="0" applyNumberFormat="1" applyFont="1" applyFill="1" applyBorder="1" applyAlignment="1">
      <alignment horizontal="left" vertical="top"/>
    </xf>
    <xf numFmtId="49" fontId="15" fillId="7" borderId="1" xfId="0" applyNumberFormat="1" applyFont="1" applyFill="1" applyBorder="1" applyAlignment="1">
      <alignment horizontal="left" vertical="top" wrapText="1"/>
    </xf>
    <xf numFmtId="0" fontId="3" fillId="1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13" borderId="5" xfId="0" applyFont="1" applyFill="1" applyBorder="1"/>
    <xf numFmtId="0" fontId="0" fillId="0" borderId="5" xfId="0" applyBorder="1"/>
    <xf numFmtId="0" fontId="0" fillId="0" borderId="6" xfId="0" applyBorder="1"/>
    <xf numFmtId="0" fontId="3" fillId="13" borderId="8" xfId="0" applyFont="1" applyFill="1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3" fillId="14" borderId="10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0" fillId="0" borderId="11" xfId="0" quotePrefix="1" applyBorder="1"/>
    <xf numFmtId="0" fontId="3" fillId="15" borderId="10" xfId="0" applyFont="1" applyFill="1" applyBorder="1"/>
    <xf numFmtId="0" fontId="0" fillId="15" borderId="11" xfId="0" applyFill="1" applyBorder="1"/>
    <xf numFmtId="0" fontId="21" fillId="15" borderId="11" xfId="0" applyFont="1" applyFill="1" applyBorder="1"/>
    <xf numFmtId="0" fontId="0" fillId="0" borderId="1" xfId="0" applyBorder="1"/>
    <xf numFmtId="0" fontId="3" fillId="2" borderId="10" xfId="0" applyFont="1" applyFill="1" applyBorder="1" applyAlignment="1">
      <alignment horizontal="center"/>
    </xf>
    <xf numFmtId="0" fontId="24" fillId="0" borderId="0" xfId="0" applyFont="1"/>
    <xf numFmtId="0" fontId="0" fillId="9" borderId="8" xfId="0" applyFill="1" applyBorder="1"/>
    <xf numFmtId="0" fontId="0" fillId="9" borderId="13" xfId="0" applyFill="1" applyBorder="1"/>
    <xf numFmtId="0" fontId="25" fillId="4" borderId="0" xfId="0" applyFont="1" applyFill="1"/>
    <xf numFmtId="0" fontId="26" fillId="4" borderId="0" xfId="0" applyFont="1" applyFill="1"/>
    <xf numFmtId="0" fontId="27" fillId="0" borderId="0" xfId="0" applyFont="1"/>
    <xf numFmtId="0" fontId="31" fillId="0" borderId="0" xfId="0" applyFont="1"/>
    <xf numFmtId="0" fontId="0" fillId="9" borderId="6" xfId="0" applyFill="1" applyBorder="1"/>
    <xf numFmtId="0" fontId="2" fillId="16" borderId="12" xfId="1" applyFill="1" applyBorder="1"/>
    <xf numFmtId="49" fontId="8" fillId="7" borderId="13" xfId="0" applyNumberFormat="1" applyFont="1" applyFill="1" applyBorder="1" applyAlignment="1">
      <alignment horizontal="left" vertical="top"/>
    </xf>
    <xf numFmtId="49" fontId="6" fillId="17" borderId="1" xfId="0" applyNumberFormat="1" applyFont="1" applyFill="1" applyBorder="1" applyAlignment="1">
      <alignment horizontal="center" vertical="top" wrapText="1"/>
    </xf>
    <xf numFmtId="49" fontId="8" fillId="7" borderId="1" xfId="0" applyNumberFormat="1" applyFont="1" applyFill="1" applyBorder="1" applyAlignment="1">
      <alignment horizontal="center" vertical="top" wrapText="1"/>
    </xf>
    <xf numFmtId="49" fontId="8" fillId="0" borderId="1" xfId="0" applyNumberFormat="1" applyFont="1" applyBorder="1" applyAlignment="1">
      <alignment horizontal="center" vertical="top" wrapText="1"/>
    </xf>
    <xf numFmtId="49" fontId="0" fillId="0" borderId="0" xfId="0" applyNumberFormat="1"/>
    <xf numFmtId="49" fontId="0" fillId="0" borderId="0" xfId="0" quotePrefix="1" applyNumberFormat="1"/>
    <xf numFmtId="49" fontId="0" fillId="0" borderId="0" xfId="0" applyNumberFormat="1" applyAlignment="1">
      <alignment wrapText="1"/>
    </xf>
    <xf numFmtId="0" fontId="0" fillId="9" borderId="0" xfId="0" applyFill="1"/>
    <xf numFmtId="49" fontId="0" fillId="18" borderId="0" xfId="0" applyNumberFormat="1" applyFill="1"/>
    <xf numFmtId="0" fontId="0" fillId="13" borderId="0" xfId="0" applyFill="1"/>
    <xf numFmtId="0" fontId="32" fillId="19" borderId="14" xfId="0" applyFont="1" applyFill="1" applyBorder="1" applyAlignment="1">
      <alignment readingOrder="1"/>
    </xf>
    <xf numFmtId="0" fontId="32" fillId="19" borderId="15" xfId="0" applyFont="1" applyFill="1" applyBorder="1" applyAlignment="1">
      <alignment readingOrder="1"/>
    </xf>
    <xf numFmtId="0" fontId="32" fillId="19" borderId="16" xfId="0" applyFont="1" applyFill="1" applyBorder="1" applyAlignment="1">
      <alignment readingOrder="1"/>
    </xf>
    <xf numFmtId="0" fontId="33" fillId="20" borderId="17" xfId="0" applyFont="1" applyFill="1" applyBorder="1" applyAlignment="1">
      <alignment readingOrder="1"/>
    </xf>
    <xf numFmtId="0" fontId="33" fillId="20" borderId="18" xfId="0" applyFont="1" applyFill="1" applyBorder="1" applyAlignment="1">
      <alignment readingOrder="1"/>
    </xf>
    <xf numFmtId="22" fontId="33" fillId="20" borderId="18" xfId="0" applyNumberFormat="1" applyFont="1" applyFill="1" applyBorder="1" applyAlignment="1">
      <alignment readingOrder="1"/>
    </xf>
    <xf numFmtId="3" fontId="33" fillId="20" borderId="18" xfId="0" applyNumberFormat="1" applyFont="1" applyFill="1" applyBorder="1" applyAlignment="1">
      <alignment readingOrder="1"/>
    </xf>
    <xf numFmtId="0" fontId="33" fillId="20" borderId="19" xfId="0" applyFont="1" applyFill="1" applyBorder="1" applyAlignment="1">
      <alignment readingOrder="1"/>
    </xf>
    <xf numFmtId="0" fontId="33" fillId="20" borderId="20" xfId="0" applyFont="1" applyFill="1" applyBorder="1" applyAlignment="1">
      <alignment readingOrder="1"/>
    </xf>
    <xf numFmtId="0" fontId="33" fillId="0" borderId="21" xfId="0" applyFont="1" applyBorder="1" applyAlignment="1">
      <alignment readingOrder="1"/>
    </xf>
    <xf numFmtId="0" fontId="33" fillId="0" borderId="22" xfId="0" applyFont="1" applyBorder="1" applyAlignment="1">
      <alignment readingOrder="1"/>
    </xf>
    <xf numFmtId="0" fontId="33" fillId="0" borderId="23" xfId="0" applyFont="1" applyBorder="1" applyAlignment="1">
      <alignment readingOrder="1"/>
    </xf>
    <xf numFmtId="0" fontId="33" fillId="21" borderId="21" xfId="0" applyFont="1" applyFill="1" applyBorder="1" applyAlignment="1">
      <alignment readingOrder="1"/>
    </xf>
    <xf numFmtId="0" fontId="33" fillId="21" borderId="22" xfId="0" applyFont="1" applyFill="1" applyBorder="1" applyAlignment="1">
      <alignment readingOrder="1"/>
    </xf>
    <xf numFmtId="0" fontId="33" fillId="0" borderId="24" xfId="0" applyFont="1" applyBorder="1" applyAlignment="1">
      <alignment readingOrder="1"/>
    </xf>
    <xf numFmtId="0" fontId="33" fillId="0" borderId="25" xfId="0" applyFont="1" applyBorder="1" applyAlignment="1">
      <alignment readingOrder="1"/>
    </xf>
    <xf numFmtId="22" fontId="33" fillId="0" borderId="25" xfId="0" applyNumberFormat="1" applyFont="1" applyBorder="1" applyAlignment="1">
      <alignment readingOrder="1"/>
    </xf>
    <xf numFmtId="0" fontId="33" fillId="0" borderId="26" xfId="0" applyFont="1" applyBorder="1" applyAlignment="1">
      <alignment readingOrder="1"/>
    </xf>
    <xf numFmtId="49" fontId="3" fillId="0" borderId="0" xfId="0" applyNumberFormat="1" applyFont="1"/>
    <xf numFmtId="1" fontId="0" fillId="0" borderId="0" xfId="0" applyNumberFormat="1"/>
    <xf numFmtId="0" fontId="35" fillId="0" borderId="0" xfId="0" applyFont="1"/>
    <xf numFmtId="0" fontId="34" fillId="0" borderId="0" xfId="0" applyFont="1"/>
    <xf numFmtId="1" fontId="33" fillId="20" borderId="18" xfId="0" applyNumberFormat="1" applyFont="1" applyFill="1" applyBorder="1" applyAlignment="1">
      <alignment readingOrder="1"/>
    </xf>
    <xf numFmtId="2" fontId="33" fillId="0" borderId="25" xfId="0" applyNumberFormat="1" applyFont="1" applyBorder="1" applyAlignment="1">
      <alignment readingOrder="1"/>
    </xf>
    <xf numFmtId="1" fontId="33" fillId="0" borderId="25" xfId="0" applyNumberFormat="1" applyFont="1" applyBorder="1" applyAlignment="1">
      <alignment readingOrder="1"/>
    </xf>
    <xf numFmtId="49" fontId="7" fillId="6" borderId="1" xfId="0" applyNumberFormat="1" applyFont="1" applyFill="1" applyBorder="1" applyAlignment="1">
      <alignment horizontal="center" vertical="top" wrapText="1"/>
    </xf>
    <xf numFmtId="49" fontId="10" fillId="0" borderId="1" xfId="0" applyNumberFormat="1" applyFont="1" applyBorder="1" applyAlignment="1">
      <alignment horizontal="center" vertical="top" wrapText="1"/>
    </xf>
    <xf numFmtId="49" fontId="11" fillId="0" borderId="1" xfId="0" applyNumberFormat="1" applyFont="1" applyBorder="1" applyAlignment="1">
      <alignment horizontal="left" vertical="top" wrapText="1"/>
    </xf>
    <xf numFmtId="49" fontId="10" fillId="0" borderId="1" xfId="0" applyNumberFormat="1" applyFont="1" applyBorder="1" applyAlignment="1">
      <alignment horizontal="left" vertical="top" wrapText="1"/>
    </xf>
    <xf numFmtId="49" fontId="9" fillId="9" borderId="1" xfId="0" applyNumberFormat="1" applyFont="1" applyFill="1" applyBorder="1" applyAlignment="1">
      <alignment horizontal="left" vertical="top" wrapText="1"/>
    </xf>
    <xf numFmtId="49" fontId="8" fillId="9" borderId="1" xfId="0" applyNumberFormat="1" applyFont="1" applyFill="1" applyBorder="1" applyAlignment="1">
      <alignment horizontal="left" vertical="top" wrapText="1"/>
    </xf>
    <xf numFmtId="49" fontId="8" fillId="23" borderId="1" xfId="0" applyNumberFormat="1" applyFont="1" applyFill="1" applyBorder="1" applyAlignment="1">
      <alignment horizontal="left" vertical="top" wrapText="1"/>
    </xf>
    <xf numFmtId="49" fontId="8" fillId="0" borderId="10" xfId="0" applyNumberFormat="1" applyFont="1" applyBorder="1" applyAlignment="1">
      <alignment horizontal="left" vertical="top" wrapText="1"/>
    </xf>
    <xf numFmtId="49" fontId="8" fillId="0" borderId="10" xfId="0" applyNumberFormat="1" applyFont="1" applyBorder="1" applyAlignment="1">
      <alignment horizontal="center" vertical="top" wrapText="1"/>
    </xf>
    <xf numFmtId="49" fontId="8" fillId="0" borderId="12" xfId="0" applyNumberFormat="1" applyFont="1" applyBorder="1" applyAlignment="1">
      <alignment horizontal="left" vertical="top" wrapText="1"/>
    </xf>
    <xf numFmtId="49" fontId="8" fillId="6" borderId="1" xfId="0" applyNumberFormat="1" applyFont="1" applyFill="1" applyBorder="1" applyAlignment="1">
      <alignment horizontal="left" vertical="top" wrapText="1"/>
    </xf>
    <xf numFmtId="49" fontId="8" fillId="6" borderId="1" xfId="0" applyNumberFormat="1" applyFont="1" applyFill="1" applyBorder="1" applyAlignment="1">
      <alignment horizontal="center" vertical="top" wrapText="1"/>
    </xf>
    <xf numFmtId="49" fontId="5" fillId="5" borderId="10" xfId="0" applyNumberFormat="1" applyFont="1" applyFill="1" applyBorder="1" applyAlignment="1">
      <alignment horizontal="left" vertical="top"/>
    </xf>
    <xf numFmtId="49" fontId="6" fillId="5" borderId="10" xfId="0" applyNumberFormat="1" applyFont="1" applyFill="1" applyBorder="1" applyAlignment="1">
      <alignment horizontal="left" vertical="top"/>
    </xf>
    <xf numFmtId="49" fontId="6" fillId="5" borderId="10" xfId="0" applyNumberFormat="1" applyFont="1" applyFill="1" applyBorder="1" applyAlignment="1">
      <alignment horizontal="left" vertical="top" wrapText="1"/>
    </xf>
    <xf numFmtId="0" fontId="45" fillId="24" borderId="13" xfId="0" applyFont="1" applyFill="1" applyBorder="1" applyAlignment="1">
      <alignment readingOrder="1"/>
    </xf>
    <xf numFmtId="0" fontId="44" fillId="25" borderId="1" xfId="0" applyFont="1" applyFill="1" applyBorder="1"/>
    <xf numFmtId="0" fontId="45" fillId="24" borderId="8" xfId="0" applyFont="1" applyFill="1" applyBorder="1" applyAlignment="1">
      <alignment readingOrder="1"/>
    </xf>
    <xf numFmtId="0" fontId="45" fillId="24" borderId="13" xfId="0" applyFont="1" applyFill="1" applyBorder="1"/>
    <xf numFmtId="0" fontId="45" fillId="24" borderId="29" xfId="0" applyFont="1" applyFill="1" applyBorder="1"/>
    <xf numFmtId="0" fontId="45" fillId="24" borderId="27" xfId="0" applyFont="1" applyFill="1" applyBorder="1"/>
    <xf numFmtId="0" fontId="2" fillId="25" borderId="1" xfId="1" applyFill="1" applyBorder="1"/>
    <xf numFmtId="0" fontId="44" fillId="22" borderId="1" xfId="0" applyFont="1" applyFill="1" applyBorder="1"/>
    <xf numFmtId="0" fontId="46" fillId="25" borderId="1" xfId="0" applyFont="1" applyFill="1" applyBorder="1"/>
    <xf numFmtId="49" fontId="15" fillId="7" borderId="1" xfId="0" applyNumberFormat="1" applyFont="1" applyFill="1" applyBorder="1" applyAlignment="1">
      <alignment horizontal="left" vertical="top"/>
    </xf>
    <xf numFmtId="49" fontId="17" fillId="7" borderId="0" xfId="0" applyNumberFormat="1" applyFont="1" applyFill="1" applyAlignment="1">
      <alignment vertical="top"/>
    </xf>
    <xf numFmtId="49" fontId="14" fillId="7" borderId="0" xfId="0" applyNumberFormat="1" applyFont="1" applyFill="1" applyAlignment="1">
      <alignment vertical="top"/>
    </xf>
    <xf numFmtId="49" fontId="47" fillId="26" borderId="0" xfId="0" applyNumberFormat="1" applyFont="1" applyFill="1" applyAlignment="1">
      <alignment vertical="top"/>
    </xf>
    <xf numFmtId="49" fontId="14" fillId="0" borderId="0" xfId="0" applyNumberFormat="1" applyFont="1" applyAlignment="1">
      <alignment vertical="top"/>
    </xf>
    <xf numFmtId="49" fontId="14" fillId="0" borderId="0" xfId="0" applyNumberFormat="1" applyFont="1" applyAlignment="1">
      <alignment vertical="top" wrapText="1"/>
    </xf>
    <xf numFmtId="49" fontId="18" fillId="0" borderId="0" xfId="0" applyNumberFormat="1" applyFont="1" applyAlignment="1">
      <alignment vertical="top" wrapText="1"/>
    </xf>
    <xf numFmtId="49" fontId="48" fillId="7" borderId="0" xfId="0" applyNumberFormat="1" applyFont="1" applyFill="1" applyAlignment="1">
      <alignment vertical="top"/>
    </xf>
    <xf numFmtId="49" fontId="18" fillId="0" borderId="0" xfId="0" applyNumberFormat="1" applyFont="1" applyAlignment="1">
      <alignment vertical="top"/>
    </xf>
    <xf numFmtId="49" fontId="49" fillId="0" borderId="0" xfId="0" applyNumberFormat="1" applyFont="1" applyAlignment="1">
      <alignment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18" borderId="0" xfId="0" applyFill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24" fillId="0" borderId="0" xfId="0" applyFont="1" applyAlignment="1">
      <alignment vertical="top"/>
    </xf>
    <xf numFmtId="0" fontId="0" fillId="0" borderId="1" xfId="0" applyBorder="1" applyAlignment="1">
      <alignment vertical="top"/>
    </xf>
    <xf numFmtId="49" fontId="47" fillId="26" borderId="0" xfId="0" applyNumberFormat="1" applyFont="1" applyFill="1"/>
    <xf numFmtId="49" fontId="48" fillId="7" borderId="0" xfId="0" applyNumberFormat="1" applyFont="1" applyFill="1"/>
    <xf numFmtId="49" fontId="8" fillId="27" borderId="1" xfId="0" applyNumberFormat="1" applyFont="1" applyFill="1" applyBorder="1" applyAlignment="1">
      <alignment horizontal="left" vertical="top"/>
    </xf>
    <xf numFmtId="49" fontId="8" fillId="27" borderId="1" xfId="0" applyNumberFormat="1" applyFont="1" applyFill="1" applyBorder="1" applyAlignment="1">
      <alignment horizontal="center" vertical="top"/>
    </xf>
    <xf numFmtId="49" fontId="8" fillId="28" borderId="1" xfId="0" applyNumberFormat="1" applyFont="1" applyFill="1" applyBorder="1" applyAlignment="1">
      <alignment horizontal="left" vertical="top"/>
    </xf>
    <xf numFmtId="49" fontId="8" fillId="28" borderId="1" xfId="0" applyNumberFormat="1" applyFont="1" applyFill="1" applyBorder="1" applyAlignment="1">
      <alignment horizontal="center" vertical="top"/>
    </xf>
    <xf numFmtId="0" fontId="14" fillId="0" borderId="0" xfId="0" applyFont="1" applyAlignment="1">
      <alignment vertical="top"/>
    </xf>
    <xf numFmtId="49" fontId="40" fillId="0" borderId="0" xfId="0" applyNumberFormat="1" applyFont="1" applyAlignment="1">
      <alignment vertical="top" wrapText="1"/>
    </xf>
    <xf numFmtId="0" fontId="44" fillId="22" borderId="27" xfId="0" applyFont="1" applyFill="1" applyBorder="1" applyAlignment="1">
      <alignment vertical="top"/>
    </xf>
    <xf numFmtId="0" fontId="44" fillId="22" borderId="28" xfId="0" applyFont="1" applyFill="1" applyBorder="1" applyAlignment="1">
      <alignment vertical="top"/>
    </xf>
    <xf numFmtId="49" fontId="11" fillId="0" borderId="0" xfId="0" applyNumberFormat="1" applyFont="1" applyAlignment="1">
      <alignment vertical="top"/>
    </xf>
    <xf numFmtId="0" fontId="44" fillId="0" borderId="1" xfId="0" applyFont="1" applyBorder="1" applyAlignment="1">
      <alignment vertical="top"/>
    </xf>
    <xf numFmtId="0" fontId="44" fillId="0" borderId="4" xfId="0" applyFont="1" applyBorder="1" applyAlignment="1">
      <alignment vertical="top"/>
    </xf>
    <xf numFmtId="49" fontId="48" fillId="0" borderId="0" xfId="0" applyNumberFormat="1" applyFont="1"/>
    <xf numFmtId="49" fontId="8" fillId="29" borderId="1" xfId="0" applyNumberFormat="1" applyFont="1" applyFill="1" applyBorder="1" applyAlignment="1">
      <alignment horizontal="left" vertical="top"/>
    </xf>
    <xf numFmtId="49" fontId="9" fillId="7" borderId="1" xfId="0" applyNumberFormat="1" applyFont="1" applyFill="1" applyBorder="1" applyAlignment="1">
      <alignment horizontal="center" vertical="top"/>
    </xf>
    <xf numFmtId="49" fontId="9" fillId="27" borderId="1" xfId="0" applyNumberFormat="1" applyFont="1" applyFill="1" applyBorder="1" applyAlignment="1">
      <alignment horizontal="left" vertical="top"/>
    </xf>
    <xf numFmtId="49" fontId="7" fillId="6" borderId="10" xfId="0" applyNumberFormat="1" applyFont="1" applyFill="1" applyBorder="1" applyAlignment="1">
      <alignment horizontal="center" vertical="top"/>
    </xf>
    <xf numFmtId="49" fontId="11" fillId="0" borderId="10" xfId="0" applyNumberFormat="1" applyFont="1" applyBorder="1" applyAlignment="1">
      <alignment horizontal="left" vertical="top"/>
    </xf>
    <xf numFmtId="49" fontId="51" fillId="7" borderId="10" xfId="0" applyNumberFormat="1" applyFont="1" applyFill="1" applyBorder="1" applyAlignment="1">
      <alignment horizontal="left" vertical="top"/>
    </xf>
    <xf numFmtId="49" fontId="8" fillId="7" borderId="10" xfId="0" applyNumberFormat="1" applyFont="1" applyFill="1" applyBorder="1" applyAlignment="1">
      <alignment horizontal="left" vertical="top"/>
    </xf>
    <xf numFmtId="49" fontId="8" fillId="7" borderId="10" xfId="0" applyNumberFormat="1" applyFont="1" applyFill="1" applyBorder="1" applyAlignment="1">
      <alignment horizontal="center" vertical="top"/>
    </xf>
    <xf numFmtId="49" fontId="9" fillId="7" borderId="10" xfId="0" applyNumberFormat="1" applyFont="1" applyFill="1" applyBorder="1" applyAlignment="1">
      <alignment horizontal="left" vertical="top"/>
    </xf>
    <xf numFmtId="0" fontId="45" fillId="24" borderId="1" xfId="0" applyFont="1" applyFill="1" applyBorder="1"/>
    <xf numFmtId="0" fontId="44" fillId="30" borderId="1" xfId="0" applyFont="1" applyFill="1" applyBorder="1"/>
    <xf numFmtId="0" fontId="44" fillId="30" borderId="1" xfId="0" applyFont="1" applyFill="1" applyBorder="1" applyAlignment="1">
      <alignment wrapText="1"/>
    </xf>
    <xf numFmtId="0" fontId="0" fillId="25" borderId="1" xfId="0" applyFill="1" applyBorder="1"/>
    <xf numFmtId="0" fontId="44" fillId="31" borderId="1" xfId="0" applyFont="1" applyFill="1" applyBorder="1"/>
    <xf numFmtId="0" fontId="0" fillId="31" borderId="1" xfId="0" applyFill="1" applyBorder="1"/>
    <xf numFmtId="0" fontId="0" fillId="33" borderId="0" xfId="0" applyFill="1" applyAlignment="1">
      <alignment vertical="top" wrapText="1"/>
    </xf>
    <xf numFmtId="0" fontId="0" fillId="35" borderId="0" xfId="0" applyFill="1" applyAlignment="1">
      <alignment vertical="top" wrapText="1"/>
    </xf>
    <xf numFmtId="0" fontId="0" fillId="36" borderId="0" xfId="0" applyFill="1" applyAlignment="1">
      <alignment vertical="top" wrapText="1"/>
    </xf>
    <xf numFmtId="0" fontId="0" fillId="0" borderId="0" xfId="0" applyAlignment="1">
      <alignment horizontal="left"/>
    </xf>
    <xf numFmtId="47" fontId="0" fillId="0" borderId="0" xfId="0" applyNumberFormat="1" applyAlignment="1">
      <alignment horizontal="left"/>
    </xf>
    <xf numFmtId="0" fontId="0" fillId="38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38" borderId="13" xfId="0" applyFill="1" applyBorder="1" applyAlignment="1">
      <alignment vertical="top"/>
    </xf>
    <xf numFmtId="0" fontId="0" fillId="0" borderId="13" xfId="0" applyBorder="1" applyAlignment="1">
      <alignment vertical="top"/>
    </xf>
    <xf numFmtId="0" fontId="0" fillId="17" borderId="1" xfId="0" applyFill="1" applyBorder="1" applyAlignment="1">
      <alignment horizontal="center" vertical="top"/>
    </xf>
    <xf numFmtId="49" fontId="14" fillId="17" borderId="1" xfId="0" applyNumberFormat="1" applyFont="1" applyFill="1" applyBorder="1" applyAlignment="1">
      <alignment vertical="top"/>
    </xf>
    <xf numFmtId="0" fontId="52" fillId="17" borderId="1" xfId="0" applyFont="1" applyFill="1" applyBorder="1" applyAlignment="1">
      <alignment horizontal="center" vertical="top" wrapText="1"/>
    </xf>
    <xf numFmtId="49" fontId="14" fillId="0" borderId="1" xfId="0" applyNumberFormat="1" applyFont="1" applyBorder="1" applyAlignment="1">
      <alignment vertical="top"/>
    </xf>
    <xf numFmtId="0" fontId="0" fillId="9" borderId="1" xfId="0" applyFill="1" applyBorder="1" applyAlignment="1">
      <alignment vertical="top" wrapText="1"/>
    </xf>
    <xf numFmtId="49" fontId="14" fillId="0" borderId="1" xfId="0" applyNumberFormat="1" applyFont="1" applyBorder="1" applyAlignment="1">
      <alignment vertical="top" wrapText="1"/>
    </xf>
    <xf numFmtId="49" fontId="11" fillId="0" borderId="1" xfId="0" applyNumberFormat="1" applyFont="1" applyBorder="1" applyAlignment="1">
      <alignment vertical="top"/>
    </xf>
    <xf numFmtId="49" fontId="11" fillId="0" borderId="1" xfId="0" applyNumberFormat="1" applyFont="1" applyBorder="1" applyAlignment="1">
      <alignment vertical="top" wrapText="1"/>
    </xf>
    <xf numFmtId="49" fontId="14" fillId="0" borderId="10" xfId="0" applyNumberFormat="1" applyFont="1" applyBorder="1" applyAlignment="1">
      <alignment vertical="top"/>
    </xf>
    <xf numFmtId="49" fontId="14" fillId="0" borderId="10" xfId="0" applyNumberFormat="1" applyFont="1" applyBorder="1" applyAlignment="1">
      <alignment vertical="top" wrapText="1"/>
    </xf>
    <xf numFmtId="0" fontId="0" fillId="0" borderId="10" xfId="0" applyBorder="1" applyAlignment="1">
      <alignment vertical="top" wrapText="1"/>
    </xf>
    <xf numFmtId="49" fontId="14" fillId="0" borderId="2" xfId="0" applyNumberFormat="1" applyFont="1" applyBorder="1" applyAlignment="1">
      <alignment vertical="top"/>
    </xf>
    <xf numFmtId="49" fontId="14" fillId="0" borderId="2" xfId="0" applyNumberFormat="1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52" fillId="32" borderId="1" xfId="0" applyFont="1" applyFill="1" applyBorder="1" applyAlignment="1">
      <alignment horizontal="center" vertical="center" wrapText="1"/>
    </xf>
    <xf numFmtId="0" fontId="0" fillId="33" borderId="1" xfId="0" applyFill="1" applyBorder="1" applyAlignment="1">
      <alignment vertical="top" wrapText="1"/>
    </xf>
    <xf numFmtId="0" fontId="0" fillId="34" borderId="1" xfId="0" applyFill="1" applyBorder="1" applyAlignment="1">
      <alignment vertical="top" wrapText="1"/>
    </xf>
    <xf numFmtId="0" fontId="0" fillId="35" borderId="1" xfId="0" applyFill="1" applyBorder="1" applyAlignment="1">
      <alignment vertical="top" wrapText="1"/>
    </xf>
    <xf numFmtId="0" fontId="0" fillId="36" borderId="1" xfId="0" applyFill="1" applyBorder="1" applyAlignment="1">
      <alignment vertical="top" wrapText="1"/>
    </xf>
    <xf numFmtId="0" fontId="0" fillId="3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49" fontId="6" fillId="5" borderId="8" xfId="0" applyNumberFormat="1" applyFont="1" applyFill="1" applyBorder="1" applyAlignment="1">
      <alignment horizontal="left" vertical="top" wrapText="1"/>
    </xf>
    <xf numFmtId="49" fontId="8" fillId="27" borderId="13" xfId="0" applyNumberFormat="1" applyFont="1" applyFill="1" applyBorder="1" applyAlignment="1">
      <alignment horizontal="left" vertical="top"/>
    </xf>
    <xf numFmtId="49" fontId="8" fillId="7" borderId="8" xfId="0" applyNumberFormat="1" applyFont="1" applyFill="1" applyBorder="1" applyAlignment="1">
      <alignment horizontal="left" vertical="top"/>
    </xf>
    <xf numFmtId="0" fontId="44" fillId="30" borderId="13" xfId="0" applyFont="1" applyFill="1" applyBorder="1"/>
    <xf numFmtId="0" fontId="44" fillId="25" borderId="13" xfId="0" applyFont="1" applyFill="1" applyBorder="1"/>
    <xf numFmtId="0" fontId="44" fillId="31" borderId="13" xfId="0" applyFont="1" applyFill="1" applyBorder="1" applyAlignment="1">
      <alignment wrapText="1"/>
    </xf>
    <xf numFmtId="0" fontId="44" fillId="31" borderId="13" xfId="0" applyFont="1" applyFill="1" applyBorder="1"/>
    <xf numFmtId="0" fontId="0" fillId="0" borderId="0" xfId="0" applyAlignment="1">
      <alignment horizontal="left" vertical="top"/>
    </xf>
    <xf numFmtId="0" fontId="0" fillId="0" borderId="10" xfId="0" applyBorder="1" applyAlignment="1">
      <alignment vertical="top"/>
    </xf>
    <xf numFmtId="0" fontId="0" fillId="0" borderId="2" xfId="0" applyBorder="1" applyAlignment="1">
      <alignment vertical="top"/>
    </xf>
    <xf numFmtId="0" fontId="0" fillId="3" borderId="0" xfId="0" applyFill="1"/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50" fillId="3" borderId="0" xfId="0" applyFont="1" applyFill="1" applyAlignment="1">
      <alignment vertical="top" wrapText="1"/>
    </xf>
    <xf numFmtId="0" fontId="0" fillId="38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39" borderId="0" xfId="0" quotePrefix="1" applyNumberFormat="1" applyFill="1"/>
    <xf numFmtId="49" fontId="3" fillId="0" borderId="0" xfId="0" applyNumberFormat="1" applyFont="1" applyAlignment="1">
      <alignment horizontal="center" vertical="center"/>
    </xf>
    <xf numFmtId="49" fontId="0" fillId="39" borderId="0" xfId="0" applyNumberFormat="1" applyFill="1"/>
    <xf numFmtId="49" fontId="53" fillId="11" borderId="0" xfId="0" applyNumberFormat="1" applyFont="1" applyFill="1" applyAlignment="1">
      <alignment horizontal="left" vertical="top"/>
    </xf>
    <xf numFmtId="49" fontId="53" fillId="7" borderId="0" xfId="0" applyNumberFormat="1" applyFont="1" applyFill="1" applyAlignment="1">
      <alignment horizontal="left" vertical="top"/>
    </xf>
    <xf numFmtId="49" fontId="54" fillId="7" borderId="0" xfId="0" applyNumberFormat="1" applyFont="1" applyFill="1" applyAlignment="1">
      <alignment horizontal="left" vertical="top"/>
    </xf>
    <xf numFmtId="49" fontId="55" fillId="26" borderId="0" xfId="0" applyNumberFormat="1" applyFont="1" applyFill="1" applyAlignment="1">
      <alignment horizontal="left" vertical="top"/>
    </xf>
    <xf numFmtId="49" fontId="54" fillId="0" borderId="0" xfId="0" applyNumberFormat="1" applyFont="1" applyAlignment="1">
      <alignment horizontal="left" vertical="top"/>
    </xf>
    <xf numFmtId="49" fontId="54" fillId="0" borderId="0" xfId="0" applyNumberFormat="1" applyFont="1" applyAlignment="1">
      <alignment horizontal="left" vertical="top" wrapText="1"/>
    </xf>
    <xf numFmtId="0" fontId="56" fillId="0" borderId="0" xfId="0" applyFont="1"/>
    <xf numFmtId="49" fontId="57" fillId="7" borderId="0" xfId="0" applyNumberFormat="1" applyFont="1" applyFill="1" applyAlignment="1">
      <alignment horizontal="left" vertical="top"/>
    </xf>
    <xf numFmtId="49" fontId="53" fillId="11" borderId="0" xfId="0" applyNumberFormat="1" applyFont="1" applyFill="1" applyAlignment="1">
      <alignment vertical="top"/>
    </xf>
    <xf numFmtId="49" fontId="58" fillId="7" borderId="0" xfId="1" applyNumberFormat="1" applyFont="1" applyFill="1" applyAlignment="1">
      <alignment horizontal="left" vertical="top"/>
    </xf>
    <xf numFmtId="49" fontId="59" fillId="5" borderId="1" xfId="0" applyNumberFormat="1" applyFont="1" applyFill="1" applyBorder="1" applyAlignment="1">
      <alignment horizontal="left" vertical="top"/>
    </xf>
    <xf numFmtId="49" fontId="59" fillId="5" borderId="1" xfId="0" applyNumberFormat="1" applyFont="1" applyFill="1" applyBorder="1" applyAlignment="1">
      <alignment horizontal="left" vertical="top" wrapText="1"/>
    </xf>
    <xf numFmtId="49" fontId="60" fillId="6" borderId="3" xfId="0" applyNumberFormat="1" applyFont="1" applyFill="1" applyBorder="1" applyAlignment="1">
      <alignment horizontal="left" vertical="top"/>
    </xf>
    <xf numFmtId="49" fontId="61" fillId="7" borderId="1" xfId="0" applyNumberFormat="1" applyFont="1" applyFill="1" applyBorder="1" applyAlignment="1">
      <alignment horizontal="left" vertical="top"/>
    </xf>
    <xf numFmtId="49" fontId="61" fillId="7" borderId="1" xfId="0" applyNumberFormat="1" applyFont="1" applyFill="1" applyBorder="1" applyAlignment="1">
      <alignment horizontal="left" vertical="top" wrapText="1"/>
    </xf>
    <xf numFmtId="49" fontId="61" fillId="7" borderId="1" xfId="0" applyNumberFormat="1" applyFont="1" applyFill="1" applyBorder="1" applyAlignment="1">
      <alignment horizontal="center" vertical="top" wrapText="1"/>
    </xf>
    <xf numFmtId="0" fontId="56" fillId="0" borderId="1" xfId="0" applyFont="1" applyBorder="1" applyAlignment="1">
      <alignment vertical="top" wrapText="1"/>
    </xf>
    <xf numFmtId="0" fontId="56" fillId="0" borderId="1" xfId="0" applyFont="1" applyBorder="1" applyAlignment="1">
      <alignment vertical="top"/>
    </xf>
    <xf numFmtId="49" fontId="61" fillId="8" borderId="1" xfId="0" applyNumberFormat="1" applyFont="1" applyFill="1" applyBorder="1" applyAlignment="1">
      <alignment horizontal="left" vertical="top"/>
    </xf>
    <xf numFmtId="49" fontId="62" fillId="0" borderId="0" xfId="0" applyNumberFormat="1" applyFont="1" applyAlignment="1">
      <alignment horizontal="left" vertical="top"/>
    </xf>
    <xf numFmtId="49" fontId="61" fillId="9" borderId="1" xfId="0" applyNumberFormat="1" applyFont="1" applyFill="1" applyBorder="1" applyAlignment="1">
      <alignment horizontal="center" vertical="top" wrapText="1"/>
    </xf>
    <xf numFmtId="49" fontId="61" fillId="9" borderId="1" xfId="0" applyNumberFormat="1" applyFont="1" applyFill="1" applyBorder="1" applyAlignment="1">
      <alignment horizontal="left" vertical="top"/>
    </xf>
    <xf numFmtId="49" fontId="64" fillId="0" borderId="0" xfId="0" applyNumberFormat="1" applyFont="1" applyAlignment="1">
      <alignment horizontal="left" vertical="top"/>
    </xf>
    <xf numFmtId="0" fontId="56" fillId="0" borderId="1" xfId="0" applyFont="1" applyBorder="1" applyAlignment="1">
      <alignment horizontal="center" vertical="top"/>
    </xf>
    <xf numFmtId="0" fontId="65" fillId="0" borderId="1" xfId="0" applyFont="1" applyBorder="1" applyAlignment="1">
      <alignment vertical="top" wrapText="1"/>
    </xf>
    <xf numFmtId="49" fontId="56" fillId="0" borderId="1" xfId="0" applyNumberFormat="1" applyFont="1" applyBorder="1" applyAlignment="1">
      <alignment vertical="top"/>
    </xf>
    <xf numFmtId="49" fontId="69" fillId="0" borderId="1" xfId="0" applyNumberFormat="1" applyFont="1" applyBorder="1" applyAlignment="1">
      <alignment horizontal="left" vertical="top"/>
    </xf>
    <xf numFmtId="49" fontId="70" fillId="0" borderId="1" xfId="0" applyNumberFormat="1" applyFont="1" applyBorder="1" applyAlignment="1">
      <alignment horizontal="left" vertical="top" wrapText="1"/>
    </xf>
    <xf numFmtId="49" fontId="61" fillId="0" borderId="1" xfId="0" applyNumberFormat="1" applyFont="1" applyBorder="1" applyAlignment="1">
      <alignment horizontal="center" vertical="top" wrapText="1"/>
    </xf>
    <xf numFmtId="49" fontId="61" fillId="7" borderId="1" xfId="0" applyNumberFormat="1" applyFont="1" applyFill="1" applyBorder="1" applyAlignment="1">
      <alignment horizontal="center" vertical="top"/>
    </xf>
    <xf numFmtId="49" fontId="70" fillId="0" borderId="1" xfId="0" applyNumberFormat="1" applyFont="1" applyBorder="1" applyAlignment="1">
      <alignment horizontal="left" vertical="top"/>
    </xf>
    <xf numFmtId="49" fontId="70" fillId="0" borderId="1" xfId="0" applyNumberFormat="1" applyFont="1" applyBorder="1" applyAlignment="1">
      <alignment horizontal="center" vertical="top" wrapText="1"/>
    </xf>
    <xf numFmtId="49" fontId="60" fillId="6" borderId="4" xfId="0" applyNumberFormat="1" applyFont="1" applyFill="1" applyBorder="1" applyAlignment="1">
      <alignment horizontal="left" vertical="top"/>
    </xf>
    <xf numFmtId="49" fontId="61" fillId="0" borderId="1" xfId="0" applyNumberFormat="1" applyFont="1" applyBorder="1" applyAlignment="1">
      <alignment horizontal="left" vertical="top"/>
    </xf>
    <xf numFmtId="49" fontId="73" fillId="7" borderId="1" xfId="0" applyNumberFormat="1" applyFont="1" applyFill="1" applyBorder="1" applyAlignment="1">
      <alignment horizontal="left" vertical="top" wrapText="1"/>
    </xf>
    <xf numFmtId="49" fontId="68" fillId="7" borderId="0" xfId="0" applyNumberFormat="1" applyFont="1" applyFill="1" applyAlignment="1">
      <alignment horizontal="left" vertical="top" wrapText="1"/>
    </xf>
    <xf numFmtId="49" fontId="73" fillId="7" borderId="1" xfId="0" applyNumberFormat="1" applyFont="1" applyFill="1" applyBorder="1" applyAlignment="1">
      <alignment horizontal="center" vertical="top" wrapText="1"/>
    </xf>
    <xf numFmtId="49" fontId="61" fillId="10" borderId="1" xfId="0" applyNumberFormat="1" applyFont="1" applyFill="1" applyBorder="1" applyAlignment="1">
      <alignment horizontal="left" vertical="top"/>
    </xf>
    <xf numFmtId="49" fontId="61" fillId="0" borderId="1" xfId="0" applyNumberFormat="1" applyFont="1" applyBorder="1" applyAlignment="1">
      <alignment horizontal="left" vertical="top" wrapText="1"/>
    </xf>
    <xf numFmtId="49" fontId="0" fillId="16" borderId="0" xfId="0" applyNumberFormat="1" applyFill="1"/>
    <xf numFmtId="0" fontId="56" fillId="0" borderId="13" xfId="0" applyFont="1" applyBorder="1" applyAlignment="1">
      <alignment vertical="top"/>
    </xf>
    <xf numFmtId="0" fontId="56" fillId="0" borderId="12" xfId="0" applyFont="1" applyBorder="1" applyAlignment="1">
      <alignment vertical="top"/>
    </xf>
    <xf numFmtId="49" fontId="56" fillId="0" borderId="10" xfId="0" applyNumberFormat="1" applyFont="1" applyBorder="1" applyAlignment="1">
      <alignment vertical="top"/>
    </xf>
    <xf numFmtId="49" fontId="56" fillId="0" borderId="2" xfId="0" applyNumberFormat="1" applyFont="1" applyBorder="1" applyAlignment="1">
      <alignment vertical="top"/>
    </xf>
    <xf numFmtId="49" fontId="53" fillId="11" borderId="0" xfId="0" applyNumberFormat="1" applyFont="1" applyFill="1"/>
    <xf numFmtId="49" fontId="53" fillId="7" borderId="0" xfId="0" applyNumberFormat="1" applyFont="1" applyFill="1"/>
    <xf numFmtId="49" fontId="54" fillId="7" borderId="0" xfId="0" applyNumberFormat="1" applyFont="1" applyFill="1" applyAlignment="1">
      <alignment wrapText="1"/>
    </xf>
    <xf numFmtId="49" fontId="55" fillId="26" borderId="0" xfId="0" applyNumberFormat="1" applyFont="1" applyFill="1"/>
    <xf numFmtId="49" fontId="54" fillId="0" borderId="0" xfId="0" applyNumberFormat="1" applyFont="1"/>
    <xf numFmtId="49" fontId="54" fillId="0" borderId="0" xfId="0" applyNumberFormat="1" applyFont="1" applyAlignment="1">
      <alignment wrapText="1"/>
    </xf>
    <xf numFmtId="49" fontId="57" fillId="7" borderId="0" xfId="0" applyNumberFormat="1" applyFont="1" applyFill="1"/>
    <xf numFmtId="49" fontId="58" fillId="7" borderId="0" xfId="1" applyNumberFormat="1" applyFont="1" applyFill="1"/>
    <xf numFmtId="49" fontId="60" fillId="6" borderId="1" xfId="0" applyNumberFormat="1" applyFont="1" applyFill="1" applyBorder="1" applyAlignment="1">
      <alignment horizontal="center" vertical="top"/>
    </xf>
    <xf numFmtId="49" fontId="60" fillId="3" borderId="1" xfId="0" applyNumberFormat="1" applyFont="1" applyFill="1" applyBorder="1" applyAlignment="1">
      <alignment horizontal="center" vertical="top"/>
    </xf>
    <xf numFmtId="49" fontId="61" fillId="3" borderId="1" xfId="0" applyNumberFormat="1" applyFont="1" applyFill="1" applyBorder="1" applyAlignment="1">
      <alignment horizontal="left" vertical="top"/>
    </xf>
    <xf numFmtId="49" fontId="61" fillId="3" borderId="1" xfId="0" applyNumberFormat="1" applyFont="1" applyFill="1" applyBorder="1" applyAlignment="1">
      <alignment horizontal="left" vertical="top" wrapText="1"/>
    </xf>
    <xf numFmtId="49" fontId="61" fillId="3" borderId="1" xfId="0" applyNumberFormat="1" applyFont="1" applyFill="1" applyBorder="1" applyAlignment="1">
      <alignment horizontal="center" vertical="top"/>
    </xf>
    <xf numFmtId="49" fontId="64" fillId="3" borderId="0" xfId="0" applyNumberFormat="1" applyFont="1" applyFill="1"/>
    <xf numFmtId="49" fontId="62" fillId="0" borderId="0" xfId="0" applyNumberFormat="1" applyFont="1"/>
    <xf numFmtId="49" fontId="61" fillId="0" borderId="1" xfId="0" applyNumberFormat="1" applyFont="1" applyBorder="1" applyAlignment="1">
      <alignment horizontal="center" vertical="top"/>
    </xf>
    <xf numFmtId="0" fontId="0" fillId="17" borderId="1" xfId="0" applyFill="1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0" fontId="3" fillId="13" borderId="0" xfId="0" applyFont="1" applyFill="1"/>
    <xf numFmtId="0" fontId="74" fillId="3" borderId="11" xfId="0" applyFont="1" applyFill="1" applyBorder="1"/>
    <xf numFmtId="0" fontId="74" fillId="3" borderId="0" xfId="0" applyFont="1" applyFill="1"/>
    <xf numFmtId="0" fontId="75" fillId="3" borderId="0" xfId="1" applyFont="1" applyFill="1"/>
    <xf numFmtId="0" fontId="3" fillId="0" borderId="0" xfId="0" applyFont="1" applyAlignment="1">
      <alignment vertical="top" wrapText="1"/>
    </xf>
    <xf numFmtId="0" fontId="3" fillId="15" borderId="11" xfId="0" applyFont="1" applyFill="1" applyBorder="1"/>
    <xf numFmtId="0" fontId="0" fillId="15" borderId="11" xfId="0" quotePrefix="1" applyFill="1" applyBorder="1"/>
    <xf numFmtId="0" fontId="0" fillId="15" borderId="2" xfId="0" applyFill="1" applyBorder="1"/>
    <xf numFmtId="0" fontId="3" fillId="0" borderId="11" xfId="0" quotePrefix="1" applyFont="1" applyBorder="1"/>
    <xf numFmtId="0" fontId="76" fillId="0" borderId="11" xfId="0" applyFont="1" applyBorder="1"/>
    <xf numFmtId="0" fontId="21" fillId="0" borderId="11" xfId="0" applyFont="1" applyBorder="1"/>
    <xf numFmtId="0" fontId="77" fillId="0" borderId="11" xfId="0" applyFont="1" applyBorder="1"/>
    <xf numFmtId="9" fontId="0" fillId="0" borderId="0" xfId="0" applyNumberFormat="1"/>
    <xf numFmtId="0" fontId="78" fillId="3" borderId="1" xfId="1" applyFont="1" applyFill="1" applyBorder="1"/>
    <xf numFmtId="0" fontId="79" fillId="0" borderId="0" xfId="0" applyFont="1"/>
    <xf numFmtId="0" fontId="78" fillId="0" borderId="0" xfId="1" applyFont="1"/>
    <xf numFmtId="0" fontId="56" fillId="9" borderId="1" xfId="0" applyFont="1" applyFill="1" applyBorder="1" applyAlignment="1">
      <alignment vertical="top" wrapText="1"/>
    </xf>
    <xf numFmtId="0" fontId="3" fillId="40" borderId="0" xfId="0" applyFont="1" applyFill="1"/>
    <xf numFmtId="0" fontId="0" fillId="41" borderId="1" xfId="0" applyFill="1" applyBorder="1"/>
    <xf numFmtId="0" fontId="0" fillId="9" borderId="9" xfId="0" applyFill="1" applyBorder="1"/>
    <xf numFmtId="0" fontId="75" fillId="3" borderId="30" xfId="1" applyFont="1" applyFill="1" applyBorder="1"/>
    <xf numFmtId="0" fontId="2" fillId="9" borderId="30" xfId="1" applyFill="1" applyBorder="1"/>
    <xf numFmtId="0" fontId="0" fillId="9" borderId="30" xfId="0" applyFill="1" applyBorder="1"/>
    <xf numFmtId="0" fontId="78" fillId="3" borderId="30" xfId="1" applyFont="1" applyFill="1" applyBorder="1"/>
    <xf numFmtId="0" fontId="0" fillId="9" borderId="13" xfId="1" applyFont="1" applyFill="1" applyBorder="1" applyAlignment="1">
      <alignment vertical="top"/>
    </xf>
    <xf numFmtId="0" fontId="75" fillId="0" borderId="0" xfId="1" applyFont="1" applyFill="1"/>
    <xf numFmtId="0" fontId="74" fillId="3" borderId="1" xfId="0" applyFont="1" applyFill="1" applyBorder="1"/>
    <xf numFmtId="9" fontId="0" fillId="3" borderId="0" xfId="0" applyNumberFormat="1" applyFill="1"/>
    <xf numFmtId="0" fontId="79" fillId="3" borderId="1" xfId="0" applyFont="1" applyFill="1" applyBorder="1"/>
    <xf numFmtId="0" fontId="79" fillId="3" borderId="0" xfId="0" applyFont="1" applyFill="1"/>
    <xf numFmtId="9" fontId="79" fillId="3" borderId="0" xfId="0" applyNumberFormat="1" applyFont="1" applyFill="1"/>
    <xf numFmtId="0" fontId="78" fillId="3" borderId="0" xfId="1" applyFont="1" applyFill="1"/>
    <xf numFmtId="0" fontId="2" fillId="3" borderId="0" xfId="1" applyFill="1"/>
    <xf numFmtId="0" fontId="0" fillId="41" borderId="13" xfId="1" applyFont="1" applyFill="1" applyBorder="1" applyAlignment="1">
      <alignment readingOrder="1"/>
    </xf>
    <xf numFmtId="0" fontId="2" fillId="0" borderId="0" xfId="1" applyFill="1"/>
    <xf numFmtId="0" fontId="50" fillId="0" borderId="0" xfId="0" applyFont="1"/>
    <xf numFmtId="0" fontId="0" fillId="0" borderId="1" xfId="0" applyBorder="1" applyAlignment="1">
      <alignment wrapText="1"/>
    </xf>
    <xf numFmtId="0" fontId="0" fillId="41" borderId="13" xfId="1" applyFont="1" applyFill="1" applyBorder="1" applyAlignment="1">
      <alignment vertical="top"/>
    </xf>
    <xf numFmtId="0" fontId="82" fillId="0" borderId="31" xfId="0" applyFont="1" applyBorder="1" applyAlignment="1">
      <alignment horizontal="left" vertical="top" wrapText="1"/>
    </xf>
    <xf numFmtId="0" fontId="81" fillId="0" borderId="1" xfId="0" applyFont="1" applyBorder="1" applyAlignment="1">
      <alignment horizontal="left" vertical="top" wrapText="1"/>
    </xf>
    <xf numFmtId="0" fontId="81" fillId="0" borderId="2" xfId="0" applyFont="1" applyBorder="1" applyAlignment="1">
      <alignment horizontal="left" vertical="top" wrapText="1"/>
    </xf>
    <xf numFmtId="0" fontId="83" fillId="0" borderId="2" xfId="0" applyFont="1" applyBorder="1" applyAlignment="1">
      <alignment horizontal="left" vertical="top" wrapText="1"/>
    </xf>
    <xf numFmtId="0" fontId="84" fillId="13" borderId="1" xfId="0" applyFont="1" applyFill="1" applyBorder="1" applyAlignment="1">
      <alignment horizontal="left" vertical="top" wrapText="1"/>
    </xf>
    <xf numFmtId="0" fontId="85" fillId="0" borderId="31" xfId="0" applyFont="1" applyBorder="1" applyAlignment="1">
      <alignment horizontal="left" vertical="top" wrapText="1"/>
    </xf>
    <xf numFmtId="0" fontId="81" fillId="13" borderId="1" xfId="0" applyFont="1" applyFill="1" applyBorder="1" applyAlignment="1">
      <alignment horizontal="center" vertical="top" wrapText="1"/>
    </xf>
    <xf numFmtId="0" fontId="81" fillId="0" borderId="2" xfId="0" applyFont="1" applyBorder="1" applyAlignment="1">
      <alignment horizontal="center" vertical="top" wrapText="1"/>
    </xf>
    <xf numFmtId="0" fontId="81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top"/>
    </xf>
    <xf numFmtId="0" fontId="88" fillId="0" borderId="31" xfId="0" applyFont="1" applyBorder="1" applyAlignment="1">
      <alignment horizontal="left" vertical="top" wrapText="1"/>
    </xf>
    <xf numFmtId="0" fontId="3" fillId="0" borderId="0" xfId="0" applyFont="1" applyAlignment="1">
      <alignment vertical="top"/>
    </xf>
    <xf numFmtId="0" fontId="80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3" fillId="42" borderId="0" xfId="0" applyFont="1" applyFill="1" applyAlignment="1">
      <alignment horizontal="center"/>
    </xf>
    <xf numFmtId="0" fontId="89" fillId="3" borderId="0" xfId="0" applyFont="1" applyFill="1"/>
    <xf numFmtId="0" fontId="1" fillId="0" borderId="11" xfId="0" applyFont="1" applyBorder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285750</xdr:colOff>
      <xdr:row>44</xdr:row>
      <xdr:rowOff>57150</xdr:rowOff>
    </xdr:from>
    <xdr:to>
      <xdr:col>15</xdr:col>
      <xdr:colOff>514350</xdr:colOff>
      <xdr:row>59</xdr:row>
      <xdr:rowOff>19050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DA25776-2574-FA6B-A0C7-54B9E85E1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77625" y="8439150"/>
          <a:ext cx="8724900" cy="2819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2</xdr:row>
      <xdr:rowOff>180975</xdr:rowOff>
    </xdr:from>
    <xdr:to>
      <xdr:col>21</xdr:col>
      <xdr:colOff>95250</xdr:colOff>
      <xdr:row>37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CB347D-4862-37F1-248D-1E81EFD3B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" y="561975"/>
          <a:ext cx="12220575" cy="6657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</xdr:row>
      <xdr:rowOff>19050</xdr:rowOff>
    </xdr:from>
    <xdr:to>
      <xdr:col>19</xdr:col>
      <xdr:colOff>542925</xdr:colOff>
      <xdr:row>42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EA2161-F443-7B99-BCEB-AD1CB8EFD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209550"/>
          <a:ext cx="11382375" cy="78962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142875</xdr:rowOff>
    </xdr:from>
    <xdr:to>
      <xdr:col>13</xdr:col>
      <xdr:colOff>361950</xdr:colOff>
      <xdr:row>18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8A4B0C-C830-89AD-07C7-25C7D59A6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523875"/>
          <a:ext cx="7620000" cy="2971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diagrams.net/" TargetMode="External"/><Relationship Id="rId3" Type="http://schemas.openxmlformats.org/officeDocument/2006/relationships/hyperlink" Target="https://tliidp-my.sharepoint.com/:p:/g/personal/benyathip_luen_thailife_com/IQBQNo1oETHESbErLq1c5IIHAQPV9iFvzh4Ppb7qtrwHdYg?e=QAdKBu&amp;wdExp=TEAMS-TREATMENT&amp;web=1" TargetMode="External"/><Relationship Id="rId7" Type="http://schemas.openxmlformats.org/officeDocument/2006/relationships/hyperlink" Target="https://tliidp-my.sharepoint.com/:x:/g/personal/kittipat_thailife_com/IQDRH_MKepIrU86w1Kx0-knWAS98okEC0iO5VLNQ8pIL8tU?e=mI7SDU&amp;nav=MTJfQTFfezdEQzI2MTVCLTc3RDMtNDA2OS1BMTM5LUFBMDFFM0U3NURCNX0" TargetMode="External"/><Relationship Id="rId2" Type="http://schemas.openxmlformats.org/officeDocument/2006/relationships/hyperlink" Target="https://tliidp-my.sharepoint.com/:x:/r/personal/benyathip_luen_thailife_com/Documents/MOM%20Note%20%F0%9F%97%92%EF%B8%8F.xlsx?d=w80b22b294d5f45d8875e4a8a84c1c8e7&amp;csf=1&amp;web=1&amp;e=yQ5G3V" TargetMode="External"/><Relationship Id="rId1" Type="http://schemas.openxmlformats.org/officeDocument/2006/relationships/hyperlink" Target="https://app.diagrams.net/" TargetMode="External"/><Relationship Id="rId6" Type="http://schemas.openxmlformats.org/officeDocument/2006/relationships/hyperlink" Target="https://tliidp-my.sharepoint.com/:x:/r/personal/banharn_swan_thailife_com/Documents/Projects/NASA%20Project/NASA_R2/SA%20Documents/Technical%20Solution/%5BNASA_R2%5D%20Migration%20data%20%26%20support%20existing%20case%20from%20TLPro.xlsx?d=w0ce4cfa6e2484346882e1ee4af36fcea&amp;csf=1&amp;web=1&amp;e=K88J4p&amp;nav=MTJfQTFfezAwMDAwMDAwLTAwMDEtMDAwMC0wMDAwLTAwMDAwMDAwMDAwMH0" TargetMode="External"/><Relationship Id="rId5" Type="http://schemas.openxmlformats.org/officeDocument/2006/relationships/hyperlink" Target="https://tliidp-my.sharepoint.com/:f:/r/personal/banharn_swan_thailife_com/Documents/Projects/NASA%20Project/NASA_R2/SA%20Documents/Technical%20Solution/MigrationData?csf=1&amp;web=1&amp;e=Tg6fZP" TargetMode="External"/><Relationship Id="rId4" Type="http://schemas.openxmlformats.org/officeDocument/2006/relationships/hyperlink" Target="https://tliidp-my.sharepoint.com/:x:/r/personal/narumon_won_thailife_com/Documents/NASA_R2_Selling/Application/Data%20Migration.xlsx?d=wf9ca8a0633c34545b5c68d4062b572ee&amp;csf=1&amp;web=1&amp;e=c1zptN" TargetMode="External"/><Relationship Id="rId9" Type="http://schemas.openxmlformats.org/officeDocument/2006/relationships/hyperlink" Target="https://tliidp-my.sharepoint.com/:x:/r/personal/narumon_won_thailife_com/Documents/TLProPlus_Status.xlsx?d=wc4e1eb3b1ee6400094d6510613366870&amp;csf=1&amp;web=1&amp;e=RQaDKo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tliidp-my.sharepoint.com/:x:/r/personal/banharn_swan_thailife_com/Documents/Projects/NASA%20Project/NASA_R2/SA%20Documents/Technical%20Solution/MigrationData/Mapping%20quotation_rider.xlsx?d=w8839a1fccc25493a82f9b897ffc8a478&amp;csf=1&amp;web=1&amp;e=r9L9Hj" TargetMode="External"/><Relationship Id="rId18" Type="http://schemas.openxmlformats.org/officeDocument/2006/relationships/hyperlink" Target="https://tliidp-my.sharepoint.com/:x:/r/personal/banharn_swan_thailife_com/Documents/Projects/NASA%20Project/NASA_R2/SA%20Documents/Technical%20Solution/MigrationData/Mapping%20application_beneficiary.xlsx?d=wdc5cdbd7c6c14619983de407878aaa60&amp;csf=1&amp;web=1&amp;e=AcplH5" TargetMode="External"/><Relationship Id="rId26" Type="http://schemas.openxmlformats.org/officeDocument/2006/relationships/hyperlink" Target="https://tliidp-my.sharepoint.com/:x:/r/personal/banharn_swan_thailife_com/Documents/Projects/NASA%20Project/NASA_R2/SA%20Documents/Technical%20Solution/MigrationData/Mapping%20application_offer_quotation.xlsx?d=w36b7564852454c54b63ac0b0425aa28e&amp;csf=1&amp;web=1&amp;e=zdQIDQ" TargetMode="External"/><Relationship Id="rId39" Type="http://schemas.openxmlformats.org/officeDocument/2006/relationships/hyperlink" Target="https://tliidp-my.sharepoint.com/:x:/r/personal/banharn_swan_thailife_com/Documents/Projects/NASA%20Project/NASA_R2/SA%20Documents/Technical%20Solution/MigrationData/Mapping%20sales_dopa_status.xlsx?d=w776792868d7e4708bc945d53b262d980&amp;csf=1&amp;web=1&amp;e=Db8LsK" TargetMode="External"/><Relationship Id="rId21" Type="http://schemas.openxmlformats.org/officeDocument/2006/relationships/hyperlink" Target="https://tliidp-my.sharepoint.com/:x:/r/personal/banharn_swan_thailife_com/Documents/Projects/NASA%20Project/NASA_R2/SA%20Documents/Technical%20Solution/MigrationData/Mapping%20application_insurance_rejection.xlsx?d=w52a258fc4e014bb09d0b568ff3b2b6a4&amp;csf=1&amp;web=1&amp;e=IhCd8r" TargetMode="External"/><Relationship Id="rId34" Type="http://schemas.openxmlformats.org/officeDocument/2006/relationships/hyperlink" Target="https://tliidp-my.sharepoint.com/:x:/r/personal/banharn_swan_thailife_com/Documents/Projects/NASA%20Project/NASA_R2/SA%20Documents/Technical%20Solution/MigrationData/Mapping%20guardian_pdpa.xlsx?d=w1d2e6b577d74450592b662ced784c072&amp;csf=1&amp;web=1&amp;e=vEkaEY" TargetMode="External"/><Relationship Id="rId7" Type="http://schemas.openxmlformats.org/officeDocument/2006/relationships/hyperlink" Target="https://tliidp-my.sharepoint.com/:x:/r/personal/banharn_swan_thailife_com/Documents/Projects/NASA%20Project/NASA_R2/SA%20Documents/%5BNASA%5D%20Database%20dictionary/DataDict_ms-sale.xlsx?d=w741a701bbbb24446b6f35d79d10c856e&amp;csf=1&amp;web=1&amp;e=EV6xOC&amp;nav=MTJfQTFfe0RBRUU0Njc1LUJGMzctNEUwRS1BQzBDLTRDN0U5QUU2MUE5Qn0" TargetMode="External"/><Relationship Id="rId12" Type="http://schemas.openxmlformats.org/officeDocument/2006/relationships/hyperlink" Target="https://tliidp-my.sharepoint.com/:x:/r/personal/banharn_swan_thailife_com/Documents/Projects/NASA%20Project/NASA_R2/SA%20Documents/Technical%20Solution/MigrationData/Mapping%20quotation.xlsx?d=wc31bfb1a50004258a6cd9fcab2fc81df&amp;csf=1&amp;web=1&amp;e=uOWF0W" TargetMode="External"/><Relationship Id="rId17" Type="http://schemas.openxmlformats.org/officeDocument/2006/relationships/hyperlink" Target="https://tliidp-my.sharepoint.com/:x:/r/personal/banharn_swan_thailife_com/Documents/Projects/NASA%20Project/NASA_R2/SA%20Documents/Technical%20Solution/MigrationData/Mapping%20application_answer.xlsx?d=wb2e3038b480d4165a321a84dfce6fb74&amp;csf=1&amp;web=1&amp;e=f9pCfK" TargetMode="External"/><Relationship Id="rId25" Type="http://schemas.openxmlformats.org/officeDocument/2006/relationships/hyperlink" Target="https://tliidp-my.sharepoint.com/:x:/r/personal/banharn_swan_thailife_com/Documents/Projects/NASA%20Project/NASA_R2/SA%20Documents/Technical%20Solution/MigrationData/Mapping%20application_offer_payment.xlsx?d=w8dc34cbd9ce24c798a070f8679696c60&amp;csf=1&amp;web=1&amp;e=imZLV1" TargetMode="External"/><Relationship Id="rId33" Type="http://schemas.openxmlformats.org/officeDocument/2006/relationships/hyperlink" Target="https://tliidp-my.sharepoint.com/:x:/r/personal/banharn_swan_thailife_com/Documents/Projects/NASA%20Project/NASA_R2/SA%20Documents/Technical%20Solution/MigrationData/Mapping%20ekyc.xlsx?d=w6c39e39b841b4e81891dbc6a10c05b18&amp;csf=1&amp;web=1&amp;e=cv6U5f" TargetMode="External"/><Relationship Id="rId38" Type="http://schemas.openxmlformats.org/officeDocument/2006/relationships/hyperlink" Target="https://tliidp-my.sharepoint.com/:x:/r/personal/banharn_swan_thailife_com/Documents/Projects/NASA%20Project/NASA_R2/SA%20Documents/Technical%20Solution/MigrationData/Mapping%20questionnaire_question.xlsx?d=w8eee579d90fc4f969a4a3ea8c0bb4224&amp;csf=1&amp;web=1&amp;e=JrKYtC" TargetMode="External"/><Relationship Id="rId2" Type="http://schemas.openxmlformats.org/officeDocument/2006/relationships/hyperlink" Target="https://tliidp-my.sharepoint.com/:x:/r/personal/banharn_swan_thailife_com/_layouts/15/Doc.aspx?sourcedoc=%7B741A701B-BBB2-4446-B6F3-5D79D10C856E%7D&amp;file=DataDict_ms-sale.xlsx&amp;action=default&amp;mobileredirect=true&amp;DefaultItemOpen=1&amp;wdOrigin=OFFICECOM-WEB.REDIRECT%2CAPPHOME-WEB.FILEBROWSER.RECENT&amp;wdPreviousSession=e3f9903a-a4fa-4394-9c90-713959e7801d&amp;wdPreviousSessionSrc=AppHomeWeb&amp;ct=1764237547171" TargetMode="External"/><Relationship Id="rId16" Type="http://schemas.openxmlformats.org/officeDocument/2006/relationships/hyperlink" Target="https://tliidp-my.sharepoint.com/:x:/r/personal/banharn_swan_thailife_com/Documents/Projects/NASA%20Project/NASA_R2/SA%20Documents/Technical%20Solution/MigrationData/Mapping%20application_address.xlsx?d=wa8de20bdfcc641e59b8b8e5ef41cfe7a&amp;csf=1&amp;web=1&amp;e=Ywv096" TargetMode="External"/><Relationship Id="rId20" Type="http://schemas.openxmlformats.org/officeDocument/2006/relationships/hyperlink" Target="https://tliidp-my.sharepoint.com/:x:/r/personal/banharn_swan_thailife_com/Documents/Projects/NASA%20Project/NASA_R2/SA%20Documents/Technical%20Solution/MigrationData/Mapping%20application_guardian.xlsx?d=w7084ba683cc84817a0930a2d522a4096&amp;csf=1&amp;web=1&amp;e=B4ts18" TargetMode="External"/><Relationship Id="rId29" Type="http://schemas.openxmlformats.org/officeDocument/2006/relationships/hyperlink" Target="https://tliidp-my.sharepoint.com/:x:/r/personal/banharn_swan_thailife_com/Documents/Projects/NASA%20Project/NASA_R2/SA%20Documents/Technical%20Solution/MigrationData/Mapping%20application_payment.xlsx?d=w32bd9f0878074421a9c3bcc4710f0936&amp;csf=1&amp;web=1&amp;e=kbFgsd" TargetMode="External"/><Relationship Id="rId1" Type="http://schemas.openxmlformats.org/officeDocument/2006/relationships/hyperlink" Target="https://tliidp-my.sharepoint.com/:x:/r/personal/banharn_swan_thailife_com/_layouts/15/Doc.aspx?sourcedoc=%7B741A701B-BBB2-4446-B6F3-5D79D10C856E%7D&amp;file=DataDict_ms-sale.xlsx&amp;action=default&amp;mobileredirect=true&amp;DefaultItemOpen=1&amp;wdOrigin=OFFICECOM-WEB.REDIRECT%2CAPPHOME-WEB.FILEBROWSER.RECENT&amp;wdPreviousSession=e3f9903a-a4fa-4394-9c90-713959e7801d&amp;wdPreviousSessionSrc=AppHomeWeb&amp;ct=1764237547171" TargetMode="External"/><Relationship Id="rId6" Type="http://schemas.openxmlformats.org/officeDocument/2006/relationships/hyperlink" Target="https://tliidp-my.sharepoint.com/:x:/r/personal/banharn_swan_thailife_com/Documents/Projects/NASA%20Project/NASA_R2/SA%20Documents/%5BNASA%5D%20Database%20dictionary/DataDict_ms-sale.xlsx?d=w741a701bbbb24446b6f35d79d10c856e&amp;csf=1&amp;web=1&amp;e=yUvrr2&amp;nav=MTJfQTFfezlBRTk5QTg0LTQ1MDYtNDI3Qi1CNkE3LTU3QTI3MEJGMDVCOX0" TargetMode="External"/><Relationship Id="rId11" Type="http://schemas.openxmlformats.org/officeDocument/2006/relationships/hyperlink" Target="https://tliidp-my.sharepoint.com/:x:/r/personal/banharn_swan_thailife_com/Documents/Projects/NASA%20Project/NASA_R2/SA%20Documents/Technical%20Solution/MigrationData/Mapping%20quotation_guardian.xlsx?d=w55fdea413a7a49c78748bae8773db2a8&amp;csf=1&amp;web=1&amp;e=DrfZ3V" TargetMode="External"/><Relationship Id="rId24" Type="http://schemas.openxmlformats.org/officeDocument/2006/relationships/hyperlink" Target="https://tliidp-my.sharepoint.com/:x:/r/personal/banharn_swan_thailife_com/Documents/Projects/NASA%20Project/NASA_R2/SA%20Documents/Technical%20Solution/MigrationData/Mapping%20application_offer_information.xlsx?d=w50aa7f2c3f8a47cbabb7ee24940f165e&amp;csf=1&amp;web=1&amp;e=XS3n5P" TargetMode="External"/><Relationship Id="rId32" Type="http://schemas.openxmlformats.org/officeDocument/2006/relationships/hyperlink" Target="https://tliidp-my.sharepoint.com/:x:/r/personal/banharn_swan_thailife_com/Documents/Projects/NASA%20Project/NASA_R2/SA%20Documents/Technical%20Solution/MigrationData/Mapping%20document_file.xlsx?d=w8d20c8d12132473f9fd3e250957743a1&amp;csf=1&amp;web=1&amp;e=GNUmN5" TargetMode="External"/><Relationship Id="rId37" Type="http://schemas.openxmlformats.org/officeDocument/2006/relationships/hyperlink" Target="https://tliidp-my.sharepoint.com/:x:/r/personal/banharn_swan_thailife_com/Documents/Projects/NASA%20Project/NASA_R2/SA%20Documents/Technical%20Solution/MigrationData/Mapping%20prospect_pdpa.xlsx?d=w70c77b263dc143559033d5fa990681da&amp;csf=1&amp;web=1&amp;e=wnn3Ck" TargetMode="External"/><Relationship Id="rId5" Type="http://schemas.openxmlformats.org/officeDocument/2006/relationships/hyperlink" Target="https://tliidp-my.sharepoint.com/:x:/r/personal/banharn_swan_thailife_com/Documents/Projects/NASA%20Project/NASA_R2/SA%20Documents/%5BNASA%5D%20Database%20dictionary/DataDict_ms-sale.xlsx?d=w741a701bbbb24446b6f35d79d10c856e&amp;csf=1&amp;web=1&amp;e=6tG1vp&amp;nav=MTJfQTFfezMzNkE2OUUwLUU3ODEtNDNCNC1CMzZELUY0NkM3QzE3OTc2Q30" TargetMode="External"/><Relationship Id="rId15" Type="http://schemas.openxmlformats.org/officeDocument/2006/relationships/hyperlink" Target="https://tliidp-my.sharepoint.com/:x:/r/personal/banharn_swan_thailife_com/Documents/Projects/NASA%20Project/NASA_R2/SA%20Documents/Technical%20Solution/MigrationData/Mapping%20application.xlsx?d=w8be36b0c5fb647a2b4cbf193e6eae4a9&amp;csf=1&amp;web=1&amp;e=f7czYX" TargetMode="External"/><Relationship Id="rId23" Type="http://schemas.openxmlformats.org/officeDocument/2006/relationships/hyperlink" Target="https://tliidp-my.sharepoint.com/:x:/r/personal/banharn_swan_thailife_com/Documents/Projects/NASA%20Project/NASA_R2/SA%20Documents/Technical%20Solution/MigrationData/Mapping%20application_offer_document.xlsx?d=w76a7c8b741234384a7e4ad591734cb17&amp;csf=1&amp;web=1&amp;e=KqhH7H" TargetMode="External"/><Relationship Id="rId28" Type="http://schemas.openxmlformats.org/officeDocument/2006/relationships/hyperlink" Target="https://tliidp-my.sharepoint.com/:x:/r/personal/banharn_swan_thailife_com/Documents/Projects/NASA%20Project/NASA_R2/SA%20Documents/Technical%20Solution/MigrationData/Mapping%20application_other_insurance.xlsx?d=wf6337b6d3f3548db9797be0c787d7e24&amp;csf=1&amp;web=1&amp;e=HU0YzJ" TargetMode="External"/><Relationship Id="rId36" Type="http://schemas.openxmlformats.org/officeDocument/2006/relationships/hyperlink" Target="https://tliidp-my.sharepoint.com/:x:/r/personal/banharn_swan_thailife_com/Documents/Projects/NASA%20Project/NASA_R2/SA%20Documents/Technical%20Solution/MigrationData/Mapping%20prospect_address.xlsx?d=w11496baa70b74e939aa111c8229a80bf&amp;csf=1&amp;web=1&amp;e=Cvn0hF" TargetMode="External"/><Relationship Id="rId10" Type="http://schemas.openxmlformats.org/officeDocument/2006/relationships/hyperlink" Target="https://tliidp-my.sharepoint.com/:x:/r/personal/banharn_swan_thailife_com/Documents/Projects/NASA%20Project/NASA_R2/SA%20Documents/%5BNASA%5D%20Database%20dictionary/DataDict_ms-sale.xlsx?d=w741a701bbbb24446b6f35d79d10c856e&amp;csf=1&amp;web=1&amp;e=fGT1ap&amp;nav=MTJfQTFfezk3MTA4RjBCLUE1MTItNDBERC1BM0M0LUY1OEQ0QTYwNDRDMX0" TargetMode="External"/><Relationship Id="rId19" Type="http://schemas.openxmlformats.org/officeDocument/2006/relationships/hyperlink" Target="https://tliidp-my.sharepoint.com/:x:/r/personal/banharn_swan_thailife_com/Documents/Projects/NASA%20Project/NASA_R2/SA%20Documents/Technical%20Solution/MigrationData/Mapping%20application_counter_offer.xlsx?d=w256b86655839498baf5a694a9e4dffeb&amp;csf=1&amp;web=1&amp;e=7cSess" TargetMode="External"/><Relationship Id="rId31" Type="http://schemas.openxmlformats.org/officeDocument/2006/relationships/hyperlink" Target="https://tliidp-my.sharepoint.com/:x:/r/personal/banharn_swan_thailife_com/Documents/Projects/NASA%20Project/NASA_R2/SA%20Documents/Technical%20Solution/MigrationData/Mapping%20application_refund_transaction.xlsx?d=wa4f2ed5e67314d728c948fa4a2777f32&amp;csf=1&amp;web=1&amp;e=Ol468U" TargetMode="External"/><Relationship Id="rId4" Type="http://schemas.openxmlformats.org/officeDocument/2006/relationships/hyperlink" Target="https://tliidp-my.sharepoint.com/:x:/g/personal/banharn_swan_thailife_com/IQAbcBp0srtGRLbzXXnRDIVuAQxum1K0cpoSFF1O44oYtgI?e=CyyQxT" TargetMode="External"/><Relationship Id="rId9" Type="http://schemas.openxmlformats.org/officeDocument/2006/relationships/hyperlink" Target="https://tliidp-my.sharepoint.com/:x:/r/personal/banharn_swan_thailife_com/Documents/Projects/NASA%20Project/NASA_R2/SA%20Documents/%5BNASA%5D%20Database%20dictionary/DataDict_ms-sale.xlsx?d=w741a701bbbb24446b6f35d79d10c856e&amp;csf=1&amp;web=1&amp;e=9pCrL4&amp;nav=MTJfQTFfezE0OTAwMTA2LUJGQTgtNDJDQi1BREY3LUU1MTUyRTFFMjg5Mn0" TargetMode="External"/><Relationship Id="rId14" Type="http://schemas.openxmlformats.org/officeDocument/2006/relationships/hyperlink" Target="https://tliidp-my.sharepoint.com/:x:/g/personal/kittipat_thailife_com/IQDRH_MKepIrU86w1Kx0-knWAS98okEC0iO5VLNQ8pIL8tU?e=mI7SDU&amp;nav=MTJfQTFfezdEQzI2MTVCLTc3RDMtNDA2OS1BMTM5LUFBMDFFM0U3NURCNX0" TargetMode="External"/><Relationship Id="rId22" Type="http://schemas.openxmlformats.org/officeDocument/2006/relationships/hyperlink" Target="https://tliidp-my.sharepoint.com/:x:/r/personal/banharn_swan_thailife_com/Documents/Projects/NASA%20Project/NASA_R2/SA%20Documents/Technical%20Solution/MigrationData/Mapping%20application_insured.xlsx?d=we7ea152465c74c2eafdb550469e1e4a9&amp;csf=1&amp;web=1&amp;e=5TggVO" TargetMode="External"/><Relationship Id="rId27" Type="http://schemas.openxmlformats.org/officeDocument/2006/relationships/hyperlink" Target="https://tliidp-my.sharepoint.com/:x:/r/personal/banharn_swan_thailife_com/Documents/Projects/NASA%20Project/NASA_R2/SA%20Documents/Technical%20Solution/MigrationData/Mapping%20application_offer_tracking.xlsx?d=w7557584ac98f41808c779f864c93ee9e&amp;csf=1&amp;web=1&amp;e=G3Ka16" TargetMode="External"/><Relationship Id="rId30" Type="http://schemas.openxmlformats.org/officeDocument/2006/relationships/hyperlink" Target="https://tliidp-my.sharepoint.com/:x:/r/personal/banharn_swan_thailife_com/Documents/Projects/NASA%20Project/NASA_R2/SA%20Documents/Technical%20Solution/MigrationData/Mapping%20application_refund.xlsx?d=w3c95b66e581f497ab3a6363923e2ac2d&amp;csf=1&amp;web=1&amp;e=QCXuOR" TargetMode="External"/><Relationship Id="rId35" Type="http://schemas.openxmlformats.org/officeDocument/2006/relationships/hyperlink" Target="https://tliidp-my.sharepoint.com/:x:/r/personal/banharn_swan_thailife_com/Documents/Projects/NASA%20Project/NASA_R2/SA%20Documents/Technical%20Solution/MigrationData/Mapping%20prospect.xlsx?d=w6a445e85bac84b579778fd50f906ed51&amp;csf=1&amp;web=1&amp;e=i6tcii" TargetMode="External"/><Relationship Id="rId8" Type="http://schemas.openxmlformats.org/officeDocument/2006/relationships/hyperlink" Target="https://tliidp-my.sharepoint.com/:x:/r/personal/banharn_swan_thailife_com/Documents/Projects/NASA%20Project/NASA_R2/SA%20Documents/%5BNASA%5D%20Database%20dictionary/DataDict_ms-sale.xlsx?d=w741a701bbbb24446b6f35d79d10c856e&amp;csf=1&amp;web=1&amp;e=EcPLJd&amp;nav=MTJfQTFfezE2NTY3MEQ2LThCRDYtNDA0NC1BNDlDLUI2MzE3NkZDRkQ2NX0" TargetMode="External"/><Relationship Id="rId3" Type="http://schemas.openxmlformats.org/officeDocument/2006/relationships/hyperlink" Target="https://tliidp-my.sharepoint.com/:x:/r/personal/banharn_swan_thailife_com/_layouts/15/Doc.aspx?sourcedoc=%7B741A701B-BBB2-4446-B6F3-5D79D10C856E%7D&amp;file=DataDict_ms-sale.xlsx&amp;action=default&amp;mobileredirect=tru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app.diagrams.net/" TargetMode="External"/><Relationship Id="rId1" Type="http://schemas.openxmlformats.org/officeDocument/2006/relationships/hyperlink" Target="https://tliidp-my.sharepoint.com/:x:/r/personal/kittipat_thailife_com/Documents/Action%20Plan%20(New%20Core).xlsx?d=w0af31fd1927a532bceb0d4ac74fa49d6&amp;csf=1&amp;web=1&amp;e=zo2uay&amp;nav=MTJfQTFfezdEQzI2MTVCLTc3RDMtNDA2OS1BMTM5LUFBMDFFM0U3NURCNX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app.diagrams.net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bluebik-asa.atlassian.net/wiki/spaces/TNS/pages/25690124" TargetMode="External"/><Relationship Id="rId13" Type="http://schemas.openxmlformats.org/officeDocument/2006/relationships/hyperlink" Target="https://bluebik-asa.atlassian.net/wiki/spaces/TNS/pages/25624577" TargetMode="External"/><Relationship Id="rId18" Type="http://schemas.openxmlformats.org/officeDocument/2006/relationships/hyperlink" Target="https://bluebik-asa.atlassian.net/wiki/spaces/TNS/pages/25624577" TargetMode="External"/><Relationship Id="rId3" Type="http://schemas.openxmlformats.org/officeDocument/2006/relationships/hyperlink" Target="https://bluebik-asa.atlassian.net/wiki/spaces/TNS/pages/29950278" TargetMode="External"/><Relationship Id="rId21" Type="http://schemas.openxmlformats.org/officeDocument/2006/relationships/hyperlink" Target="https://bluebik-asa.atlassian.net/wiki/spaces/TNS/pages/25690113" TargetMode="External"/><Relationship Id="rId7" Type="http://schemas.openxmlformats.org/officeDocument/2006/relationships/hyperlink" Target="https://bluebik-asa.atlassian.net/wiki/spaces/TNS/pages/25690124" TargetMode="External"/><Relationship Id="rId12" Type="http://schemas.openxmlformats.org/officeDocument/2006/relationships/hyperlink" Target="https://bluebik-asa.atlassian.net/wiki/spaces/TNS/pages/25624577" TargetMode="External"/><Relationship Id="rId17" Type="http://schemas.openxmlformats.org/officeDocument/2006/relationships/hyperlink" Target="https://bluebik-asa.atlassian.net/wiki/spaces/TNS/pages/25559041" TargetMode="External"/><Relationship Id="rId2" Type="http://schemas.openxmlformats.org/officeDocument/2006/relationships/hyperlink" Target="https://bluebik-asa.atlassian.net/wiki/spaces/TNS/pages/29950278" TargetMode="External"/><Relationship Id="rId16" Type="http://schemas.openxmlformats.org/officeDocument/2006/relationships/hyperlink" Target="https://bluebik-asa.atlassian.net/wiki/spaces/TNS/pages/25559041" TargetMode="External"/><Relationship Id="rId20" Type="http://schemas.openxmlformats.org/officeDocument/2006/relationships/hyperlink" Target="https://bluebik-asa.atlassian.net/wiki/spaces/TNS/pages/25624577" TargetMode="External"/><Relationship Id="rId1" Type="http://schemas.openxmlformats.org/officeDocument/2006/relationships/hyperlink" Target="https://bluebik-team.atlassian.net/wiki/spaces/TNS/pages/28481592/prospect+Table" TargetMode="External"/><Relationship Id="rId6" Type="http://schemas.openxmlformats.org/officeDocument/2006/relationships/hyperlink" Target="https://bluebik-team.atlassian.net/wiki/spaces/TNS/pages/47513601/sales_wording+Table?atlOrigin=eyJpIjoiN2FkZmUzOTY4ODU0NGIzOTkwMWY4ZmY0OTkxN2M0NjMiLCJwIjoiYyJ9" TargetMode="External"/><Relationship Id="rId11" Type="http://schemas.openxmlformats.org/officeDocument/2006/relationships/hyperlink" Target="https://bluebik-asa.atlassian.net/wiki/spaces/TNS/pages/25559041" TargetMode="External"/><Relationship Id="rId5" Type="http://schemas.openxmlformats.org/officeDocument/2006/relationships/hyperlink" Target="https://bluebik-team.atlassian.net/wiki/spaces/TNS/pages/47513601/sales_wording+Table?atlOrigin=eyJpIjoiN2FkZmUzOTY4ODU0NGIzOTkwMWY4ZmY0OTkxN2M0NjMiLCJwIjoiYyJ9" TargetMode="External"/><Relationship Id="rId15" Type="http://schemas.openxmlformats.org/officeDocument/2006/relationships/hyperlink" Target="https://bluebik-asa.atlassian.net/wiki/spaces/TNS/pages/25624577" TargetMode="External"/><Relationship Id="rId23" Type="http://schemas.openxmlformats.org/officeDocument/2006/relationships/hyperlink" Target="https://tliidp-my.sharepoint.com/:x:/r/personal/banharn_swan_thailife_com/Documents/Projects/NASA%20Project/NASA_R2/SA%20Documents/Technical%20Solution/%5BNASA_R2%5D%20Migration%20data%20%26%20support%20existing%20case%20from%20TLPro.xlsx?d=w0ce4cfa6e2484346882e1ee4af36fcea&amp;csf=1&amp;web=1&amp;e=AyYFrF&amp;nav=MTVfezcyNjI5NjQ3LUE1MzItNERGNC1CQjhBLTlCMERGMENCMEJGQ30" TargetMode="External"/><Relationship Id="rId10" Type="http://schemas.openxmlformats.org/officeDocument/2006/relationships/hyperlink" Target="https://bluebik-asa.atlassian.net/wiki/spaces/TNS/pages/25559041" TargetMode="External"/><Relationship Id="rId19" Type="http://schemas.openxmlformats.org/officeDocument/2006/relationships/hyperlink" Target="https://bluebik-asa.atlassian.net/wiki/spaces/TNS/pages/25624577" TargetMode="External"/><Relationship Id="rId4" Type="http://schemas.openxmlformats.org/officeDocument/2006/relationships/hyperlink" Target="https://bluebik-asa.atlassian.net/wiki/spaces/TNS/pages/29950278" TargetMode="External"/><Relationship Id="rId9" Type="http://schemas.openxmlformats.org/officeDocument/2006/relationships/hyperlink" Target="mailto:mongkol@thailife.com" TargetMode="External"/><Relationship Id="rId14" Type="http://schemas.openxmlformats.org/officeDocument/2006/relationships/hyperlink" Target="https://bluebik-asa.atlassian.net/wiki/spaces/TNS/pages/25624577" TargetMode="External"/><Relationship Id="rId22" Type="http://schemas.openxmlformats.org/officeDocument/2006/relationships/hyperlink" Target="https://tliidp-my.sharepoint.com/:x:/r/personal/banharn_swan_thailife_com/Documents/Projects/NASA%20Project/NASA_R2/SA%20Documents/%5BNASA%5D%20Initial%20Data/ms_sales/product_ul_premium%20Table.xlsx?d=w0c0f36d3ebcf41c9b094803209697490&amp;csf=1&amp;web=1&amp;e=o1W5YZ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bluebik-team.atlassian.net/wiki/spaces/TNS/pages/28478285" TargetMode="External"/><Relationship Id="rId1" Type="http://schemas.openxmlformats.org/officeDocument/2006/relationships/hyperlink" Target="https://bluebik-team.atlassian.net/wiki/spaces/TNS/pages/28481592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bluebik-team.atlassian.net/wiki/spaces/TNS/pages/68157616/application+Table?atlOrigin=eyJpIjoiYTc2ODhlNTA2NjAzNGEzMThhNTE3MjBmOGZlNDFhOTIiLCJwIjoiYyJ9" TargetMode="External"/><Relationship Id="rId2" Type="http://schemas.openxmlformats.org/officeDocument/2006/relationships/hyperlink" Target="https://bluebik-team.atlassian.net/wiki/spaces/TNS/pages/28481592" TargetMode="External"/><Relationship Id="rId1" Type="http://schemas.openxmlformats.org/officeDocument/2006/relationships/hyperlink" Target="https://bluebik-team.atlassian.net/wiki/spaces/TNS/pages/28498848" TargetMode="External"/><Relationship Id="rId5" Type="http://schemas.openxmlformats.org/officeDocument/2006/relationships/hyperlink" Target="https://dev-customer-service.thailife.com/cst-consent/3b13e1bf-efef-441c-b2b3-141c29f73e99" TargetMode="External"/><Relationship Id="rId4" Type="http://schemas.openxmlformats.org/officeDocument/2006/relationships/hyperlink" Target="https://bluebik-team.atlassian.net/wiki/spaces/TNS/pages/68387023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bluebik-team.atlassian.net/wiki/spaces/TNS/pages/28478285" TargetMode="External"/><Relationship Id="rId2" Type="http://schemas.openxmlformats.org/officeDocument/2006/relationships/hyperlink" Target="https://bluebik-team.atlassian.net/wiki/spaces/TNS/pages/28481592" TargetMode="External"/><Relationship Id="rId1" Type="http://schemas.openxmlformats.org/officeDocument/2006/relationships/hyperlink" Target="https://bluebik-team.atlassian.net/wiki/spaces/TNS/pages/28478285/prospect_address+Table" TargetMode="External"/><Relationship Id="rId4" Type="http://schemas.openxmlformats.org/officeDocument/2006/relationships/hyperlink" Target="https://tliidp-my.sharepoint.com/:x:/r/personal/banharn_swan_thailife_com/Documents/Projects/NASA%20Project/NASA_R2/SA%20Documents/Technical%20Solution/%5BNASA_R2%5D%20Migration%20data%20%26%20support%20existing%20case%20from%20TLPro.xlsx?d=w0ce4cfa6e2484346882e1ee4af36fcea&amp;csf=1&amp;web=1&amp;e=4Ynh7D&amp;nav=MTVfe0Q4M0E1NDRCLTU5RTktNDc0Qi04NUUwLTlFQTQ1Q0E5NEM0Qn0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bluebik-team.atlassian.net/wiki/spaces/TNS/pages/28492926" TargetMode="External"/><Relationship Id="rId13" Type="http://schemas.openxmlformats.org/officeDocument/2006/relationships/hyperlink" Target="https://bluebik-team.atlassian.net/wiki/spaces/TNS/pages/28492926" TargetMode="External"/><Relationship Id="rId18" Type="http://schemas.openxmlformats.org/officeDocument/2006/relationships/hyperlink" Target="https://bluebik-team.atlassian.net/wiki/spaces/TNS/pages/28498183" TargetMode="External"/><Relationship Id="rId3" Type="http://schemas.openxmlformats.org/officeDocument/2006/relationships/hyperlink" Target="https://bluebik-team.atlassian.net/wiki/spaces/TNS/pages/28498183" TargetMode="External"/><Relationship Id="rId21" Type="http://schemas.openxmlformats.org/officeDocument/2006/relationships/hyperlink" Target="https://bluebik-team.atlassian.net/wiki/spaces/TNS/pages/56131586" TargetMode="External"/><Relationship Id="rId7" Type="http://schemas.openxmlformats.org/officeDocument/2006/relationships/hyperlink" Target="https://bluebik-team.atlassian.net/wiki/spaces/TNS/pages/28492926" TargetMode="External"/><Relationship Id="rId12" Type="http://schemas.openxmlformats.org/officeDocument/2006/relationships/hyperlink" Target="https://bluebik-team.atlassian.net/wiki/spaces/TNS/pages/28494981" TargetMode="External"/><Relationship Id="rId17" Type="http://schemas.openxmlformats.org/officeDocument/2006/relationships/hyperlink" Target="https://bluebik-team.atlassian.net/wiki/spaces/TNS/pages/28498183" TargetMode="External"/><Relationship Id="rId2" Type="http://schemas.openxmlformats.org/officeDocument/2006/relationships/hyperlink" Target="https://bluebik-team.atlassian.net/wiki/spaces/TNS/pages/28498183" TargetMode="External"/><Relationship Id="rId16" Type="http://schemas.openxmlformats.org/officeDocument/2006/relationships/hyperlink" Target="https://bluebik-team.atlassian.net/wiki/spaces/TNS/pages/45088861" TargetMode="External"/><Relationship Id="rId20" Type="http://schemas.openxmlformats.org/officeDocument/2006/relationships/hyperlink" Target="https://bluebik-team.atlassian.net/wiki/spaces/TNS/pages/28486214" TargetMode="External"/><Relationship Id="rId1" Type="http://schemas.openxmlformats.org/officeDocument/2006/relationships/hyperlink" Target="https://bluebik-team.atlassian.net/wiki/spaces/TNS/pages/28481592" TargetMode="External"/><Relationship Id="rId6" Type="http://schemas.openxmlformats.org/officeDocument/2006/relationships/hyperlink" Target="https://bluebik-team.atlassian.net/wiki/spaces/TNS/pages/28494981" TargetMode="External"/><Relationship Id="rId11" Type="http://schemas.openxmlformats.org/officeDocument/2006/relationships/hyperlink" Target="https://bluebik-team.atlassian.net/wiki/spaces/TNS/pages/28494981" TargetMode="External"/><Relationship Id="rId5" Type="http://schemas.openxmlformats.org/officeDocument/2006/relationships/hyperlink" Target="https://bluebik-team.atlassian.net/wiki/spaces/TNS/pages/28494981" TargetMode="External"/><Relationship Id="rId15" Type="http://schemas.openxmlformats.org/officeDocument/2006/relationships/hyperlink" Target="https://bluebik-team.atlassian.net/wiki/spaces/TNS/pages/28492926" TargetMode="External"/><Relationship Id="rId10" Type="http://schemas.openxmlformats.org/officeDocument/2006/relationships/hyperlink" Target="https://bluebik-team.atlassian.net/wiki/spaces/TNS/pages/28492926" TargetMode="External"/><Relationship Id="rId19" Type="http://schemas.openxmlformats.org/officeDocument/2006/relationships/hyperlink" Target="https://bluebik-team.atlassian.net/wiki/spaces/TNS/pages/28486214" TargetMode="External"/><Relationship Id="rId4" Type="http://schemas.openxmlformats.org/officeDocument/2006/relationships/hyperlink" Target="https://bluebik-team.atlassian.net/wiki/spaces/TNS/pages/28494444" TargetMode="External"/><Relationship Id="rId9" Type="http://schemas.openxmlformats.org/officeDocument/2006/relationships/hyperlink" Target="https://bluebik-team.atlassian.net/wiki/spaces/TNS/pages/28492926" TargetMode="External"/><Relationship Id="rId14" Type="http://schemas.openxmlformats.org/officeDocument/2006/relationships/hyperlink" Target="https://bluebik-team.atlassian.net/wiki/spaces/TNS/pages/28492926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s://bluebik-team.atlassian.net/wiki/spaces/TNS/pages/28481592" TargetMode="External"/><Relationship Id="rId2" Type="http://schemas.openxmlformats.org/officeDocument/2006/relationships/hyperlink" Target="https://bluebik-team.atlassian.net/wiki/spaces/TNS/pages/28498848" TargetMode="External"/><Relationship Id="rId1" Type="http://schemas.openxmlformats.org/officeDocument/2006/relationships/hyperlink" Target="https://bluebik-team.atlassian.net/wiki/spaces/TNS/pages/28493694/prospect_pdpa+Table" TargetMode="External"/><Relationship Id="rId6" Type="http://schemas.openxmlformats.org/officeDocument/2006/relationships/hyperlink" Target="https://dev-customer-service.thailife.com/cst-consent/3b13e1bf-efef-441c-b2b3-141c29f73e99" TargetMode="External"/><Relationship Id="rId5" Type="http://schemas.openxmlformats.org/officeDocument/2006/relationships/hyperlink" Target="https://bluebik-team.atlassian.net/wiki/spaces/TNS/pages/68387023" TargetMode="External"/><Relationship Id="rId4" Type="http://schemas.openxmlformats.org/officeDocument/2006/relationships/hyperlink" Target="https://bluebik-team.atlassian.net/wiki/spaces/TNS/pages/68157616/application+Table?atlOrigin=eyJpIjoiYTc2ODhlNTA2NjAzNGEzMThhNTE3MjBmOGZlNDFhOTIiLCJwIjoiYyJ9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s://bluebik-team.atlassian.net/wiki/spaces/TNS/pages/83886866" TargetMode="External"/><Relationship Id="rId2" Type="http://schemas.openxmlformats.org/officeDocument/2006/relationships/hyperlink" Target="https://bluebik-team.atlassian.net/wiki/spaces/TNS/pages/53543308/quotation+Table?atlOrigin=eyJpIjoiOWMzNzg1NmU3NWUxNDAyZTg5Y2RjYzYxMGFlNDJhYWQiLCJwIjoiYyJ9" TargetMode="External"/><Relationship Id="rId1" Type="http://schemas.openxmlformats.org/officeDocument/2006/relationships/hyperlink" Target="https://bluebik-team.atlassian.net/wiki/spaces/TNS/pages/59474010/document_file+Table+-+R2+S2" TargetMode="External"/><Relationship Id="rId4" Type="http://schemas.openxmlformats.org/officeDocument/2006/relationships/hyperlink" Target="https://bluebik-team.atlassian.net/wiki/spaces/TNS/pages/83886866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mailto:example@thailife.com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bluebik-team.atlassian.net/wiki/spaces/TNS/pages/53543308" TargetMode="External"/><Relationship Id="rId1" Type="http://schemas.openxmlformats.org/officeDocument/2006/relationships/hyperlink" Target="https://bluebik-team.atlassian.net/wiki/spaces/TNS/pages/54132737/quotation_rider+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28E5E-E0C3-44E0-A61C-45247A9B259D}">
  <dimension ref="B3:C18"/>
  <sheetViews>
    <sheetView workbookViewId="0">
      <selection activeCell="F30" sqref="F30"/>
    </sheetView>
  </sheetViews>
  <sheetFormatPr defaultRowHeight="15"/>
  <cols>
    <col min="2" max="2" width="47.140625" customWidth="1"/>
    <col min="3" max="3" width="33.5703125" customWidth="1"/>
  </cols>
  <sheetData>
    <row r="3" spans="2:3">
      <c r="B3" s="4" t="s">
        <v>0</v>
      </c>
      <c r="C3" s="3" t="s">
        <v>1</v>
      </c>
    </row>
    <row r="4" spans="2:3" ht="34.5" customHeight="1">
      <c r="B4" s="286" t="s">
        <v>2</v>
      </c>
      <c r="C4" s="3" t="s">
        <v>3</v>
      </c>
    </row>
    <row r="6" spans="2:3">
      <c r="B6" s="4" t="s">
        <v>4</v>
      </c>
      <c r="C6" s="3" t="s">
        <v>5</v>
      </c>
    </row>
    <row r="7" spans="2:3">
      <c r="C7" s="3" t="s">
        <v>6</v>
      </c>
    </row>
    <row r="8" spans="2:3">
      <c r="C8" s="3" t="s">
        <v>7</v>
      </c>
    </row>
    <row r="10" spans="2:3">
      <c r="B10" s="4" t="s">
        <v>8</v>
      </c>
      <c r="C10" s="3" t="s">
        <v>9</v>
      </c>
    </row>
    <row r="14" spans="2:3">
      <c r="B14" s="4" t="s">
        <v>10</v>
      </c>
      <c r="C14" s="3" t="s">
        <v>11</v>
      </c>
    </row>
    <row r="16" spans="2:3">
      <c r="B16" s="4" t="s">
        <v>12</v>
      </c>
      <c r="C16" s="3" t="s">
        <v>13</v>
      </c>
    </row>
    <row r="18" spans="2:3">
      <c r="B18" s="4" t="s">
        <v>14</v>
      </c>
      <c r="C18" s="3" t="s">
        <v>15</v>
      </c>
    </row>
  </sheetData>
  <hyperlinks>
    <hyperlink ref="C3" r:id="rId1" location="Wb!MXa7HIEm30KMGdu8sP2GdwvYxN6WV5JCr6WVCvLB1pM0k7jfjx_qSK_bRzvQUQl9%2F01QZ5C3TBFTXNNF2BMRVB3YIJBSALCTHCQ#%7B%22pageId%22%3A%22fkPj9P3KEcUTdBcIYCem%22%7D" xr:uid="{3BEBDB4C-B546-4A8F-9A24-5C77D775D95F}"/>
    <hyperlink ref="C6" r:id="rId2" xr:uid="{4F735AE1-17E4-4613-98EF-3B5F66D6FCF7}"/>
    <hyperlink ref="C7" r:id="rId3" xr:uid="{B454C398-C1E7-494F-9CF5-302A85C5957A}"/>
    <hyperlink ref="C10" r:id="rId4" xr:uid="{94807570-4769-40EF-8B78-9570F6A6BE60}"/>
    <hyperlink ref="C14" r:id="rId5" xr:uid="{837376DB-6B57-4567-A10D-07307592FE0C}"/>
    <hyperlink ref="C16" r:id="rId6" xr:uid="{A7B2567D-8FE3-49B0-AB4E-92086D8AA3FC}"/>
    <hyperlink ref="C18" r:id="rId7" xr:uid="{F9547AD3-2DEB-4DFE-910C-151F42A85420}"/>
    <hyperlink ref="C4" r:id="rId8" location="Wb!MXa7HIEm30KMGdu8sP2GdwvYxN6WV5JCr6WVCvLB1pM0k7jfjx_qSK_bRzvQUQl9%2F01QZ5C3TFACRPXPR52NFBK5WKJIS7HLDNE#%7B%22pageId%22%3A%22vfNEIJ9cffxaqXjG2NLd%22%7D" xr:uid="{6CEA5C69-CBB3-40B9-ABE7-48E6E2D459F8}"/>
    <hyperlink ref="C8" r:id="rId9" xr:uid="{285490AB-FE38-4746-A5C9-5F7922360EE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8"/>
  <sheetViews>
    <sheetView tabSelected="1" topLeftCell="C1" workbookViewId="0">
      <selection activeCell="H30" sqref="H30:H31"/>
    </sheetView>
  </sheetViews>
  <sheetFormatPr defaultRowHeight="15"/>
  <cols>
    <col min="1" max="1" width="5.5703125" customWidth="1"/>
    <col min="2" max="2" width="17" customWidth="1"/>
    <col min="3" max="3" width="38" customWidth="1"/>
    <col min="4" max="4" width="30.42578125" customWidth="1"/>
    <col min="5" max="5" width="16.28515625" customWidth="1"/>
    <col min="6" max="6" width="9.42578125" customWidth="1"/>
    <col min="7" max="7" width="11" bestFit="1" customWidth="1"/>
    <col min="8" max="8" width="14.28515625" bestFit="1" customWidth="1"/>
    <col min="9" max="9" width="14.28515625" customWidth="1"/>
    <col min="10" max="10" width="21.7109375" customWidth="1"/>
    <col min="11" max="11" width="42.28515625" bestFit="1" customWidth="1"/>
    <col min="12" max="12" width="48.85546875" customWidth="1"/>
    <col min="13" max="13" width="20.42578125" customWidth="1"/>
    <col min="14" max="14" width="24.140625" customWidth="1"/>
  </cols>
  <sheetData>
    <row r="1" spans="2:14">
      <c r="C1" s="3" t="s">
        <v>15</v>
      </c>
    </row>
    <row r="2" spans="2:14">
      <c r="C2" s="3" t="s">
        <v>16</v>
      </c>
    </row>
    <row r="3" spans="2:14">
      <c r="B3" s="55" t="s">
        <v>17</v>
      </c>
      <c r="C3" s="1" t="s">
        <v>18</v>
      </c>
      <c r="D3" s="2" t="s">
        <v>19</v>
      </c>
      <c r="E3" s="282" t="s">
        <v>20</v>
      </c>
      <c r="F3" s="282" t="s">
        <v>21</v>
      </c>
      <c r="G3" s="282" t="s">
        <v>22</v>
      </c>
      <c r="H3" s="282" t="s">
        <v>23</v>
      </c>
      <c r="I3" s="282" t="s">
        <v>24</v>
      </c>
      <c r="J3" s="282" t="s">
        <v>25</v>
      </c>
      <c r="K3" s="282" t="s">
        <v>26</v>
      </c>
      <c r="L3" s="299" t="s">
        <v>27</v>
      </c>
    </row>
    <row r="4" spans="2:14">
      <c r="B4" s="40" t="s">
        <v>28</v>
      </c>
      <c r="C4" s="64" t="s">
        <v>29</v>
      </c>
      <c r="D4" s="54" t="s">
        <v>29</v>
      </c>
      <c r="E4" t="s">
        <v>30</v>
      </c>
      <c r="F4" t="s">
        <v>31</v>
      </c>
      <c r="G4" s="294">
        <v>1</v>
      </c>
      <c r="H4" s="294">
        <v>1</v>
      </c>
      <c r="I4" s="294">
        <v>1</v>
      </c>
      <c r="K4" s="3" t="s">
        <v>32</v>
      </c>
      <c r="L4" s="3"/>
      <c r="M4" s="4"/>
    </row>
    <row r="5" spans="2:14">
      <c r="B5" s="41" t="s">
        <v>28</v>
      </c>
      <c r="C5" s="64" t="s">
        <v>33</v>
      </c>
      <c r="D5" s="40" t="s">
        <v>34</v>
      </c>
      <c r="E5" t="s">
        <v>30</v>
      </c>
      <c r="F5" t="s">
        <v>31</v>
      </c>
      <c r="G5" s="294">
        <v>1</v>
      </c>
      <c r="H5" s="294">
        <v>1</v>
      </c>
      <c r="I5" s="317" t="s">
        <v>34</v>
      </c>
      <c r="K5" s="3" t="s">
        <v>35</v>
      </c>
      <c r="L5" s="3"/>
      <c r="M5" t="s">
        <v>36</v>
      </c>
      <c r="N5" t="s">
        <v>31</v>
      </c>
    </row>
    <row r="6" spans="2:14" hidden="1">
      <c r="B6" s="283" t="s">
        <v>28</v>
      </c>
      <c r="C6" s="302" t="s">
        <v>37</v>
      </c>
      <c r="D6" s="308" t="s">
        <v>38</v>
      </c>
      <c r="E6" s="284" t="s">
        <v>39</v>
      </c>
      <c r="F6" s="284" t="s">
        <v>31</v>
      </c>
      <c r="G6" s="210"/>
      <c r="H6" s="294">
        <v>1</v>
      </c>
      <c r="I6" s="309"/>
      <c r="J6" s="284"/>
      <c r="K6" s="285" t="s">
        <v>40</v>
      </c>
      <c r="L6" s="307"/>
      <c r="M6" t="s">
        <v>41</v>
      </c>
      <c r="N6" t="s">
        <v>42</v>
      </c>
    </row>
    <row r="7" spans="2:14">
      <c r="B7" s="40" t="s">
        <v>43</v>
      </c>
      <c r="C7" s="303" t="s">
        <v>44</v>
      </c>
      <c r="D7" s="54" t="s">
        <v>44</v>
      </c>
      <c r="E7" t="s">
        <v>41</v>
      </c>
      <c r="F7" t="s">
        <v>42</v>
      </c>
      <c r="G7" s="294">
        <v>1</v>
      </c>
      <c r="H7" s="294">
        <v>1</v>
      </c>
      <c r="I7" s="294">
        <v>0.5</v>
      </c>
      <c r="K7" s="3" t="s">
        <v>45</v>
      </c>
      <c r="L7" s="3"/>
      <c r="M7" s="210" t="s">
        <v>39</v>
      </c>
    </row>
    <row r="8" spans="2:14">
      <c r="B8" s="41" t="s">
        <v>43</v>
      </c>
      <c r="C8" s="303" t="s">
        <v>46</v>
      </c>
      <c r="D8" s="54" t="s">
        <v>47</v>
      </c>
      <c r="E8" t="s">
        <v>30</v>
      </c>
      <c r="F8" t="s">
        <v>42</v>
      </c>
      <c r="G8" s="294">
        <v>1</v>
      </c>
      <c r="H8" s="294">
        <v>1</v>
      </c>
      <c r="I8" s="294">
        <v>1</v>
      </c>
      <c r="K8" s="3" t="s">
        <v>48</v>
      </c>
      <c r="L8" s="3"/>
      <c r="M8" t="s">
        <v>49</v>
      </c>
    </row>
    <row r="9" spans="2:14">
      <c r="B9" s="41" t="s">
        <v>43</v>
      </c>
      <c r="C9" s="304" t="s">
        <v>50</v>
      </c>
      <c r="D9" s="54" t="s">
        <v>51</v>
      </c>
      <c r="E9" t="s">
        <v>41</v>
      </c>
      <c r="F9" t="s">
        <v>42</v>
      </c>
      <c r="G9" s="294">
        <v>1</v>
      </c>
      <c r="H9" s="294">
        <v>1</v>
      </c>
      <c r="I9" s="294">
        <v>0.5</v>
      </c>
      <c r="K9" s="3" t="s">
        <v>52</v>
      </c>
      <c r="L9" s="3"/>
      <c r="M9" t="s">
        <v>30</v>
      </c>
    </row>
    <row r="10" spans="2:14">
      <c r="B10" s="40" t="s">
        <v>53</v>
      </c>
      <c r="C10" s="303" t="s">
        <v>54</v>
      </c>
      <c r="D10" s="54" t="s">
        <v>55</v>
      </c>
      <c r="E10" t="s">
        <v>41</v>
      </c>
      <c r="F10" t="s">
        <v>42</v>
      </c>
      <c r="G10" s="294">
        <v>1</v>
      </c>
      <c r="H10" s="294">
        <v>1</v>
      </c>
      <c r="I10" s="294">
        <v>0.5</v>
      </c>
      <c r="K10" s="3" t="s">
        <v>56</v>
      </c>
      <c r="L10" s="3"/>
      <c r="M10" t="s">
        <v>57</v>
      </c>
    </row>
    <row r="11" spans="2:14">
      <c r="B11" s="41" t="s">
        <v>53</v>
      </c>
      <c r="C11" s="304" t="s">
        <v>58</v>
      </c>
      <c r="D11" s="54" t="s">
        <v>55</v>
      </c>
      <c r="E11" t="s">
        <v>41</v>
      </c>
      <c r="F11" t="s">
        <v>42</v>
      </c>
      <c r="G11" s="294">
        <v>1</v>
      </c>
      <c r="H11" s="294">
        <v>1</v>
      </c>
      <c r="I11" s="294">
        <v>0.5</v>
      </c>
      <c r="K11" s="3" t="s">
        <v>59</v>
      </c>
      <c r="L11" s="3"/>
    </row>
    <row r="12" spans="2:14">
      <c r="B12" s="41" t="s">
        <v>53</v>
      </c>
      <c r="C12" s="304" t="s">
        <v>60</v>
      </c>
      <c r="D12" s="54" t="s">
        <v>61</v>
      </c>
      <c r="E12" t="s">
        <v>41</v>
      </c>
      <c r="F12" t="s">
        <v>42</v>
      </c>
      <c r="G12" s="294">
        <v>1</v>
      </c>
      <c r="H12" s="294">
        <v>1</v>
      </c>
      <c r="I12" s="294">
        <v>0.5</v>
      </c>
      <c r="K12" s="3" t="s">
        <v>62</v>
      </c>
      <c r="L12" s="3"/>
    </row>
    <row r="13" spans="2:14">
      <c r="B13" s="41" t="s">
        <v>53</v>
      </c>
      <c r="C13" s="304" t="s">
        <v>63</v>
      </c>
      <c r="D13" s="54" t="s">
        <v>64</v>
      </c>
      <c r="E13" t="s">
        <v>41</v>
      </c>
      <c r="F13" t="s">
        <v>42</v>
      </c>
      <c r="G13" s="294">
        <v>1</v>
      </c>
      <c r="H13" s="294">
        <v>1</v>
      </c>
      <c r="I13" s="294">
        <v>0.5</v>
      </c>
      <c r="K13" s="3" t="s">
        <v>65</v>
      </c>
      <c r="L13" s="3"/>
    </row>
    <row r="14" spans="2:14">
      <c r="B14" s="41" t="s">
        <v>53</v>
      </c>
      <c r="C14" s="304" t="s">
        <v>66</v>
      </c>
      <c r="D14" s="54" t="s">
        <v>67</v>
      </c>
      <c r="E14" t="s">
        <v>41</v>
      </c>
      <c r="F14" t="s">
        <v>42</v>
      </c>
      <c r="G14" s="294">
        <v>1</v>
      </c>
      <c r="H14" s="294">
        <v>1</v>
      </c>
      <c r="I14" s="294">
        <v>0.5</v>
      </c>
      <c r="K14" s="3" t="s">
        <v>68</v>
      </c>
      <c r="L14" s="3"/>
    </row>
    <row r="15" spans="2:14">
      <c r="B15" s="41" t="s">
        <v>53</v>
      </c>
      <c r="C15" s="304" t="s">
        <v>69</v>
      </c>
      <c r="D15" s="54" t="s">
        <v>70</v>
      </c>
      <c r="E15" t="s">
        <v>41</v>
      </c>
      <c r="F15" t="s">
        <v>42</v>
      </c>
      <c r="G15" s="294">
        <v>1</v>
      </c>
      <c r="H15" s="294">
        <v>1</v>
      </c>
      <c r="I15" s="294">
        <v>0.5</v>
      </c>
      <c r="K15" s="3" t="s">
        <v>71</v>
      </c>
      <c r="L15" s="3"/>
    </row>
    <row r="16" spans="2:14">
      <c r="B16" s="41" t="s">
        <v>53</v>
      </c>
      <c r="C16" s="304" t="s">
        <v>72</v>
      </c>
      <c r="D16" s="54" t="s">
        <v>73</v>
      </c>
      <c r="E16" t="s">
        <v>41</v>
      </c>
      <c r="F16" t="s">
        <v>42</v>
      </c>
      <c r="G16" s="294">
        <v>1</v>
      </c>
      <c r="H16" s="294">
        <v>1</v>
      </c>
      <c r="I16" s="294">
        <v>0.5</v>
      </c>
      <c r="K16" s="3" t="s">
        <v>74</v>
      </c>
      <c r="L16" s="3"/>
    </row>
    <row r="17" spans="2:12">
      <c r="B17" s="41" t="s">
        <v>53</v>
      </c>
      <c r="C17" s="304" t="s">
        <v>75</v>
      </c>
      <c r="D17" s="54" t="s">
        <v>76</v>
      </c>
      <c r="E17" t="s">
        <v>41</v>
      </c>
      <c r="F17" t="s">
        <v>42</v>
      </c>
      <c r="G17" s="294">
        <v>1</v>
      </c>
      <c r="H17" s="294">
        <v>1</v>
      </c>
      <c r="I17" s="294">
        <v>0.5</v>
      </c>
      <c r="K17" s="3" t="s">
        <v>77</v>
      </c>
      <c r="L17" s="3"/>
    </row>
    <row r="18" spans="2:12" s="296" customFormat="1" hidden="1">
      <c r="B18" s="295" t="s">
        <v>53</v>
      </c>
      <c r="C18" s="305" t="s">
        <v>78</v>
      </c>
      <c r="D18" s="310" t="s">
        <v>34</v>
      </c>
      <c r="E18" s="311" t="s">
        <v>36</v>
      </c>
      <c r="F18" s="311" t="s">
        <v>31</v>
      </c>
      <c r="G18" s="312"/>
      <c r="H18" s="294">
        <v>1</v>
      </c>
      <c r="I18" s="312"/>
      <c r="J18" s="311"/>
      <c r="K18" s="313" t="s">
        <v>79</v>
      </c>
      <c r="L18" s="297"/>
    </row>
    <row r="19" spans="2:12">
      <c r="B19" s="37" t="s">
        <v>53</v>
      </c>
      <c r="C19" s="57" t="s">
        <v>80</v>
      </c>
      <c r="D19" s="54" t="s">
        <v>81</v>
      </c>
      <c r="E19" t="s">
        <v>41</v>
      </c>
      <c r="F19" t="s">
        <v>42</v>
      </c>
      <c r="G19" s="294">
        <v>1</v>
      </c>
      <c r="H19" s="294">
        <v>1</v>
      </c>
      <c r="I19" s="294">
        <v>0.5</v>
      </c>
      <c r="K19" s="3" t="s">
        <v>82</v>
      </c>
      <c r="L19" s="3"/>
    </row>
    <row r="20" spans="2:12">
      <c r="B20" s="38" t="s">
        <v>53</v>
      </c>
      <c r="C20" s="58" t="s">
        <v>83</v>
      </c>
      <c r="D20" s="54" t="s">
        <v>84</v>
      </c>
      <c r="E20" t="s">
        <v>36</v>
      </c>
      <c r="F20" t="s">
        <v>31</v>
      </c>
      <c r="G20" s="294">
        <v>1</v>
      </c>
      <c r="H20" s="294">
        <v>1</v>
      </c>
      <c r="I20" s="294">
        <v>0.5</v>
      </c>
      <c r="K20" s="3" t="s">
        <v>85</v>
      </c>
      <c r="L20" s="3"/>
    </row>
    <row r="21" spans="2:12">
      <c r="B21" s="41" t="s">
        <v>86</v>
      </c>
      <c r="C21" s="304" t="s">
        <v>87</v>
      </c>
      <c r="D21" s="54" t="s">
        <v>88</v>
      </c>
      <c r="E21" t="s">
        <v>41</v>
      </c>
      <c r="F21" t="s">
        <v>42</v>
      </c>
      <c r="G21" s="294">
        <v>1</v>
      </c>
      <c r="H21" s="294">
        <v>1</v>
      </c>
      <c r="I21" s="294">
        <v>0.5</v>
      </c>
      <c r="K21" s="3" t="s">
        <v>89</v>
      </c>
      <c r="L21" s="3"/>
    </row>
    <row r="22" spans="2:12">
      <c r="B22" s="41" t="s">
        <v>86</v>
      </c>
      <c r="C22" s="301" t="s">
        <v>90</v>
      </c>
      <c r="D22" s="54" t="s">
        <v>38</v>
      </c>
      <c r="E22" t="s">
        <v>41</v>
      </c>
      <c r="F22" t="s">
        <v>42</v>
      </c>
      <c r="G22" s="294">
        <v>1</v>
      </c>
      <c r="H22" s="294">
        <v>1</v>
      </c>
      <c r="I22" s="294">
        <v>0.5</v>
      </c>
      <c r="K22" s="3" t="s">
        <v>91</v>
      </c>
      <c r="L22" s="3"/>
    </row>
    <row r="23" spans="2:12">
      <c r="B23" s="54" t="s">
        <v>92</v>
      </c>
      <c r="C23" s="58" t="s">
        <v>93</v>
      </c>
      <c r="D23" s="54" t="s">
        <v>94</v>
      </c>
      <c r="E23" t="s">
        <v>41</v>
      </c>
      <c r="F23" t="s">
        <v>42</v>
      </c>
      <c r="G23" s="294">
        <v>1</v>
      </c>
      <c r="H23" s="294">
        <v>1</v>
      </c>
      <c r="I23" s="294">
        <v>0.5</v>
      </c>
      <c r="K23" s="3" t="s">
        <v>95</v>
      </c>
      <c r="L23" s="3"/>
    </row>
    <row r="24" spans="2:12">
      <c r="B24" s="54" t="s">
        <v>92</v>
      </c>
      <c r="C24" s="58" t="s">
        <v>96</v>
      </c>
      <c r="D24" s="54" t="s">
        <v>34</v>
      </c>
      <c r="E24" t="s">
        <v>41</v>
      </c>
      <c r="F24" t="s">
        <v>42</v>
      </c>
      <c r="G24" s="294">
        <v>1</v>
      </c>
      <c r="H24" s="294">
        <v>1</v>
      </c>
      <c r="I24" s="317" t="s">
        <v>34</v>
      </c>
      <c r="K24" s="316" t="s">
        <v>97</v>
      </c>
      <c r="L24" s="3"/>
    </row>
    <row r="25" spans="2:12">
      <c r="B25" s="54" t="s">
        <v>92</v>
      </c>
      <c r="C25" s="306" t="s">
        <v>98</v>
      </c>
      <c r="D25" s="54" t="s">
        <v>34</v>
      </c>
      <c r="E25" t="s">
        <v>41</v>
      </c>
      <c r="F25" t="s">
        <v>42</v>
      </c>
      <c r="G25" s="294">
        <v>1</v>
      </c>
      <c r="H25" s="294">
        <v>1</v>
      </c>
      <c r="I25" s="317" t="s">
        <v>34</v>
      </c>
      <c r="K25" s="316" t="s">
        <v>99</v>
      </c>
      <c r="L25" s="3"/>
    </row>
    <row r="26" spans="2:12">
      <c r="B26" s="54" t="s">
        <v>92</v>
      </c>
      <c r="C26" s="319" t="s">
        <v>100</v>
      </c>
      <c r="D26" s="300" t="s">
        <v>34</v>
      </c>
      <c r="E26" t="s">
        <v>41</v>
      </c>
      <c r="F26" t="s">
        <v>42</v>
      </c>
      <c r="G26" s="294">
        <v>0.4</v>
      </c>
      <c r="H26" s="294">
        <v>0.5</v>
      </c>
      <c r="I26" s="317" t="s">
        <v>34</v>
      </c>
      <c r="K26" s="316" t="s">
        <v>101</v>
      </c>
      <c r="L26" s="3"/>
    </row>
    <row r="27" spans="2:12">
      <c r="B27" s="54" t="s">
        <v>92</v>
      </c>
      <c r="C27" s="319" t="s">
        <v>102</v>
      </c>
      <c r="D27" s="300" t="s">
        <v>34</v>
      </c>
      <c r="E27" t="s">
        <v>41</v>
      </c>
      <c r="F27" t="s">
        <v>42</v>
      </c>
      <c r="G27" s="294">
        <v>0.4</v>
      </c>
      <c r="H27" s="294">
        <v>0.5</v>
      </c>
      <c r="I27" s="317" t="s">
        <v>34</v>
      </c>
      <c r="K27" s="316" t="s">
        <v>103</v>
      </c>
      <c r="L27" s="3"/>
    </row>
    <row r="28" spans="2:12">
      <c r="B28" s="54" t="s">
        <v>92</v>
      </c>
      <c r="C28" s="315" t="s">
        <v>104</v>
      </c>
      <c r="D28" s="300" t="s">
        <v>34</v>
      </c>
      <c r="E28" s="210" t="s">
        <v>39</v>
      </c>
      <c r="F28" s="210" t="s">
        <v>31</v>
      </c>
      <c r="G28" s="309">
        <v>0.6</v>
      </c>
      <c r="H28" s="309">
        <v>0</v>
      </c>
      <c r="I28" s="317" t="s">
        <v>34</v>
      </c>
      <c r="J28" s="336" t="s">
        <v>105</v>
      </c>
      <c r="K28" s="314" t="s">
        <v>106</v>
      </c>
      <c r="L28" s="3"/>
    </row>
    <row r="29" spans="2:12">
      <c r="B29" s="42" t="s">
        <v>107</v>
      </c>
      <c r="C29" s="63" t="s">
        <v>108</v>
      </c>
      <c r="D29" s="54" t="s">
        <v>109</v>
      </c>
      <c r="E29" t="s">
        <v>41</v>
      </c>
      <c r="F29" t="s">
        <v>42</v>
      </c>
      <c r="G29" s="294">
        <v>1</v>
      </c>
      <c r="H29" s="294">
        <v>1</v>
      </c>
      <c r="I29" s="294">
        <v>0.5</v>
      </c>
      <c r="K29" s="3" t="s">
        <v>110</v>
      </c>
      <c r="L29" s="3"/>
    </row>
    <row r="30" spans="2:12">
      <c r="B30" s="54" t="s">
        <v>107</v>
      </c>
      <c r="C30" s="58" t="s">
        <v>111</v>
      </c>
      <c r="D30" s="54" t="s">
        <v>112</v>
      </c>
      <c r="E30" t="s">
        <v>41</v>
      </c>
      <c r="F30" t="s">
        <v>42</v>
      </c>
      <c r="G30" s="294">
        <v>1</v>
      </c>
      <c r="H30" s="294">
        <v>1</v>
      </c>
      <c r="I30" s="294">
        <v>0.5</v>
      </c>
      <c r="K30" s="3" t="s">
        <v>113</v>
      </c>
      <c r="L30" s="3"/>
    </row>
    <row r="31" spans="2:12">
      <c r="B31" s="38" t="s">
        <v>114</v>
      </c>
      <c r="C31" s="63" t="s">
        <v>115</v>
      </c>
      <c r="D31" s="318" t="s">
        <v>116</v>
      </c>
      <c r="E31" t="s">
        <v>41</v>
      </c>
      <c r="F31" t="s">
        <v>42</v>
      </c>
      <c r="G31" s="294">
        <v>1</v>
      </c>
      <c r="H31" s="294">
        <v>1</v>
      </c>
      <c r="I31" s="294">
        <v>0.5</v>
      </c>
      <c r="K31" s="3" t="s">
        <v>117</v>
      </c>
      <c r="L31" s="3"/>
    </row>
    <row r="37" spans="3:3">
      <c r="C37" s="5" t="s">
        <v>118</v>
      </c>
    </row>
    <row r="38" spans="3:3">
      <c r="C38" s="60" t="s">
        <v>119</v>
      </c>
    </row>
    <row r="39" spans="3:3">
      <c r="C39" s="59" t="s">
        <v>120</v>
      </c>
    </row>
    <row r="40" spans="3:3">
      <c r="C40" s="59" t="s">
        <v>121</v>
      </c>
    </row>
    <row r="41" spans="3:3">
      <c r="C41" s="59" t="s">
        <v>122</v>
      </c>
    </row>
    <row r="42" spans="3:3">
      <c r="C42" s="59" t="s">
        <v>123</v>
      </c>
    </row>
    <row r="43" spans="3:3">
      <c r="C43" s="59" t="s">
        <v>124</v>
      </c>
    </row>
    <row r="44" spans="3:3">
      <c r="C44" s="59" t="s">
        <v>125</v>
      </c>
    </row>
    <row r="47" spans="3:3">
      <c r="C47" s="4" t="s">
        <v>126</v>
      </c>
    </row>
    <row r="48" spans="3:3">
      <c r="C48" t="s">
        <v>127</v>
      </c>
    </row>
  </sheetData>
  <dataValidations count="3">
    <dataValidation type="list" allowBlank="1" showInputMessage="1" showErrorMessage="1" sqref="E4:E31" xr:uid="{2886507C-16F9-4E71-8982-0A2B8CB4DBC7}">
      <formula1>$M$5:$M$15</formula1>
    </dataValidation>
    <dataValidation type="list" allowBlank="1" showInputMessage="1" showErrorMessage="1" sqref="F4:F31" xr:uid="{42805CFC-74D9-4E4F-95D9-1488D8397E25}">
      <formula1>$N$5:$N$8</formula1>
    </dataValidation>
    <dataValidation allowBlank="1" showInputMessage="1" showErrorMessage="1" sqref="I6:I23 I4 I29:I31 G4:H31" xr:uid="{CDC1C292-EE52-48DD-9EF7-0F41AD45221D}"/>
  </dataValidations>
  <hyperlinks>
    <hyperlink ref="C26" r:id="rId1" xr:uid="{859A0A6D-8AAF-4829-8F42-FE302F678F89}"/>
    <hyperlink ref="C27" r:id="rId2" xr:uid="{496493F7-C8E6-469D-B047-AD8270E559A3}"/>
    <hyperlink ref="C28" r:id="rId3" xr:uid="{4EC44248-59EB-4D85-B88C-7A323695CB67}"/>
    <hyperlink ref="C2" r:id="rId4" xr:uid="{6162A5B7-DA50-4254-BE1F-BBDC291EE5B5}"/>
    <hyperlink ref="C4" r:id="rId5" xr:uid="{7987B35B-6470-4BF3-96D0-8F2B78B86CEE}"/>
    <hyperlink ref="C5" r:id="rId6" xr:uid="{F38BBE7B-026E-4D06-AD1B-1EA134911D51}"/>
    <hyperlink ref="C6" r:id="rId7" xr:uid="{4012F01C-953F-4E59-B42E-5B3ED715F9F9}"/>
    <hyperlink ref="C7" r:id="rId8" xr:uid="{28B9D3D1-23A8-4D3E-BB7B-051D202B3306}"/>
    <hyperlink ref="C8" r:id="rId9" xr:uid="{45F7D1F3-DC6B-4661-AAFE-1199EC4965EC}"/>
    <hyperlink ref="C10" r:id="rId10" xr:uid="{9A7E1042-DBBF-47C7-A774-E45DC2D71ED1}"/>
    <hyperlink ref="K9" r:id="rId11" xr:uid="{8101EDE1-E9B8-4296-BB15-A93E09246C74}"/>
    <hyperlink ref="K7" r:id="rId12" xr:uid="{217AAB15-A367-41E6-8AE8-AC7EDA2FAEF3}"/>
    <hyperlink ref="K8" r:id="rId13" xr:uid="{16E387E3-C840-49D4-A0EF-07D14BABA884}"/>
    <hyperlink ref="C1" r:id="rId14" xr:uid="{671A017C-0863-483C-86B0-DC099AE2D3C6}"/>
    <hyperlink ref="K10" r:id="rId15" xr:uid="{CCECAD86-2C8F-490B-91F6-0500011F12C8}"/>
    <hyperlink ref="K12" r:id="rId16" xr:uid="{259952CE-D915-4483-9D34-9791FFA328CD}"/>
    <hyperlink ref="K17" r:id="rId17" xr:uid="{05B9AD4D-0B8E-4D10-AB85-6A62D15DD537}"/>
    <hyperlink ref="K14" r:id="rId18" xr:uid="{C935DEC6-4ABB-43A1-A40E-564709A831E3}"/>
    <hyperlink ref="K23" r:id="rId19" xr:uid="{A37718EE-A3FF-4EB4-9029-17A67BF6B98B}"/>
    <hyperlink ref="K21" r:id="rId20" xr:uid="{8E62A399-0AB5-420E-B3B0-C9E9E3F4B83B}"/>
    <hyperlink ref="K16" r:id="rId21" xr:uid="{E2DAC535-CEB5-4023-86A5-18F461D640A7}"/>
    <hyperlink ref="K11" r:id="rId22" xr:uid="{D5B3936E-BEA3-4D7A-B055-3DE92F9609F9}"/>
    <hyperlink ref="K26" r:id="rId23" xr:uid="{9D3CF1CB-1163-47C9-8D83-5EFC7C81ECC8}"/>
    <hyperlink ref="K25" r:id="rId24" xr:uid="{FF6C5A1C-B839-4488-8E90-174461E1C7C4}"/>
    <hyperlink ref="K24" r:id="rId25" xr:uid="{2DD33189-C093-4764-AEB4-D0B84D3BEE73}"/>
    <hyperlink ref="K27" r:id="rId26" xr:uid="{38F0E80F-EC1A-492E-B1E7-032D3226731A}"/>
    <hyperlink ref="K28" r:id="rId27" xr:uid="{4442F15A-1382-4241-859A-3237B70E02C0}"/>
    <hyperlink ref="K15" r:id="rId28" xr:uid="{1F8A613D-CCF1-44F2-80FC-31ECF9E68C06}"/>
    <hyperlink ref="K13" r:id="rId29" xr:uid="{6D9D2A0F-4152-43C8-BA3C-EC1834461ACD}"/>
    <hyperlink ref="K29" r:id="rId30" xr:uid="{ED212EED-896A-4A9B-A135-FD27CD24D426}"/>
    <hyperlink ref="K30" r:id="rId31" xr:uid="{D575CBB9-A64F-4852-A8D5-D56EDAB1958A}"/>
    <hyperlink ref="K31" r:id="rId32" xr:uid="{4475C19F-E83C-428F-B393-632B7D0C4916}"/>
    <hyperlink ref="K19" r:id="rId33" xr:uid="{F18DD3E4-DCB4-4ACB-A85C-6BF0C532F486}"/>
    <hyperlink ref="K22" r:id="rId34" xr:uid="{F0311EE4-B157-42D1-9EF1-46136279D419}"/>
    <hyperlink ref="K4" r:id="rId35" xr:uid="{2B84ED8C-7F5B-4DB1-9516-C5F07FB7682F}"/>
    <hyperlink ref="K5" r:id="rId36" xr:uid="{DBA8388F-42B2-4A16-9860-9C9C6DAA9061}"/>
    <hyperlink ref="K6" r:id="rId37" xr:uid="{E3E1F761-BAAB-4C28-A385-1D89010545E6}"/>
    <hyperlink ref="K18" r:id="rId38" xr:uid="{2E5375D6-60AA-4A94-A6F0-EC8EF77D0F38}"/>
    <hyperlink ref="K20" r:id="rId39" xr:uid="{727A310C-D27D-4227-96CC-DCCE9516E54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10F79-7936-4331-BB45-6877820E9933}">
  <sheetPr>
    <tabColor theme="9" tint="0.39997558519241921"/>
  </sheetPr>
  <dimension ref="B2:F82"/>
  <sheetViews>
    <sheetView topLeftCell="D61" workbookViewId="0">
      <selection activeCell="H78" sqref="H78"/>
    </sheetView>
  </sheetViews>
  <sheetFormatPr defaultRowHeight="15"/>
  <cols>
    <col min="2" max="2" width="12.5703125" customWidth="1"/>
    <col min="3" max="3" width="89.7109375" customWidth="1"/>
    <col min="4" max="4" width="30.28515625" style="35" customWidth="1"/>
    <col min="5" max="5" width="26.140625" customWidth="1"/>
    <col min="6" max="6" width="23.85546875" customWidth="1"/>
    <col min="7" max="7" width="30.42578125" customWidth="1"/>
  </cols>
  <sheetData>
    <row r="2" spans="2:5">
      <c r="B2" s="34" t="s">
        <v>128</v>
      </c>
      <c r="C2" s="43" t="s">
        <v>129</v>
      </c>
      <c r="D2" s="34" t="s">
        <v>130</v>
      </c>
      <c r="E2" s="43" t="s">
        <v>25</v>
      </c>
    </row>
    <row r="3" spans="2:5">
      <c r="B3" s="36" t="s">
        <v>131</v>
      </c>
      <c r="C3" s="51" t="s">
        <v>132</v>
      </c>
      <c r="D3" s="35" t="s">
        <v>133</v>
      </c>
      <c r="E3" s="40" t="s">
        <v>134</v>
      </c>
    </row>
    <row r="4" spans="2:5">
      <c r="B4" s="37"/>
      <c r="C4" s="52" t="s">
        <v>135</v>
      </c>
      <c r="E4" s="41"/>
    </row>
    <row r="5" spans="2:5">
      <c r="B5" s="37"/>
      <c r="C5" s="52" t="s">
        <v>136</v>
      </c>
      <c r="E5" s="41"/>
    </row>
    <row r="6" spans="2:5">
      <c r="B6" s="37"/>
      <c r="C6" s="52" t="s">
        <v>137</v>
      </c>
      <c r="E6" s="41"/>
    </row>
    <row r="7" spans="2:5">
      <c r="B7" s="37"/>
      <c r="C7" s="52" t="s">
        <v>138</v>
      </c>
      <c r="E7" s="41"/>
    </row>
    <row r="8" spans="2:5">
      <c r="B8" s="37"/>
      <c r="C8" s="52" t="s">
        <v>139</v>
      </c>
      <c r="E8" s="41"/>
    </row>
    <row r="9" spans="2:5">
      <c r="B9" s="37"/>
      <c r="C9" s="52"/>
      <c r="E9" s="41"/>
    </row>
    <row r="10" spans="2:5">
      <c r="B10" s="39" t="s">
        <v>140</v>
      </c>
      <c r="C10" s="51" t="s">
        <v>141</v>
      </c>
      <c r="D10" s="44" t="s">
        <v>142</v>
      </c>
      <c r="E10" s="40"/>
    </row>
    <row r="11" spans="2:5">
      <c r="B11" s="37"/>
      <c r="C11" s="52" t="s">
        <v>143</v>
      </c>
      <c r="D11" s="45"/>
      <c r="E11" s="41"/>
    </row>
    <row r="12" spans="2:5">
      <c r="B12" s="37"/>
      <c r="C12" s="52" t="s">
        <v>144</v>
      </c>
      <c r="E12" s="41"/>
    </row>
    <row r="13" spans="2:5">
      <c r="B13" s="37"/>
      <c r="C13" s="52" t="s">
        <v>145</v>
      </c>
      <c r="E13" s="41"/>
    </row>
    <row r="14" spans="2:5">
      <c r="B14" s="37"/>
      <c r="C14" s="52"/>
      <c r="E14" s="41"/>
    </row>
    <row r="15" spans="2:5">
      <c r="B15" s="37"/>
      <c r="C15" s="53" t="s">
        <v>146</v>
      </c>
      <c r="D15" s="46" t="s">
        <v>147</v>
      </c>
      <c r="E15" s="41"/>
    </row>
    <row r="16" spans="2:5">
      <c r="B16" s="37"/>
      <c r="C16" s="53" t="s">
        <v>148</v>
      </c>
      <c r="E16" s="41"/>
    </row>
    <row r="17" spans="2:5">
      <c r="B17" s="37"/>
      <c r="C17" s="52"/>
      <c r="E17" s="41"/>
    </row>
    <row r="18" spans="2:5">
      <c r="B18" s="37"/>
      <c r="C18" s="52" t="s">
        <v>135</v>
      </c>
      <c r="E18" s="41"/>
    </row>
    <row r="19" spans="2:5">
      <c r="B19" s="37"/>
      <c r="C19" s="52" t="s">
        <v>136</v>
      </c>
      <c r="E19" s="41"/>
    </row>
    <row r="20" spans="2:5">
      <c r="B20" s="37"/>
      <c r="C20" s="52" t="s">
        <v>138</v>
      </c>
      <c r="E20" s="41"/>
    </row>
    <row r="21" spans="2:5">
      <c r="B21" s="37"/>
      <c r="C21" s="52" t="s">
        <v>139</v>
      </c>
      <c r="E21" s="41"/>
    </row>
    <row r="22" spans="2:5">
      <c r="B22" s="37"/>
      <c r="C22" s="52"/>
      <c r="E22" s="41"/>
    </row>
    <row r="23" spans="2:5">
      <c r="B23" s="39" t="s">
        <v>149</v>
      </c>
      <c r="C23" s="51" t="s">
        <v>150</v>
      </c>
      <c r="D23" s="44" t="s">
        <v>133</v>
      </c>
      <c r="E23" s="40" t="s">
        <v>134</v>
      </c>
    </row>
    <row r="24" spans="2:5">
      <c r="B24" s="37"/>
      <c r="C24" s="52" t="s">
        <v>135</v>
      </c>
      <c r="E24" s="41"/>
    </row>
    <row r="25" spans="2:5">
      <c r="B25" s="37"/>
      <c r="C25" s="52" t="s">
        <v>151</v>
      </c>
      <c r="E25" s="41"/>
    </row>
    <row r="26" spans="2:5">
      <c r="B26" s="37"/>
      <c r="C26" s="52" t="s">
        <v>136</v>
      </c>
      <c r="E26" s="41"/>
    </row>
    <row r="27" spans="2:5">
      <c r="B27" s="37"/>
      <c r="C27" s="52" t="s">
        <v>138</v>
      </c>
      <c r="E27" s="41"/>
    </row>
    <row r="28" spans="2:5">
      <c r="B28" s="37"/>
      <c r="C28" s="52" t="s">
        <v>139</v>
      </c>
      <c r="E28" s="41"/>
    </row>
    <row r="29" spans="2:5">
      <c r="B29" s="37"/>
      <c r="C29" s="52"/>
      <c r="D29" s="47"/>
      <c r="E29" s="42"/>
    </row>
    <row r="30" spans="2:5">
      <c r="B30" s="39" t="s">
        <v>152</v>
      </c>
      <c r="C30" s="51" t="s">
        <v>141</v>
      </c>
      <c r="D30" s="44"/>
      <c r="E30" s="40" t="s">
        <v>134</v>
      </c>
    </row>
    <row r="31" spans="2:5">
      <c r="B31" s="37"/>
      <c r="C31" s="287" t="s">
        <v>153</v>
      </c>
      <c r="E31" s="41"/>
    </row>
    <row r="32" spans="2:5">
      <c r="B32" s="37"/>
      <c r="C32" s="52" t="s">
        <v>154</v>
      </c>
      <c r="E32" s="41"/>
    </row>
    <row r="33" spans="2:6">
      <c r="B33" s="37"/>
      <c r="C33" s="52" t="s">
        <v>155</v>
      </c>
      <c r="E33" s="41"/>
    </row>
    <row r="34" spans="2:6">
      <c r="B34" s="37"/>
      <c r="C34" s="288" t="s">
        <v>156</v>
      </c>
      <c r="E34" s="41"/>
    </row>
    <row r="35" spans="2:6">
      <c r="B35" s="37"/>
      <c r="C35" s="288" t="s">
        <v>157</v>
      </c>
      <c r="E35" s="41"/>
    </row>
    <row r="36" spans="2:6">
      <c r="B36" s="37"/>
      <c r="C36" s="52" t="s">
        <v>158</v>
      </c>
      <c r="E36" s="41"/>
    </row>
    <row r="37" spans="2:6">
      <c r="B37" s="37"/>
      <c r="C37" s="288" t="s">
        <v>159</v>
      </c>
      <c r="E37" s="41"/>
    </row>
    <row r="38" spans="2:6">
      <c r="B38" s="37"/>
      <c r="C38" s="288" t="s">
        <v>160</v>
      </c>
      <c r="E38" s="41"/>
    </row>
    <row r="39" spans="2:6">
      <c r="B39" s="37"/>
      <c r="C39" s="288" t="s">
        <v>161</v>
      </c>
      <c r="E39" s="41"/>
    </row>
    <row r="40" spans="2:6">
      <c r="B40" s="37"/>
      <c r="C40" s="288"/>
      <c r="E40" s="41"/>
    </row>
    <row r="41" spans="2:6">
      <c r="B41" s="38"/>
      <c r="C41" s="289"/>
      <c r="D41" s="47"/>
      <c r="E41" s="42"/>
    </row>
    <row r="42" spans="2:6">
      <c r="B42" s="39" t="s">
        <v>162</v>
      </c>
      <c r="C42" s="48" t="s">
        <v>163</v>
      </c>
      <c r="D42" s="44"/>
      <c r="E42" s="40"/>
    </row>
    <row r="43" spans="2:6">
      <c r="B43" s="36"/>
      <c r="C43" s="49" t="s">
        <v>164</v>
      </c>
      <c r="E43" s="41"/>
      <c r="F43" s="3" t="s">
        <v>15</v>
      </c>
    </row>
    <row r="44" spans="2:6">
      <c r="B44" s="37"/>
      <c r="C44" s="49" t="s">
        <v>153</v>
      </c>
      <c r="E44" s="41"/>
      <c r="F44" s="3" t="s">
        <v>1</v>
      </c>
    </row>
    <row r="45" spans="2:6">
      <c r="B45" s="37"/>
      <c r="C45" s="49" t="s">
        <v>165</v>
      </c>
      <c r="E45" s="41"/>
    </row>
    <row r="46" spans="2:6">
      <c r="B46" s="37"/>
      <c r="C46" s="41"/>
      <c r="E46" s="41"/>
    </row>
    <row r="47" spans="2:6">
      <c r="B47" s="37"/>
      <c r="C47" s="290" t="s">
        <v>166</v>
      </c>
      <c r="E47" s="41"/>
    </row>
    <row r="48" spans="2:6">
      <c r="B48" s="37"/>
      <c r="C48" s="41" t="s">
        <v>167</v>
      </c>
      <c r="E48" s="41"/>
    </row>
    <row r="49" spans="2:5">
      <c r="B49" s="37"/>
      <c r="C49" s="337" t="s">
        <v>168</v>
      </c>
      <c r="E49" s="41"/>
    </row>
    <row r="50" spans="2:5">
      <c r="B50" s="37"/>
      <c r="C50" s="50"/>
      <c r="E50" s="41"/>
    </row>
    <row r="51" spans="2:5">
      <c r="B51" s="37"/>
      <c r="C51" s="290" t="s">
        <v>169</v>
      </c>
      <c r="E51" s="41"/>
    </row>
    <row r="52" spans="2:5">
      <c r="B52" s="37"/>
      <c r="C52" s="41" t="s">
        <v>170</v>
      </c>
      <c r="E52" s="41"/>
    </row>
    <row r="53" spans="2:5">
      <c r="B53" s="37"/>
      <c r="C53" s="41" t="s">
        <v>171</v>
      </c>
      <c r="E53" s="41"/>
    </row>
    <row r="54" spans="2:5">
      <c r="B54" s="37"/>
      <c r="C54" s="41"/>
      <c r="E54" s="41"/>
    </row>
    <row r="55" spans="2:5">
      <c r="B55" s="37"/>
      <c r="C55" s="41" t="s">
        <v>172</v>
      </c>
      <c r="E55" s="41"/>
    </row>
    <row r="56" spans="2:5">
      <c r="B56" s="37"/>
      <c r="C56" s="292" t="s">
        <v>173</v>
      </c>
      <c r="E56" s="41"/>
    </row>
    <row r="57" spans="2:5">
      <c r="B57" s="37"/>
      <c r="C57" s="292" t="s">
        <v>174</v>
      </c>
      <c r="E57" s="41"/>
    </row>
    <row r="58" spans="2:5">
      <c r="B58" s="37"/>
      <c r="C58" s="292" t="s">
        <v>175</v>
      </c>
      <c r="E58" s="41"/>
    </row>
    <row r="59" spans="2:5">
      <c r="B59" s="37"/>
      <c r="C59" s="41" t="s">
        <v>176</v>
      </c>
      <c r="E59" s="41"/>
    </row>
    <row r="60" spans="2:5">
      <c r="B60" s="37"/>
      <c r="C60" s="41" t="s">
        <v>177</v>
      </c>
      <c r="E60" s="41"/>
    </row>
    <row r="61" spans="2:5">
      <c r="B61" s="37"/>
      <c r="C61" s="41" t="s">
        <v>178</v>
      </c>
      <c r="E61" s="41"/>
    </row>
    <row r="62" spans="2:5">
      <c r="B62" s="37"/>
      <c r="C62" s="41" t="s">
        <v>179</v>
      </c>
      <c r="E62" s="41"/>
    </row>
    <row r="63" spans="2:5">
      <c r="B63" s="37"/>
      <c r="C63" s="41" t="s">
        <v>180</v>
      </c>
      <c r="E63" s="41"/>
    </row>
    <row r="64" spans="2:5">
      <c r="B64" s="37"/>
      <c r="C64" s="41" t="s">
        <v>181</v>
      </c>
      <c r="E64" s="41"/>
    </row>
    <row r="65" spans="2:5">
      <c r="B65" s="37"/>
      <c r="C65" s="41" t="s">
        <v>182</v>
      </c>
      <c r="E65" s="41"/>
    </row>
    <row r="66" spans="2:5">
      <c r="B66" s="37"/>
      <c r="C66" s="41" t="s">
        <v>183</v>
      </c>
      <c r="E66" s="41"/>
    </row>
    <row r="67" spans="2:5">
      <c r="B67" s="37"/>
      <c r="C67" s="41" t="s">
        <v>184</v>
      </c>
      <c r="E67" s="41"/>
    </row>
    <row r="68" spans="2:5">
      <c r="B68" s="37"/>
      <c r="C68" s="41" t="s">
        <v>185</v>
      </c>
      <c r="E68" s="41"/>
    </row>
    <row r="69" spans="2:5">
      <c r="B69" s="37"/>
      <c r="C69" s="41" t="s">
        <v>186</v>
      </c>
      <c r="E69" s="41"/>
    </row>
    <row r="70" spans="2:5">
      <c r="B70" s="37"/>
      <c r="C70" s="50"/>
      <c r="E70" s="41"/>
    </row>
    <row r="71" spans="2:5">
      <c r="B71" s="37"/>
      <c r="C71" s="291" t="s">
        <v>187</v>
      </c>
      <c r="E71" s="41"/>
    </row>
    <row r="72" spans="2:5">
      <c r="B72" s="37"/>
      <c r="C72" s="293" t="s">
        <v>188</v>
      </c>
      <c r="E72" s="41"/>
    </row>
    <row r="73" spans="2:5">
      <c r="B73" s="37"/>
      <c r="C73" s="293" t="s">
        <v>189</v>
      </c>
      <c r="E73" s="41"/>
    </row>
    <row r="74" spans="2:5">
      <c r="B74" s="37"/>
      <c r="C74" s="293"/>
      <c r="E74" s="41"/>
    </row>
    <row r="75" spans="2:5">
      <c r="B75" s="37"/>
      <c r="C75" s="292" t="s">
        <v>190</v>
      </c>
      <c r="E75" s="41"/>
    </row>
    <row r="76" spans="2:5">
      <c r="B76" s="37"/>
      <c r="C76" s="50"/>
      <c r="E76" s="41"/>
    </row>
    <row r="77" spans="2:5">
      <c r="B77" s="37"/>
      <c r="C77" s="50"/>
      <c r="E77" s="41"/>
    </row>
    <row r="78" spans="2:5">
      <c r="B78" s="37"/>
      <c r="C78" s="50"/>
      <c r="E78" s="41"/>
    </row>
    <row r="79" spans="2:5">
      <c r="B79" s="37"/>
      <c r="C79" s="50"/>
      <c r="E79" s="41"/>
    </row>
    <row r="80" spans="2:5">
      <c r="B80" s="37"/>
      <c r="C80" s="50"/>
      <c r="E80" s="41"/>
    </row>
    <row r="81" spans="2:5">
      <c r="B81" s="37"/>
      <c r="C81" s="50"/>
      <c r="E81" s="41"/>
    </row>
    <row r="82" spans="2:5">
      <c r="B82" s="38"/>
      <c r="C82" s="42"/>
      <c r="D82" s="47"/>
      <c r="E82" s="42"/>
    </row>
  </sheetData>
  <hyperlinks>
    <hyperlink ref="F43" r:id="rId1" xr:uid="{F955C30F-8CBC-46B9-B28E-78C2C9F96EAC}"/>
    <hyperlink ref="F44" r:id="rId2" location="Wb!MXa7HIEm30KMGdu8sP2GdwvYxN6WV5JCr6WVCvLB1pM0k7jfjx_qSK_bRzvQUQl9%2F01QZ5C3TBFTXNNF2BMRVB3YIJBSALCTHCQ#%7B%22pageId%22%3A%22fkPj9P3KEcUTdBcIYCem%22%7D" xr:uid="{44E9DB7C-CBC7-4C67-BE8B-0C9405A7B9F5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1957C-C900-4FE3-B557-998103E58611}">
  <dimension ref="B2"/>
  <sheetViews>
    <sheetView topLeftCell="A3" workbookViewId="0">
      <selection activeCell="W32" sqref="W32"/>
    </sheetView>
  </sheetViews>
  <sheetFormatPr defaultRowHeight="15"/>
  <sheetData>
    <row r="2" spans="2:2">
      <c r="B2" s="3" t="s">
        <v>1</v>
      </c>
    </row>
  </sheetData>
  <hyperlinks>
    <hyperlink ref="B2" r:id="rId1" location="Wb!MXa7HIEm30KMGdu8sP2GdwvYxN6WV5JCr6WVCvLB1pM0k7jfjx_qSK_bRzvQUQl9%2F01QZ5C3TBFTXNNF2BMRVB3YIJBSALCTHCQ#%7B%22pageId%22%3A%22fkPj9P3KEcUTdBcIYCem%22%7D" xr:uid="{EA962695-4D6B-4B25-8A5C-FF6B6E9CA3D5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18374-E5FD-44FB-8BC8-224C4CD4E4FF}">
  <dimension ref="A2:F36"/>
  <sheetViews>
    <sheetView workbookViewId="0">
      <pane ySplit="2" topLeftCell="A22" activePane="bottomLeft" state="frozen"/>
      <selection pane="bottomLeft" activeCell="B38" sqref="B38"/>
    </sheetView>
  </sheetViews>
  <sheetFormatPr defaultRowHeight="15"/>
  <cols>
    <col min="1" max="1" width="8.140625" style="138" customWidth="1"/>
    <col min="2" max="2" width="79.85546875" style="138" customWidth="1"/>
    <col min="3" max="3" width="6.42578125" style="138" customWidth="1"/>
    <col min="4" max="4" width="25.5703125" style="138" customWidth="1"/>
    <col min="5" max="5" width="24.140625" style="138" customWidth="1"/>
    <col min="6" max="6" width="31.140625" style="138" customWidth="1"/>
    <col min="7" max="7" width="30.140625" style="138" customWidth="1"/>
    <col min="8" max="16384" width="9.140625" style="138"/>
  </cols>
  <sheetData>
    <row r="2" spans="1:6">
      <c r="B2" s="332" t="s">
        <v>191</v>
      </c>
      <c r="D2" s="332" t="s">
        <v>192</v>
      </c>
      <c r="E2" s="332" t="s">
        <v>193</v>
      </c>
      <c r="F2" s="332" t="s">
        <v>194</v>
      </c>
    </row>
    <row r="3" spans="1:6">
      <c r="B3" s="333" t="s">
        <v>195</v>
      </c>
    </row>
    <row r="4" spans="1:6">
      <c r="B4" s="138" t="s">
        <v>196</v>
      </c>
    </row>
    <row r="5" spans="1:6">
      <c r="B5" s="138" t="s">
        <v>197</v>
      </c>
      <c r="D5" s="138" t="s">
        <v>198</v>
      </c>
      <c r="F5" s="138" t="s">
        <v>199</v>
      </c>
    </row>
    <row r="7" spans="1:6">
      <c r="B7" s="333" t="s">
        <v>200</v>
      </c>
    </row>
    <row r="8" spans="1:6">
      <c r="B8" s="138" t="s">
        <v>196</v>
      </c>
    </row>
    <row r="9" spans="1:6" ht="30.75">
      <c r="B9" s="138" t="s">
        <v>201</v>
      </c>
      <c r="D9" s="334" t="s">
        <v>202</v>
      </c>
    </row>
    <row r="10" spans="1:6">
      <c r="B10" s="138" t="s">
        <v>203</v>
      </c>
      <c r="D10" s="138" t="s">
        <v>204</v>
      </c>
    </row>
    <row r="11" spans="1:6">
      <c r="B11" s="138" t="s">
        <v>205</v>
      </c>
      <c r="D11" s="138" t="s">
        <v>206</v>
      </c>
    </row>
    <row r="12" spans="1:6">
      <c r="A12" s="138" t="s">
        <v>207</v>
      </c>
      <c r="B12" s="138" t="s">
        <v>208</v>
      </c>
      <c r="D12" s="138" t="s">
        <v>209</v>
      </c>
    </row>
    <row r="13" spans="1:6">
      <c r="B13" s="138" t="s">
        <v>210</v>
      </c>
      <c r="D13" s="138" t="s">
        <v>211</v>
      </c>
    </row>
    <row r="14" spans="1:6">
      <c r="B14" s="138" t="s">
        <v>212</v>
      </c>
      <c r="D14" s="138" t="s">
        <v>213</v>
      </c>
    </row>
    <row r="15" spans="1:6" ht="30.75">
      <c r="A15" s="138" t="s">
        <v>207</v>
      </c>
      <c r="B15" s="138" t="s">
        <v>214</v>
      </c>
      <c r="D15" s="334" t="s">
        <v>215</v>
      </c>
    </row>
    <row r="16" spans="1:6" ht="30.75">
      <c r="A16" s="138" t="s">
        <v>107</v>
      </c>
      <c r="B16" s="138" t="s">
        <v>216</v>
      </c>
      <c r="D16" s="334" t="s">
        <v>217</v>
      </c>
    </row>
    <row r="17" spans="1:6" ht="30.75">
      <c r="A17" s="138" t="s">
        <v>107</v>
      </c>
      <c r="B17" s="138" t="s">
        <v>218</v>
      </c>
      <c r="D17" s="334" t="s">
        <v>219</v>
      </c>
    </row>
    <row r="18" spans="1:6" ht="30.75">
      <c r="A18" s="138" t="s">
        <v>107</v>
      </c>
      <c r="B18" s="138" t="s">
        <v>220</v>
      </c>
      <c r="D18" s="334" t="s">
        <v>221</v>
      </c>
    </row>
    <row r="19" spans="1:6" ht="30.75">
      <c r="A19" s="138" t="s">
        <v>107</v>
      </c>
      <c r="B19" s="138" t="s">
        <v>222</v>
      </c>
      <c r="D19" s="334" t="s">
        <v>223</v>
      </c>
    </row>
    <row r="20" spans="1:6" ht="30.75">
      <c r="A20" s="138" t="s">
        <v>107</v>
      </c>
      <c r="B20" s="138" t="s">
        <v>224</v>
      </c>
      <c r="D20" s="334" t="s">
        <v>225</v>
      </c>
    </row>
    <row r="23" spans="1:6">
      <c r="B23" s="332" t="s">
        <v>226</v>
      </c>
    </row>
    <row r="24" spans="1:6">
      <c r="B24" s="138" t="s">
        <v>227</v>
      </c>
    </row>
    <row r="27" spans="1:6">
      <c r="B27" s="138" t="s">
        <v>228</v>
      </c>
    </row>
    <row r="30" spans="1:6">
      <c r="B30" s="138" t="s">
        <v>229</v>
      </c>
    </row>
    <row r="31" spans="1:6" ht="36" customHeight="1">
      <c r="B31" s="138" t="s">
        <v>230</v>
      </c>
      <c r="F31" s="334" t="s">
        <v>231</v>
      </c>
    </row>
    <row r="35" spans="2:6">
      <c r="B35" s="138" t="s">
        <v>232</v>
      </c>
    </row>
    <row r="36" spans="2:6" ht="33">
      <c r="B36" s="334" t="s">
        <v>233</v>
      </c>
      <c r="E36" s="334" t="s">
        <v>234</v>
      </c>
      <c r="F36" s="334" t="s">
        <v>235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E01A9-0071-4F21-85F5-7A140FC28F6A}">
  <dimension ref="B3:L37"/>
  <sheetViews>
    <sheetView workbookViewId="0">
      <selection activeCell="E3" sqref="E3:E7"/>
    </sheetView>
  </sheetViews>
  <sheetFormatPr defaultRowHeight="15"/>
  <cols>
    <col min="2" max="2" width="4.140625" customWidth="1"/>
    <col min="3" max="3" width="37" customWidth="1"/>
    <col min="4" max="4" width="85.85546875" customWidth="1"/>
    <col min="5" max="5" width="81.42578125" customWidth="1"/>
    <col min="6" max="6" width="8.28515625" bestFit="1" customWidth="1"/>
    <col min="7" max="7" width="7.5703125" bestFit="1" customWidth="1"/>
    <col min="8" max="8" width="9.28515625" bestFit="1" customWidth="1"/>
    <col min="9" max="9" width="39.28515625" bestFit="1" customWidth="1"/>
    <col min="10" max="10" width="22.28515625" bestFit="1" customWidth="1"/>
    <col min="11" max="11" width="60.5703125" customWidth="1"/>
    <col min="12" max="12" width="117.28515625" customWidth="1"/>
  </cols>
  <sheetData>
    <row r="3" spans="2:12" ht="16.5">
      <c r="B3" s="326"/>
      <c r="C3" s="324" t="s">
        <v>236</v>
      </c>
      <c r="D3" s="324" t="s">
        <v>237</v>
      </c>
      <c r="E3" s="325"/>
    </row>
    <row r="4" spans="2:12" ht="99.75">
      <c r="B4" s="327">
        <v>1</v>
      </c>
      <c r="C4" s="322" t="s">
        <v>238</v>
      </c>
      <c r="D4" s="323" t="s">
        <v>239</v>
      </c>
      <c r="E4" s="320"/>
    </row>
    <row r="5" spans="2:12" ht="150">
      <c r="B5" s="328">
        <v>2</v>
      </c>
      <c r="C5" s="321" t="s">
        <v>240</v>
      </c>
      <c r="D5" s="321" t="s">
        <v>241</v>
      </c>
      <c r="E5" s="320"/>
    </row>
    <row r="6" spans="2:12" ht="66" customHeight="1">
      <c r="B6" s="328">
        <v>3</v>
      </c>
      <c r="C6" s="321" t="s">
        <v>242</v>
      </c>
      <c r="D6" s="321"/>
      <c r="E6" s="320"/>
    </row>
    <row r="7" spans="2:12" ht="102.75" customHeight="1">
      <c r="B7" s="328">
        <v>4</v>
      </c>
      <c r="C7" s="321" t="s">
        <v>243</v>
      </c>
      <c r="D7" s="321" t="s">
        <v>244</v>
      </c>
      <c r="E7" s="331"/>
    </row>
    <row r="8" spans="2:12">
      <c r="B8" s="321"/>
      <c r="C8" s="321"/>
      <c r="D8" s="321"/>
      <c r="E8" s="321"/>
    </row>
    <row r="9" spans="2:12">
      <c r="B9" s="54"/>
      <c r="C9" s="54"/>
      <c r="D9" s="54"/>
      <c r="E9" s="54"/>
    </row>
    <row r="12" spans="2:12">
      <c r="B12" s="338" t="s">
        <v>245</v>
      </c>
    </row>
    <row r="13" spans="2:12">
      <c r="B13" s="338" t="s">
        <v>246</v>
      </c>
    </row>
    <row r="15" spans="2:12" ht="30.75">
      <c r="B15" s="207" t="s">
        <v>247</v>
      </c>
      <c r="C15" s="207" t="s">
        <v>248</v>
      </c>
      <c r="D15" s="207" t="s">
        <v>17</v>
      </c>
      <c r="E15" s="207" t="s">
        <v>249</v>
      </c>
      <c r="F15" s="207" t="s">
        <v>250</v>
      </c>
      <c r="G15" s="329" t="s">
        <v>251</v>
      </c>
      <c r="H15" s="207" t="s">
        <v>252</v>
      </c>
      <c r="I15" s="207" t="s">
        <v>253</v>
      </c>
      <c r="J15" s="207" t="s">
        <v>254</v>
      </c>
      <c r="K15" s="207" t="s">
        <v>255</v>
      </c>
      <c r="L15" s="207" t="s">
        <v>256</v>
      </c>
    </row>
    <row r="16" spans="2:12">
      <c r="B16" s="207">
        <v>1</v>
      </c>
      <c r="C16" s="207" t="s">
        <v>257</v>
      </c>
      <c r="D16" s="207" t="s">
        <v>258</v>
      </c>
      <c r="E16" s="207" t="s">
        <v>259</v>
      </c>
      <c r="F16" s="207" t="s">
        <v>260</v>
      </c>
      <c r="G16" s="207" t="s">
        <v>261</v>
      </c>
      <c r="H16" s="207" t="s">
        <v>262</v>
      </c>
      <c r="I16" s="207" t="s">
        <v>263</v>
      </c>
      <c r="J16" s="207" t="s">
        <v>264</v>
      </c>
      <c r="K16" s="207" t="s">
        <v>262</v>
      </c>
      <c r="L16" s="207" t="s">
        <v>262</v>
      </c>
    </row>
    <row r="17" spans="2:12">
      <c r="B17" s="207">
        <v>2</v>
      </c>
      <c r="C17" s="207" t="s">
        <v>265</v>
      </c>
      <c r="D17" s="207" t="s">
        <v>266</v>
      </c>
      <c r="E17" s="207" t="s">
        <v>267</v>
      </c>
      <c r="F17" s="207" t="s">
        <v>260</v>
      </c>
      <c r="G17" s="207" t="s">
        <v>262</v>
      </c>
      <c r="H17" s="207" t="s">
        <v>262</v>
      </c>
      <c r="I17" s="207" t="s">
        <v>42</v>
      </c>
      <c r="J17" s="330" t="s">
        <v>268</v>
      </c>
      <c r="K17" s="207" t="s">
        <v>42</v>
      </c>
      <c r="L17" s="207" t="s">
        <v>269</v>
      </c>
    </row>
    <row r="18" spans="2:12" ht="30.75">
      <c r="B18" s="207">
        <v>3</v>
      </c>
      <c r="C18" s="207" t="s">
        <v>270</v>
      </c>
      <c r="D18" s="207" t="s">
        <v>271</v>
      </c>
      <c r="E18" s="207" t="s">
        <v>272</v>
      </c>
      <c r="F18" s="207" t="s">
        <v>260</v>
      </c>
      <c r="G18" s="207" t="s">
        <v>262</v>
      </c>
      <c r="H18" s="207" t="s">
        <v>262</v>
      </c>
      <c r="I18" s="207" t="s">
        <v>55</v>
      </c>
      <c r="J18" s="207" t="s">
        <v>262</v>
      </c>
      <c r="K18" s="329" t="s">
        <v>273</v>
      </c>
      <c r="L18" s="207"/>
    </row>
    <row r="19" spans="2:12">
      <c r="B19" s="207">
        <v>4</v>
      </c>
      <c r="C19" s="207" t="s">
        <v>274</v>
      </c>
      <c r="D19" s="207" t="s">
        <v>271</v>
      </c>
      <c r="E19" s="207" t="s">
        <v>275</v>
      </c>
      <c r="F19" s="207" t="s">
        <v>260</v>
      </c>
      <c r="G19" s="207" t="s">
        <v>262</v>
      </c>
      <c r="H19" s="207" t="s">
        <v>262</v>
      </c>
      <c r="I19" s="207" t="s">
        <v>276</v>
      </c>
      <c r="J19" s="207" t="s">
        <v>262</v>
      </c>
      <c r="K19" s="207" t="s">
        <v>262</v>
      </c>
      <c r="L19" s="207" t="s">
        <v>277</v>
      </c>
    </row>
    <row r="20" spans="2:12">
      <c r="B20" s="207">
        <v>5</v>
      </c>
      <c r="C20" s="207" t="s">
        <v>278</v>
      </c>
      <c r="D20" s="207" t="s">
        <v>271</v>
      </c>
      <c r="E20" s="207" t="s">
        <v>279</v>
      </c>
      <c r="F20" s="207" t="s">
        <v>260</v>
      </c>
      <c r="G20" s="207" t="s">
        <v>262</v>
      </c>
      <c r="H20" s="207" t="s">
        <v>262</v>
      </c>
      <c r="I20" s="207" t="s">
        <v>54</v>
      </c>
      <c r="J20" s="207" t="s">
        <v>262</v>
      </c>
      <c r="K20" s="207" t="s">
        <v>280</v>
      </c>
      <c r="L20" s="207" t="s">
        <v>262</v>
      </c>
    </row>
    <row r="21" spans="2:12" ht="33">
      <c r="B21" s="207">
        <v>6</v>
      </c>
      <c r="C21" s="207" t="s">
        <v>281</v>
      </c>
      <c r="D21" s="207" t="s">
        <v>282</v>
      </c>
      <c r="E21" s="207" t="s">
        <v>283</v>
      </c>
      <c r="F21" s="207" t="s">
        <v>284</v>
      </c>
      <c r="G21" s="207" t="s">
        <v>262</v>
      </c>
      <c r="H21" s="207" t="s">
        <v>262</v>
      </c>
      <c r="I21" s="207">
        <v>142001</v>
      </c>
      <c r="J21" s="207" t="s">
        <v>262</v>
      </c>
      <c r="K21" s="207" t="s">
        <v>262</v>
      </c>
      <c r="L21" s="329" t="s">
        <v>285</v>
      </c>
    </row>
    <row r="22" spans="2:12" ht="33">
      <c r="B22" s="207">
        <v>7</v>
      </c>
      <c r="C22" s="207" t="s">
        <v>286</v>
      </c>
      <c r="D22" s="207" t="s">
        <v>258</v>
      </c>
      <c r="E22" s="207" t="s">
        <v>287</v>
      </c>
      <c r="F22" s="207" t="s">
        <v>284</v>
      </c>
      <c r="G22" s="207" t="s">
        <v>262</v>
      </c>
      <c r="H22" s="207" t="s">
        <v>262</v>
      </c>
      <c r="I22" s="207" t="s">
        <v>288</v>
      </c>
      <c r="J22" s="207" t="s">
        <v>262</v>
      </c>
      <c r="K22" s="207" t="s">
        <v>262</v>
      </c>
      <c r="L22" s="329" t="s">
        <v>289</v>
      </c>
    </row>
    <row r="23" spans="2:12">
      <c r="B23" s="207">
        <v>8</v>
      </c>
      <c r="C23" s="207" t="s">
        <v>290</v>
      </c>
      <c r="D23" s="207" t="s">
        <v>291</v>
      </c>
      <c r="E23" s="207" t="s">
        <v>292</v>
      </c>
      <c r="F23" s="207" t="s">
        <v>260</v>
      </c>
      <c r="G23" s="207" t="s">
        <v>262</v>
      </c>
      <c r="H23" s="207" t="s">
        <v>262</v>
      </c>
      <c r="I23" s="207" t="s">
        <v>293</v>
      </c>
      <c r="J23" s="207" t="s">
        <v>262</v>
      </c>
      <c r="K23" s="207" t="s">
        <v>262</v>
      </c>
      <c r="L23" s="207" t="s">
        <v>294</v>
      </c>
    </row>
    <row r="24" spans="2:12">
      <c r="B24" s="207">
        <v>9</v>
      </c>
      <c r="C24" s="207" t="s">
        <v>295</v>
      </c>
      <c r="D24" s="207" t="s">
        <v>266</v>
      </c>
      <c r="E24" s="207" t="s">
        <v>296</v>
      </c>
      <c r="F24" s="207" t="s">
        <v>260</v>
      </c>
      <c r="G24" s="207" t="s">
        <v>262</v>
      </c>
      <c r="H24" s="207" t="s">
        <v>262</v>
      </c>
      <c r="I24" s="207" t="s">
        <v>297</v>
      </c>
      <c r="J24" s="330" t="s">
        <v>298</v>
      </c>
      <c r="K24" s="207" t="s">
        <v>299</v>
      </c>
      <c r="L24" s="207" t="s">
        <v>300</v>
      </c>
    </row>
    <row r="25" spans="2:12">
      <c r="B25" s="207">
        <v>10</v>
      </c>
      <c r="C25" s="207" t="s">
        <v>301</v>
      </c>
      <c r="D25" s="207" t="s">
        <v>302</v>
      </c>
      <c r="E25" s="207" t="s">
        <v>303</v>
      </c>
      <c r="F25" s="207" t="s">
        <v>284</v>
      </c>
      <c r="G25" s="207" t="s">
        <v>262</v>
      </c>
      <c r="H25" s="207" t="s">
        <v>262</v>
      </c>
      <c r="I25" s="207" t="s">
        <v>262</v>
      </c>
      <c r="J25" s="207" t="s">
        <v>262</v>
      </c>
      <c r="K25" s="207" t="s">
        <v>262</v>
      </c>
      <c r="L25" s="207" t="s">
        <v>304</v>
      </c>
    </row>
    <row r="26" spans="2:12">
      <c r="B26" s="207">
        <v>11</v>
      </c>
      <c r="C26" s="207" t="s">
        <v>305</v>
      </c>
      <c r="D26" s="207" t="s">
        <v>306</v>
      </c>
      <c r="E26" s="207" t="s">
        <v>307</v>
      </c>
      <c r="F26" s="207" t="s">
        <v>260</v>
      </c>
      <c r="G26" s="207" t="s">
        <v>262</v>
      </c>
      <c r="H26" s="207" t="s">
        <v>262</v>
      </c>
      <c r="I26" s="207" t="s">
        <v>308</v>
      </c>
      <c r="J26" s="207" t="s">
        <v>309</v>
      </c>
      <c r="K26" s="207" t="s">
        <v>262</v>
      </c>
      <c r="L26" s="207" t="s">
        <v>310</v>
      </c>
    </row>
    <row r="27" spans="2:12">
      <c r="B27" s="207">
        <v>12</v>
      </c>
      <c r="C27" s="207" t="s">
        <v>311</v>
      </c>
      <c r="D27" s="207" t="s">
        <v>306</v>
      </c>
      <c r="E27" s="207" t="s">
        <v>312</v>
      </c>
      <c r="F27" s="207" t="s">
        <v>284</v>
      </c>
      <c r="G27" s="207" t="s">
        <v>262</v>
      </c>
      <c r="H27" s="207" t="s">
        <v>262</v>
      </c>
      <c r="I27" s="207" t="s">
        <v>262</v>
      </c>
      <c r="J27" s="207" t="s">
        <v>262</v>
      </c>
      <c r="K27" s="207" t="s">
        <v>262</v>
      </c>
      <c r="L27" s="207" t="s">
        <v>262</v>
      </c>
    </row>
    <row r="35" spans="3:3">
      <c r="C35" t="s">
        <v>29</v>
      </c>
    </row>
    <row r="36" spans="3:3">
      <c r="C36" t="s">
        <v>313</v>
      </c>
    </row>
    <row r="37" spans="3:3">
      <c r="C37" t="s">
        <v>314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46C21-3DCC-488E-9C17-85E00D2C536F}">
  <dimension ref="B2:E5"/>
  <sheetViews>
    <sheetView workbookViewId="0">
      <selection activeCell="A4" sqref="A4:XFD5"/>
    </sheetView>
  </sheetViews>
  <sheetFormatPr defaultRowHeight="15"/>
  <cols>
    <col min="1" max="1" width="8.140625" customWidth="1"/>
    <col min="2" max="2" width="35.140625" customWidth="1"/>
    <col min="3" max="3" width="10.42578125" customWidth="1"/>
    <col min="5" max="5" width="19" customWidth="1"/>
  </cols>
  <sheetData>
    <row r="2" spans="2:5">
      <c r="B2" s="335" t="s">
        <v>315</v>
      </c>
      <c r="C2" s="335" t="s">
        <v>316</v>
      </c>
      <c r="D2" s="335" t="s">
        <v>317</v>
      </c>
    </row>
    <row r="3" spans="2:5">
      <c r="B3" t="s">
        <v>318</v>
      </c>
      <c r="C3" t="s">
        <v>319</v>
      </c>
      <c r="D3">
        <v>70</v>
      </c>
    </row>
    <row r="4" spans="2:5">
      <c r="C4" t="s">
        <v>320</v>
      </c>
      <c r="D4">
        <v>70</v>
      </c>
    </row>
    <row r="5" spans="2:5">
      <c r="D5">
        <f>AVERAGE(D3:D4)</f>
        <v>70</v>
      </c>
      <c r="E5" t="s">
        <v>321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8C0B4-FE91-4897-B1CC-762EE06D094D}">
  <dimension ref="A1"/>
  <sheetViews>
    <sheetView workbookViewId="0">
      <selection activeCell="W22" sqref="W22"/>
    </sheetView>
  </sheetViews>
  <sheetFormatPr defaultRowHeight="1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ECE9C-92CE-4EBA-9C43-D68DBBC075FE}">
  <dimension ref="B2"/>
  <sheetViews>
    <sheetView workbookViewId="0">
      <selection activeCell="I22" sqref="I22"/>
    </sheetView>
  </sheetViews>
  <sheetFormatPr defaultRowHeight="15"/>
  <sheetData>
    <row r="2" spans="2:2">
      <c r="B2" s="62" t="s">
        <v>322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88937-7B19-4E01-97CD-5D95F9C6A262}">
  <sheetPr>
    <tabColor theme="4" tint="0.39997558519241921"/>
  </sheetPr>
  <dimension ref="A1:U77"/>
  <sheetViews>
    <sheetView workbookViewId="0">
      <pane xSplit="2" topLeftCell="S62" activePane="topRight" state="frozen"/>
      <selection pane="topRight" activeCell="AA66" sqref="AA66"/>
    </sheetView>
  </sheetViews>
  <sheetFormatPr defaultRowHeight="15"/>
  <cols>
    <col min="1" max="1" width="5.140625" bestFit="1" customWidth="1"/>
    <col min="2" max="2" width="30.85546875" bestFit="1" customWidth="1"/>
    <col min="3" max="3" width="15.28515625" bestFit="1" customWidth="1"/>
    <col min="4" max="4" width="85.7109375" bestFit="1" customWidth="1"/>
    <col min="5" max="5" width="10.42578125" bestFit="1" customWidth="1"/>
    <col min="8" max="8" width="26.42578125" bestFit="1" customWidth="1"/>
    <col min="9" max="9" width="16" bestFit="1" customWidth="1"/>
    <col min="10" max="10" width="40.42578125" bestFit="1" customWidth="1"/>
    <col min="11" max="11" width="58.7109375" bestFit="1" customWidth="1"/>
    <col min="12" max="12" width="34.7109375" bestFit="1" customWidth="1"/>
    <col min="15" max="15" width="32.5703125" bestFit="1" customWidth="1"/>
    <col min="16" max="16" width="47.7109375" customWidth="1"/>
    <col min="17" max="17" width="21" customWidth="1"/>
    <col min="18" max="18" width="22.7109375" bestFit="1" customWidth="1"/>
    <col min="19" max="19" width="26.85546875" bestFit="1" customWidth="1"/>
    <col min="20" max="20" width="23.42578125" bestFit="1" customWidth="1"/>
    <col min="21" max="21" width="8.85546875" bestFit="1" customWidth="1"/>
  </cols>
  <sheetData>
    <row r="1" spans="1:21">
      <c r="A1" s="220"/>
      <c r="B1" s="220" t="s">
        <v>323</v>
      </c>
      <c r="C1" s="221" t="s">
        <v>29</v>
      </c>
      <c r="D1" s="222"/>
      <c r="E1" s="223" t="s">
        <v>324</v>
      </c>
      <c r="F1" s="224"/>
      <c r="G1" s="225"/>
      <c r="H1" s="225"/>
      <c r="I1" s="224"/>
      <c r="J1" s="224"/>
      <c r="K1" s="225"/>
      <c r="L1" s="224"/>
      <c r="M1" s="226"/>
      <c r="N1" s="226"/>
      <c r="O1" s="226"/>
      <c r="P1" s="226"/>
      <c r="Q1" s="226"/>
      <c r="R1" s="226"/>
      <c r="S1" s="226"/>
      <c r="T1" s="226"/>
      <c r="U1" s="226"/>
    </row>
    <row r="2" spans="1:21">
      <c r="A2" s="220"/>
      <c r="B2" s="220" t="s">
        <v>325</v>
      </c>
      <c r="C2" s="221" t="s">
        <v>326</v>
      </c>
      <c r="D2" s="222"/>
      <c r="E2" s="224"/>
      <c r="F2" s="224"/>
      <c r="G2" s="225"/>
      <c r="H2" s="225"/>
      <c r="I2" s="224"/>
      <c r="J2" s="224"/>
      <c r="K2" s="225"/>
      <c r="L2" s="224"/>
      <c r="M2" s="226"/>
      <c r="N2" s="226"/>
      <c r="O2" s="226"/>
      <c r="P2" s="226"/>
      <c r="Q2" s="226"/>
      <c r="R2" s="226"/>
      <c r="S2" s="226"/>
      <c r="T2" s="226"/>
      <c r="U2" s="226"/>
    </row>
    <row r="3" spans="1:21">
      <c r="A3" s="220"/>
      <c r="B3" s="220" t="s">
        <v>327</v>
      </c>
      <c r="C3" s="227" t="s">
        <v>328</v>
      </c>
      <c r="D3" s="222"/>
      <c r="E3" s="224"/>
      <c r="F3" s="224"/>
      <c r="G3" s="225"/>
      <c r="H3" s="225"/>
      <c r="I3" s="224"/>
      <c r="J3" s="224"/>
      <c r="K3" s="225"/>
      <c r="L3" s="224"/>
      <c r="M3" s="226"/>
      <c r="N3" s="226"/>
      <c r="O3" s="226"/>
      <c r="P3" s="226"/>
      <c r="Q3" s="226"/>
      <c r="R3" s="226"/>
      <c r="S3" s="226"/>
      <c r="T3" s="226"/>
      <c r="U3" s="226"/>
    </row>
    <row r="4" spans="1:21">
      <c r="A4" s="220"/>
      <c r="B4" s="228" t="s">
        <v>329</v>
      </c>
      <c r="C4" s="229" t="s">
        <v>330</v>
      </c>
      <c r="D4" s="222"/>
      <c r="E4" s="224"/>
      <c r="F4" s="224"/>
      <c r="G4" s="225"/>
      <c r="H4" s="225"/>
      <c r="I4" s="224"/>
      <c r="J4" s="224"/>
      <c r="K4" s="225"/>
      <c r="L4" s="224"/>
      <c r="M4" s="226"/>
      <c r="N4" s="226"/>
      <c r="O4" s="226"/>
      <c r="P4" s="226"/>
      <c r="Q4" s="226"/>
      <c r="R4" s="226"/>
      <c r="S4" s="226"/>
      <c r="T4" s="226"/>
      <c r="U4" s="226"/>
    </row>
    <row r="5" spans="1:21" ht="53.25">
      <c r="A5" s="230" t="s">
        <v>247</v>
      </c>
      <c r="B5" s="230" t="s">
        <v>248</v>
      </c>
      <c r="C5" s="230" t="s">
        <v>17</v>
      </c>
      <c r="D5" s="230" t="s">
        <v>249</v>
      </c>
      <c r="E5" s="230" t="s">
        <v>250</v>
      </c>
      <c r="F5" s="231" t="s">
        <v>251</v>
      </c>
      <c r="G5" s="231" t="s">
        <v>252</v>
      </c>
      <c r="H5" s="231" t="s">
        <v>253</v>
      </c>
      <c r="I5" s="230" t="s">
        <v>254</v>
      </c>
      <c r="J5" s="230" t="s">
        <v>255</v>
      </c>
      <c r="K5" s="231" t="s">
        <v>256</v>
      </c>
      <c r="L5" s="224"/>
      <c r="M5" s="280" t="s">
        <v>331</v>
      </c>
      <c r="N5" s="280" t="s">
        <v>332</v>
      </c>
      <c r="O5" s="281" t="s">
        <v>333</v>
      </c>
      <c r="P5" s="281" t="s">
        <v>334</v>
      </c>
      <c r="Q5" s="281" t="s">
        <v>335</v>
      </c>
      <c r="R5" s="281" t="s">
        <v>319</v>
      </c>
      <c r="S5" s="281" t="s">
        <v>336</v>
      </c>
      <c r="T5" s="281" t="s">
        <v>337</v>
      </c>
      <c r="U5" s="226"/>
    </row>
    <row r="6" spans="1:21" ht="36">
      <c r="A6" s="232" t="s">
        <v>338</v>
      </c>
      <c r="B6" s="233" t="s">
        <v>257</v>
      </c>
      <c r="C6" s="233" t="s">
        <v>258</v>
      </c>
      <c r="D6" s="229" t="s">
        <v>339</v>
      </c>
      <c r="E6" s="233" t="s">
        <v>260</v>
      </c>
      <c r="F6" s="233" t="s">
        <v>261</v>
      </c>
      <c r="G6" s="234"/>
      <c r="H6" s="234" t="s">
        <v>263</v>
      </c>
      <c r="I6" s="233"/>
      <c r="J6" s="233"/>
      <c r="K6" s="234" t="s">
        <v>340</v>
      </c>
      <c r="L6" s="224"/>
      <c r="M6" s="235"/>
      <c r="N6" s="235"/>
      <c r="O6" s="236"/>
      <c r="P6" s="236"/>
      <c r="Q6" s="237" t="s">
        <v>341</v>
      </c>
      <c r="R6" s="237" t="s">
        <v>29</v>
      </c>
      <c r="S6" s="237" t="s">
        <v>342</v>
      </c>
      <c r="T6" s="237"/>
      <c r="U6" s="226"/>
    </row>
    <row r="7" spans="1:21" ht="17.25">
      <c r="A7" s="232" t="s">
        <v>343</v>
      </c>
      <c r="B7" s="238" t="s">
        <v>344</v>
      </c>
      <c r="C7" s="233" t="s">
        <v>271</v>
      </c>
      <c r="D7" s="233" t="s">
        <v>345</v>
      </c>
      <c r="E7" s="233" t="s">
        <v>260</v>
      </c>
      <c r="F7" s="233"/>
      <c r="G7" s="234"/>
      <c r="H7" s="234" t="s">
        <v>346</v>
      </c>
      <c r="I7" s="233"/>
      <c r="J7" s="233"/>
      <c r="K7" s="234"/>
      <c r="L7" s="239" t="s">
        <v>347</v>
      </c>
      <c r="M7" s="235"/>
      <c r="N7" s="240"/>
      <c r="O7" s="236"/>
      <c r="P7" s="236"/>
      <c r="Q7" s="237" t="s">
        <v>341</v>
      </c>
      <c r="R7" s="237" t="s">
        <v>29</v>
      </c>
      <c r="S7" s="237" t="s">
        <v>348</v>
      </c>
      <c r="T7" s="237"/>
      <c r="U7" s="226"/>
    </row>
    <row r="8" spans="1:21" ht="36">
      <c r="A8" s="232" t="s">
        <v>349</v>
      </c>
      <c r="B8" s="233" t="s">
        <v>350</v>
      </c>
      <c r="C8" s="233" t="s">
        <v>351</v>
      </c>
      <c r="D8" s="233" t="s">
        <v>352</v>
      </c>
      <c r="E8" s="233" t="s">
        <v>284</v>
      </c>
      <c r="F8" s="233"/>
      <c r="G8" s="234"/>
      <c r="H8" s="234"/>
      <c r="I8" s="233"/>
      <c r="J8" s="234" t="s">
        <v>353</v>
      </c>
      <c r="K8" s="234" t="s">
        <v>354</v>
      </c>
      <c r="L8" s="224"/>
      <c r="M8" s="235"/>
      <c r="N8" s="235"/>
      <c r="O8" s="237"/>
      <c r="P8" s="237"/>
      <c r="Q8" s="237" t="s">
        <v>355</v>
      </c>
      <c r="R8" s="237" t="s">
        <v>29</v>
      </c>
      <c r="S8" s="233" t="s">
        <v>350</v>
      </c>
      <c r="T8" s="236" t="s">
        <v>356</v>
      </c>
      <c r="U8" s="226"/>
    </row>
    <row r="9" spans="1:21" ht="83.25">
      <c r="A9" s="232" t="s">
        <v>357</v>
      </c>
      <c r="B9" s="241" t="s">
        <v>358</v>
      </c>
      <c r="C9" s="233" t="s">
        <v>351</v>
      </c>
      <c r="D9" s="233" t="s">
        <v>359</v>
      </c>
      <c r="E9" s="233" t="s">
        <v>284</v>
      </c>
      <c r="F9" s="233"/>
      <c r="G9" s="234"/>
      <c r="H9" s="234" t="s">
        <v>360</v>
      </c>
      <c r="I9" s="233"/>
      <c r="J9" s="234" t="s">
        <v>361</v>
      </c>
      <c r="K9" s="234" t="s">
        <v>362</v>
      </c>
      <c r="L9" s="242"/>
      <c r="M9" s="243" t="s">
        <v>363</v>
      </c>
      <c r="N9" s="243" t="s">
        <v>363</v>
      </c>
      <c r="O9" s="244" t="s">
        <v>364</v>
      </c>
      <c r="P9" s="236" t="s">
        <v>365</v>
      </c>
      <c r="Q9" s="237" t="s">
        <v>341</v>
      </c>
      <c r="R9" s="237" t="s">
        <v>29</v>
      </c>
      <c r="S9" s="237" t="s">
        <v>366</v>
      </c>
      <c r="T9" s="237"/>
      <c r="U9" s="226"/>
    </row>
    <row r="10" spans="1:21" ht="70.5">
      <c r="A10" s="232" t="s">
        <v>367</v>
      </c>
      <c r="B10" s="241" t="s">
        <v>368</v>
      </c>
      <c r="C10" s="233" t="s">
        <v>266</v>
      </c>
      <c r="D10" s="233" t="s">
        <v>369</v>
      </c>
      <c r="E10" s="233" t="s">
        <v>284</v>
      </c>
      <c r="F10" s="233"/>
      <c r="G10" s="234"/>
      <c r="H10" s="234" t="s">
        <v>370</v>
      </c>
      <c r="I10" s="233"/>
      <c r="J10" s="234" t="s">
        <v>371</v>
      </c>
      <c r="K10" s="234" t="s">
        <v>372</v>
      </c>
      <c r="L10" s="242"/>
      <c r="M10" s="243" t="s">
        <v>363</v>
      </c>
      <c r="N10" s="243" t="s">
        <v>363</v>
      </c>
      <c r="O10" s="236" t="s">
        <v>373</v>
      </c>
      <c r="P10" s="244" t="s">
        <v>374</v>
      </c>
      <c r="Q10" s="237" t="s">
        <v>341</v>
      </c>
      <c r="R10" s="237" t="s">
        <v>29</v>
      </c>
      <c r="S10" s="245" t="s">
        <v>375</v>
      </c>
      <c r="T10" s="236" t="s">
        <v>376</v>
      </c>
      <c r="U10" s="226"/>
    </row>
    <row r="11" spans="1:21" ht="199.5">
      <c r="A11" s="232"/>
      <c r="B11" s="241" t="s">
        <v>377</v>
      </c>
      <c r="C11" s="233" t="s">
        <v>378</v>
      </c>
      <c r="D11" s="234" t="s">
        <v>379</v>
      </c>
      <c r="E11" s="233" t="s">
        <v>284</v>
      </c>
      <c r="F11" s="233"/>
      <c r="G11" s="233"/>
      <c r="H11" s="233" t="s">
        <v>380</v>
      </c>
      <c r="I11" s="233"/>
      <c r="J11" s="233"/>
      <c r="K11" s="234" t="s">
        <v>381</v>
      </c>
      <c r="L11" s="242"/>
      <c r="M11" s="235" t="s">
        <v>363</v>
      </c>
      <c r="N11" s="235" t="s">
        <v>363</v>
      </c>
      <c r="O11" s="236" t="s">
        <v>382</v>
      </c>
      <c r="P11" s="236" t="s">
        <v>383</v>
      </c>
      <c r="Q11" s="237"/>
      <c r="R11" s="237" t="s">
        <v>384</v>
      </c>
      <c r="S11" s="237"/>
      <c r="T11" s="237"/>
      <c r="U11" s="226"/>
    </row>
    <row r="12" spans="1:21" ht="117">
      <c r="A12" s="232" t="s">
        <v>385</v>
      </c>
      <c r="B12" s="233" t="s">
        <v>386</v>
      </c>
      <c r="C12" s="233" t="s">
        <v>387</v>
      </c>
      <c r="D12" s="233" t="s">
        <v>388</v>
      </c>
      <c r="E12" s="233" t="s">
        <v>284</v>
      </c>
      <c r="F12" s="233"/>
      <c r="G12" s="234"/>
      <c r="H12" s="234" t="s">
        <v>389</v>
      </c>
      <c r="I12" s="233"/>
      <c r="J12" s="234" t="s">
        <v>390</v>
      </c>
      <c r="K12" s="234" t="s">
        <v>391</v>
      </c>
      <c r="L12" s="224"/>
      <c r="M12" s="243" t="s">
        <v>363</v>
      </c>
      <c r="N12" s="243" t="s">
        <v>363</v>
      </c>
      <c r="O12" s="236" t="s">
        <v>392</v>
      </c>
      <c r="P12" s="236" t="s">
        <v>393</v>
      </c>
      <c r="Q12" s="237" t="s">
        <v>355</v>
      </c>
      <c r="R12" s="237"/>
      <c r="S12" s="237"/>
      <c r="T12" s="237" t="s">
        <v>394</v>
      </c>
      <c r="U12" s="226"/>
    </row>
    <row r="13" spans="1:21" ht="105.75">
      <c r="A13" s="232" t="s">
        <v>395</v>
      </c>
      <c r="B13" s="233" t="s">
        <v>396</v>
      </c>
      <c r="C13" s="233" t="s">
        <v>378</v>
      </c>
      <c r="D13" s="233" t="s">
        <v>397</v>
      </c>
      <c r="E13" s="233" t="s">
        <v>284</v>
      </c>
      <c r="F13" s="233"/>
      <c r="G13" s="234"/>
      <c r="H13" s="234" t="s">
        <v>380</v>
      </c>
      <c r="I13" s="233"/>
      <c r="J13" s="233"/>
      <c r="K13" s="234" t="s">
        <v>398</v>
      </c>
      <c r="L13" s="224"/>
      <c r="M13" s="243" t="s">
        <v>363</v>
      </c>
      <c r="N13" s="243" t="s">
        <v>363</v>
      </c>
      <c r="O13" s="244" t="s">
        <v>399</v>
      </c>
      <c r="P13" s="236" t="s">
        <v>400</v>
      </c>
      <c r="Q13" s="237" t="s">
        <v>341</v>
      </c>
      <c r="R13" s="237" t="s">
        <v>29</v>
      </c>
      <c r="S13" s="245" t="s">
        <v>401</v>
      </c>
      <c r="T13" s="237"/>
      <c r="U13" s="226"/>
    </row>
    <row r="14" spans="1:21" ht="83.25">
      <c r="A14" s="232" t="s">
        <v>402</v>
      </c>
      <c r="B14" s="246" t="s">
        <v>403</v>
      </c>
      <c r="C14" s="233" t="s">
        <v>351</v>
      </c>
      <c r="D14" s="233" t="s">
        <v>404</v>
      </c>
      <c r="E14" s="233" t="s">
        <v>284</v>
      </c>
      <c r="F14" s="233"/>
      <c r="G14" s="234"/>
      <c r="H14" s="234" t="s">
        <v>405</v>
      </c>
      <c r="I14" s="233" t="s">
        <v>406</v>
      </c>
      <c r="J14" s="234" t="s">
        <v>407</v>
      </c>
      <c r="K14" s="234" t="s">
        <v>408</v>
      </c>
      <c r="L14" s="224"/>
      <c r="M14" s="235" t="s">
        <v>363</v>
      </c>
      <c r="N14" s="235" t="s">
        <v>363</v>
      </c>
      <c r="O14" s="236" t="s">
        <v>409</v>
      </c>
      <c r="P14" s="236" t="s">
        <v>410</v>
      </c>
      <c r="Q14" s="237" t="s">
        <v>337</v>
      </c>
      <c r="R14" s="237"/>
      <c r="S14" s="237"/>
      <c r="T14" s="237" t="s">
        <v>411</v>
      </c>
      <c r="U14" s="226"/>
    </row>
    <row r="15" spans="1:21" ht="87.75">
      <c r="A15" s="232" t="s">
        <v>412</v>
      </c>
      <c r="B15" s="246" t="s">
        <v>413</v>
      </c>
      <c r="C15" s="233" t="s">
        <v>414</v>
      </c>
      <c r="D15" s="233" t="s">
        <v>415</v>
      </c>
      <c r="E15" s="233" t="s">
        <v>284</v>
      </c>
      <c r="F15" s="233"/>
      <c r="G15" s="247" t="s">
        <v>416</v>
      </c>
      <c r="H15" s="234" t="s">
        <v>417</v>
      </c>
      <c r="I15" s="233"/>
      <c r="J15" s="233"/>
      <c r="K15" s="234"/>
      <c r="L15" s="224"/>
      <c r="M15" s="235" t="s">
        <v>363</v>
      </c>
      <c r="N15" s="235" t="s">
        <v>363</v>
      </c>
      <c r="O15" s="236" t="s">
        <v>399</v>
      </c>
      <c r="P15" s="236" t="s">
        <v>400</v>
      </c>
      <c r="Q15" s="237" t="s">
        <v>341</v>
      </c>
      <c r="R15" s="237" t="s">
        <v>29</v>
      </c>
      <c r="S15" s="245" t="s">
        <v>418</v>
      </c>
      <c r="T15" s="237"/>
      <c r="U15" s="226"/>
    </row>
    <row r="16" spans="1:21" ht="70.5">
      <c r="A16" s="232" t="s">
        <v>419</v>
      </c>
      <c r="B16" s="233" t="s">
        <v>420</v>
      </c>
      <c r="C16" s="233" t="s">
        <v>421</v>
      </c>
      <c r="D16" s="233" t="s">
        <v>422</v>
      </c>
      <c r="E16" s="233" t="s">
        <v>284</v>
      </c>
      <c r="F16" s="233"/>
      <c r="G16" s="247" t="s">
        <v>423</v>
      </c>
      <c r="H16" s="234" t="s">
        <v>338</v>
      </c>
      <c r="I16" s="233"/>
      <c r="J16" s="233"/>
      <c r="K16" s="234"/>
      <c r="L16" s="224"/>
      <c r="M16" s="248"/>
      <c r="N16" s="248"/>
      <c r="O16" s="236"/>
      <c r="P16" s="236"/>
      <c r="Q16" s="237"/>
      <c r="R16" s="237" t="s">
        <v>384</v>
      </c>
      <c r="S16" s="237"/>
      <c r="T16" s="237" t="s">
        <v>424</v>
      </c>
      <c r="U16" s="226"/>
    </row>
    <row r="17" spans="1:21" ht="133.5">
      <c r="A17" s="232" t="s">
        <v>425</v>
      </c>
      <c r="B17" s="238" t="s">
        <v>426</v>
      </c>
      <c r="C17" s="233" t="s">
        <v>291</v>
      </c>
      <c r="D17" s="233" t="s">
        <v>427</v>
      </c>
      <c r="E17" s="233" t="s">
        <v>284</v>
      </c>
      <c r="F17" s="233"/>
      <c r="G17" s="247" t="s">
        <v>416</v>
      </c>
      <c r="H17" s="234"/>
      <c r="I17" s="233"/>
      <c r="J17" s="233"/>
      <c r="K17" s="234" t="s">
        <v>428</v>
      </c>
      <c r="L17" s="239" t="s">
        <v>347</v>
      </c>
      <c r="M17" s="235" t="s">
        <v>363</v>
      </c>
      <c r="N17" s="235" t="s">
        <v>363</v>
      </c>
      <c r="O17" s="236" t="s">
        <v>382</v>
      </c>
      <c r="P17" s="236" t="s">
        <v>429</v>
      </c>
      <c r="Q17" s="237"/>
      <c r="R17" s="237" t="s">
        <v>430</v>
      </c>
      <c r="S17" s="237"/>
      <c r="T17" s="237"/>
      <c r="U17" s="226"/>
    </row>
    <row r="18" spans="1:21" ht="133.5">
      <c r="A18" s="232" t="s">
        <v>431</v>
      </c>
      <c r="B18" s="238" t="s">
        <v>432</v>
      </c>
      <c r="C18" s="233" t="s">
        <v>291</v>
      </c>
      <c r="D18" s="233" t="s">
        <v>433</v>
      </c>
      <c r="E18" s="233" t="s">
        <v>260</v>
      </c>
      <c r="F18" s="233"/>
      <c r="G18" s="234"/>
      <c r="H18" s="234" t="s">
        <v>434</v>
      </c>
      <c r="I18" s="233"/>
      <c r="J18" s="233"/>
      <c r="K18" s="234"/>
      <c r="L18" s="239" t="s">
        <v>347</v>
      </c>
      <c r="M18" s="243" t="s">
        <v>363</v>
      </c>
      <c r="N18" s="243" t="s">
        <v>363</v>
      </c>
      <c r="O18" s="236" t="s">
        <v>382</v>
      </c>
      <c r="P18" s="236" t="s">
        <v>429</v>
      </c>
      <c r="Q18" s="237" t="s">
        <v>341</v>
      </c>
      <c r="R18" s="237" t="s">
        <v>29</v>
      </c>
      <c r="S18" s="245" t="s">
        <v>435</v>
      </c>
      <c r="T18" s="237"/>
      <c r="U18" s="226"/>
    </row>
    <row r="19" spans="1:21" ht="83.25">
      <c r="A19" s="232" t="s">
        <v>436</v>
      </c>
      <c r="B19" s="238" t="s">
        <v>437</v>
      </c>
      <c r="C19" s="233" t="s">
        <v>291</v>
      </c>
      <c r="D19" s="233" t="s">
        <v>438</v>
      </c>
      <c r="E19" s="233" t="s">
        <v>284</v>
      </c>
      <c r="F19" s="233"/>
      <c r="G19" s="234"/>
      <c r="H19" s="234" t="s">
        <v>439</v>
      </c>
      <c r="I19" s="233"/>
      <c r="J19" s="233"/>
      <c r="K19" s="234"/>
      <c r="L19" s="239" t="s">
        <v>347</v>
      </c>
      <c r="M19" s="243" t="s">
        <v>363</v>
      </c>
      <c r="N19" s="243" t="s">
        <v>363</v>
      </c>
      <c r="O19" s="236" t="s">
        <v>440</v>
      </c>
      <c r="P19" s="236" t="s">
        <v>441</v>
      </c>
      <c r="Q19" s="237" t="s">
        <v>341</v>
      </c>
      <c r="R19" s="237" t="s">
        <v>29</v>
      </c>
      <c r="S19" s="245" t="s">
        <v>442</v>
      </c>
      <c r="T19" s="237"/>
      <c r="U19" s="226"/>
    </row>
    <row r="20" spans="1:21" ht="83.25">
      <c r="A20" s="232" t="s">
        <v>443</v>
      </c>
      <c r="B20" s="238" t="s">
        <v>444</v>
      </c>
      <c r="C20" s="233" t="s">
        <v>445</v>
      </c>
      <c r="D20" s="233" t="s">
        <v>446</v>
      </c>
      <c r="E20" s="233" t="s">
        <v>260</v>
      </c>
      <c r="F20" s="233"/>
      <c r="G20" s="234"/>
      <c r="H20" s="234" t="s">
        <v>447</v>
      </c>
      <c r="I20" s="233"/>
      <c r="J20" s="233"/>
      <c r="K20" s="234" t="s">
        <v>448</v>
      </c>
      <c r="L20" s="239" t="s">
        <v>347</v>
      </c>
      <c r="M20" s="243" t="s">
        <v>363</v>
      </c>
      <c r="N20" s="243" t="s">
        <v>363</v>
      </c>
      <c r="O20" s="236" t="s">
        <v>440</v>
      </c>
      <c r="P20" s="236" t="s">
        <v>441</v>
      </c>
      <c r="Q20" s="237" t="s">
        <v>337</v>
      </c>
      <c r="R20" s="237" t="s">
        <v>29</v>
      </c>
      <c r="S20" s="245" t="s">
        <v>449</v>
      </c>
      <c r="T20" s="237" t="s">
        <v>450</v>
      </c>
      <c r="U20" s="226"/>
    </row>
    <row r="21" spans="1:21" ht="36">
      <c r="A21" s="232" t="s">
        <v>451</v>
      </c>
      <c r="B21" s="238" t="s">
        <v>452</v>
      </c>
      <c r="C21" s="233" t="s">
        <v>453</v>
      </c>
      <c r="D21" s="233" t="s">
        <v>454</v>
      </c>
      <c r="E21" s="233" t="s">
        <v>260</v>
      </c>
      <c r="F21" s="233"/>
      <c r="G21" s="234"/>
      <c r="H21" s="234" t="s">
        <v>455</v>
      </c>
      <c r="I21" s="233"/>
      <c r="J21" s="234" t="s">
        <v>456</v>
      </c>
      <c r="K21" s="234" t="s">
        <v>457</v>
      </c>
      <c r="L21" s="239" t="s">
        <v>347</v>
      </c>
      <c r="M21" s="243" t="s">
        <v>363</v>
      </c>
      <c r="N21" s="243" t="s">
        <v>363</v>
      </c>
      <c r="O21" s="236" t="s">
        <v>458</v>
      </c>
      <c r="P21" s="236" t="s">
        <v>459</v>
      </c>
      <c r="Q21" s="237" t="s">
        <v>341</v>
      </c>
      <c r="R21" s="237" t="s">
        <v>29</v>
      </c>
      <c r="S21" s="245" t="s">
        <v>452</v>
      </c>
      <c r="T21" s="237"/>
      <c r="U21" s="226"/>
    </row>
    <row r="22" spans="1:21" ht="36">
      <c r="A22" s="232" t="s">
        <v>460</v>
      </c>
      <c r="B22" s="246" t="s">
        <v>461</v>
      </c>
      <c r="C22" s="233" t="s">
        <v>351</v>
      </c>
      <c r="D22" s="233" t="s">
        <v>462</v>
      </c>
      <c r="E22" s="233" t="s">
        <v>284</v>
      </c>
      <c r="F22" s="233"/>
      <c r="G22" s="234"/>
      <c r="H22" s="234" t="s">
        <v>463</v>
      </c>
      <c r="I22" s="233"/>
      <c r="J22" s="234" t="s">
        <v>464</v>
      </c>
      <c r="K22" s="234" t="s">
        <v>465</v>
      </c>
      <c r="L22" s="224"/>
      <c r="M22" s="235" t="s">
        <v>363</v>
      </c>
      <c r="N22" s="235" t="s">
        <v>363</v>
      </c>
      <c r="O22" s="237" t="s">
        <v>458</v>
      </c>
      <c r="P22" s="236" t="s">
        <v>459</v>
      </c>
      <c r="Q22" s="237" t="s">
        <v>341</v>
      </c>
      <c r="R22" s="237" t="s">
        <v>29</v>
      </c>
      <c r="S22" s="245" t="s">
        <v>466</v>
      </c>
      <c r="T22" s="237"/>
      <c r="U22" s="226"/>
    </row>
    <row r="23" spans="1:21" ht="166.5">
      <c r="A23" s="232" t="s">
        <v>467</v>
      </c>
      <c r="B23" s="233" t="s">
        <v>468</v>
      </c>
      <c r="C23" s="233" t="s">
        <v>469</v>
      </c>
      <c r="D23" s="233" t="s">
        <v>470</v>
      </c>
      <c r="E23" s="233" t="s">
        <v>284</v>
      </c>
      <c r="F23" s="233"/>
      <c r="G23" s="234"/>
      <c r="H23" s="234"/>
      <c r="I23" s="233"/>
      <c r="J23" s="233"/>
      <c r="K23" s="234"/>
      <c r="L23" s="224"/>
      <c r="M23" s="235" t="s">
        <v>363</v>
      </c>
      <c r="N23" s="235" t="s">
        <v>363</v>
      </c>
      <c r="O23" s="236" t="s">
        <v>382</v>
      </c>
      <c r="P23" s="236" t="s">
        <v>471</v>
      </c>
      <c r="Q23" s="237"/>
      <c r="R23" s="237"/>
      <c r="S23" s="237"/>
      <c r="T23" s="237"/>
      <c r="U23" s="226"/>
    </row>
    <row r="24" spans="1:21" ht="33">
      <c r="A24" s="232" t="s">
        <v>472</v>
      </c>
      <c r="B24" s="233" t="s">
        <v>473</v>
      </c>
      <c r="C24" s="233" t="s">
        <v>469</v>
      </c>
      <c r="D24" s="233" t="s">
        <v>474</v>
      </c>
      <c r="E24" s="233" t="s">
        <v>284</v>
      </c>
      <c r="F24" s="233"/>
      <c r="G24" s="234"/>
      <c r="H24" s="234"/>
      <c r="I24" s="233"/>
      <c r="J24" s="233"/>
      <c r="K24" s="234"/>
      <c r="L24" s="224"/>
      <c r="M24" s="235" t="s">
        <v>363</v>
      </c>
      <c r="N24" s="235" t="s">
        <v>363</v>
      </c>
      <c r="O24" s="237" t="s">
        <v>458</v>
      </c>
      <c r="P24" s="236" t="s">
        <v>459</v>
      </c>
      <c r="Q24" s="237"/>
      <c r="R24" s="237"/>
      <c r="S24" s="237"/>
      <c r="T24" s="237"/>
      <c r="U24" s="226"/>
    </row>
    <row r="25" spans="1:21" ht="70.5">
      <c r="A25" s="232" t="s">
        <v>475</v>
      </c>
      <c r="B25" s="233" t="s">
        <v>476</v>
      </c>
      <c r="C25" s="233" t="s">
        <v>266</v>
      </c>
      <c r="D25" s="233" t="s">
        <v>477</v>
      </c>
      <c r="E25" s="233" t="s">
        <v>284</v>
      </c>
      <c r="F25" s="233"/>
      <c r="G25" s="234"/>
      <c r="H25" s="234" t="s">
        <v>478</v>
      </c>
      <c r="I25" s="233"/>
      <c r="J25" s="234" t="s">
        <v>479</v>
      </c>
      <c r="K25" s="234" t="s">
        <v>480</v>
      </c>
      <c r="L25" s="224"/>
      <c r="M25" s="235" t="s">
        <v>363</v>
      </c>
      <c r="N25" s="235" t="s">
        <v>363</v>
      </c>
      <c r="O25" s="237" t="s">
        <v>458</v>
      </c>
      <c r="P25" s="237" t="s">
        <v>481</v>
      </c>
      <c r="Q25" s="237" t="s">
        <v>341</v>
      </c>
      <c r="R25" s="237" t="s">
        <v>29</v>
      </c>
      <c r="S25" s="245" t="s">
        <v>482</v>
      </c>
      <c r="T25" s="237"/>
      <c r="U25" s="226"/>
    </row>
    <row r="26" spans="1:21" ht="17.25">
      <c r="A26" s="232" t="s">
        <v>483</v>
      </c>
      <c r="B26" s="233" t="s">
        <v>484</v>
      </c>
      <c r="C26" s="233" t="s">
        <v>291</v>
      </c>
      <c r="D26" s="233" t="s">
        <v>485</v>
      </c>
      <c r="E26" s="233" t="s">
        <v>284</v>
      </c>
      <c r="F26" s="233"/>
      <c r="G26" s="234"/>
      <c r="H26" s="234"/>
      <c r="I26" s="233"/>
      <c r="J26" s="233"/>
      <c r="K26" s="234" t="s">
        <v>486</v>
      </c>
      <c r="L26" s="224"/>
      <c r="M26" s="235" t="s">
        <v>363</v>
      </c>
      <c r="N26" s="235" t="s">
        <v>363</v>
      </c>
      <c r="O26" s="237" t="s">
        <v>458</v>
      </c>
      <c r="P26" s="237" t="s">
        <v>481</v>
      </c>
      <c r="Q26" s="237"/>
      <c r="R26" s="237" t="s">
        <v>384</v>
      </c>
      <c r="S26" s="237"/>
      <c r="T26" s="237"/>
      <c r="U26" s="226"/>
    </row>
    <row r="27" spans="1:21" ht="17.25">
      <c r="A27" s="232" t="s">
        <v>487</v>
      </c>
      <c r="B27" s="233" t="s">
        <v>488</v>
      </c>
      <c r="C27" s="233" t="s">
        <v>291</v>
      </c>
      <c r="D27" s="233" t="s">
        <v>489</v>
      </c>
      <c r="E27" s="233" t="s">
        <v>284</v>
      </c>
      <c r="F27" s="233"/>
      <c r="G27" s="234"/>
      <c r="H27" s="234"/>
      <c r="I27" s="233"/>
      <c r="J27" s="233"/>
      <c r="K27" s="234" t="s">
        <v>486</v>
      </c>
      <c r="L27" s="224"/>
      <c r="M27" s="235"/>
      <c r="N27" s="235"/>
      <c r="O27" s="237"/>
      <c r="P27" s="237"/>
      <c r="Q27" s="237"/>
      <c r="R27" s="237" t="s">
        <v>384</v>
      </c>
      <c r="S27" s="237"/>
      <c r="T27" s="237"/>
      <c r="U27" s="226"/>
    </row>
    <row r="28" spans="1:21" ht="33">
      <c r="A28" s="232" t="s">
        <v>490</v>
      </c>
      <c r="B28" s="233" t="s">
        <v>491</v>
      </c>
      <c r="C28" s="233" t="s">
        <v>266</v>
      </c>
      <c r="D28" s="233" t="s">
        <v>492</v>
      </c>
      <c r="E28" s="233" t="s">
        <v>284</v>
      </c>
      <c r="F28" s="233"/>
      <c r="G28" s="234"/>
      <c r="H28" s="234" t="s">
        <v>493</v>
      </c>
      <c r="I28" s="233"/>
      <c r="J28" s="233"/>
      <c r="K28" s="234" t="s">
        <v>494</v>
      </c>
      <c r="L28" s="224"/>
      <c r="M28" s="235" t="s">
        <v>363</v>
      </c>
      <c r="N28" s="235" t="s">
        <v>363</v>
      </c>
      <c r="O28" s="237" t="s">
        <v>458</v>
      </c>
      <c r="P28" s="236" t="s">
        <v>459</v>
      </c>
      <c r="Q28" s="237" t="s">
        <v>341</v>
      </c>
      <c r="R28" s="237" t="s">
        <v>29</v>
      </c>
      <c r="S28" s="245" t="s">
        <v>495</v>
      </c>
      <c r="T28" s="237"/>
      <c r="U28" s="226"/>
    </row>
    <row r="29" spans="1:21" ht="33">
      <c r="A29" s="232" t="s">
        <v>496</v>
      </c>
      <c r="B29" s="233" t="s">
        <v>497</v>
      </c>
      <c r="C29" s="233" t="s">
        <v>445</v>
      </c>
      <c r="D29" s="253" t="s">
        <v>498</v>
      </c>
      <c r="E29" s="233" t="s">
        <v>284</v>
      </c>
      <c r="F29" s="233"/>
      <c r="G29" s="234"/>
      <c r="H29" s="234" t="s">
        <v>499</v>
      </c>
      <c r="I29" s="233"/>
      <c r="J29" s="233"/>
      <c r="K29" s="234" t="s">
        <v>494</v>
      </c>
      <c r="L29" s="224"/>
      <c r="M29" s="235" t="s">
        <v>363</v>
      </c>
      <c r="N29" s="235" t="s">
        <v>363</v>
      </c>
      <c r="O29" s="237" t="s">
        <v>458</v>
      </c>
      <c r="P29" s="236" t="s">
        <v>459</v>
      </c>
      <c r="Q29" s="237" t="s">
        <v>341</v>
      </c>
      <c r="R29" s="237" t="s">
        <v>29</v>
      </c>
      <c r="S29" s="245" t="s">
        <v>500</v>
      </c>
      <c r="T29" s="237"/>
      <c r="U29" s="226"/>
    </row>
    <row r="30" spans="1:21" ht="33">
      <c r="A30" s="232" t="s">
        <v>501</v>
      </c>
      <c r="B30" s="233" t="s">
        <v>502</v>
      </c>
      <c r="C30" s="233" t="s">
        <v>503</v>
      </c>
      <c r="D30" s="233" t="s">
        <v>504</v>
      </c>
      <c r="E30" s="233" t="s">
        <v>284</v>
      </c>
      <c r="F30" s="233"/>
      <c r="G30" s="233"/>
      <c r="H30" s="233" t="b">
        <v>0</v>
      </c>
      <c r="I30" s="233"/>
      <c r="J30" s="233"/>
      <c r="K30" s="233"/>
      <c r="L30" s="224"/>
      <c r="M30" s="249" t="s">
        <v>363</v>
      </c>
      <c r="N30" s="249" t="s">
        <v>363</v>
      </c>
      <c r="O30" s="237" t="s">
        <v>458</v>
      </c>
      <c r="P30" s="236" t="s">
        <v>459</v>
      </c>
      <c r="Q30" s="237"/>
      <c r="R30" s="237" t="s">
        <v>384</v>
      </c>
      <c r="S30" s="237"/>
      <c r="T30" s="237"/>
      <c r="U30" s="226"/>
    </row>
    <row r="31" spans="1:21" ht="36">
      <c r="A31" s="232" t="s">
        <v>505</v>
      </c>
      <c r="B31" s="246" t="s">
        <v>506</v>
      </c>
      <c r="C31" s="233" t="s">
        <v>453</v>
      </c>
      <c r="D31" s="233" t="s">
        <v>507</v>
      </c>
      <c r="E31" s="233" t="s">
        <v>284</v>
      </c>
      <c r="F31" s="233"/>
      <c r="G31" s="233"/>
      <c r="H31" s="233" t="s">
        <v>343</v>
      </c>
      <c r="I31" s="233"/>
      <c r="J31" s="250" t="s">
        <v>508</v>
      </c>
      <c r="K31" s="247" t="s">
        <v>509</v>
      </c>
      <c r="L31" s="224"/>
      <c r="M31" s="251" t="s">
        <v>363</v>
      </c>
      <c r="N31" s="251" t="s">
        <v>363</v>
      </c>
      <c r="O31" s="237" t="s">
        <v>458</v>
      </c>
      <c r="P31" s="236" t="s">
        <v>459</v>
      </c>
      <c r="Q31" s="237"/>
      <c r="R31" s="237" t="s">
        <v>384</v>
      </c>
      <c r="S31" s="237"/>
      <c r="T31" s="237"/>
      <c r="U31" s="226"/>
    </row>
    <row r="32" spans="1:21" ht="66.75">
      <c r="A32" s="232" t="s">
        <v>510</v>
      </c>
      <c r="B32" s="246" t="s">
        <v>511</v>
      </c>
      <c r="C32" s="233" t="s">
        <v>271</v>
      </c>
      <c r="D32" s="233" t="s">
        <v>512</v>
      </c>
      <c r="E32" s="233" t="s">
        <v>284</v>
      </c>
      <c r="F32" s="233"/>
      <c r="G32" s="233"/>
      <c r="H32" s="233" t="s">
        <v>513</v>
      </c>
      <c r="I32" s="233"/>
      <c r="J32" s="233"/>
      <c r="K32" s="233" t="s">
        <v>514</v>
      </c>
      <c r="L32" s="224"/>
      <c r="M32" s="249" t="s">
        <v>363</v>
      </c>
      <c r="N32" s="249" t="s">
        <v>363</v>
      </c>
      <c r="O32" s="236" t="s">
        <v>515</v>
      </c>
      <c r="P32" s="236" t="s">
        <v>516</v>
      </c>
      <c r="Q32" s="237"/>
      <c r="R32" s="237" t="s">
        <v>384</v>
      </c>
      <c r="S32" s="237"/>
      <c r="T32" s="237"/>
      <c r="U32" s="226"/>
    </row>
    <row r="33" spans="1:21" ht="33">
      <c r="A33" s="232" t="s">
        <v>517</v>
      </c>
      <c r="B33" s="233" t="s">
        <v>518</v>
      </c>
      <c r="C33" s="233" t="s">
        <v>266</v>
      </c>
      <c r="D33" s="233" t="s">
        <v>519</v>
      </c>
      <c r="E33" s="233" t="s">
        <v>284</v>
      </c>
      <c r="F33" s="233"/>
      <c r="G33" s="234"/>
      <c r="H33" s="234"/>
      <c r="I33" s="233"/>
      <c r="J33" s="233"/>
      <c r="K33" s="234" t="s">
        <v>520</v>
      </c>
      <c r="L33" s="224"/>
      <c r="M33" s="235" t="s">
        <v>363</v>
      </c>
      <c r="N33" s="235" t="s">
        <v>363</v>
      </c>
      <c r="O33" s="237" t="s">
        <v>458</v>
      </c>
      <c r="P33" s="236" t="s">
        <v>459</v>
      </c>
      <c r="Q33" s="237" t="s">
        <v>341</v>
      </c>
      <c r="R33" s="237" t="s">
        <v>29</v>
      </c>
      <c r="S33" s="245" t="s">
        <v>518</v>
      </c>
      <c r="T33" s="237"/>
      <c r="U33" s="226"/>
    </row>
    <row r="34" spans="1:21" ht="70.5">
      <c r="A34" s="232" t="s">
        <v>521</v>
      </c>
      <c r="B34" s="233" t="s">
        <v>522</v>
      </c>
      <c r="C34" s="233" t="s">
        <v>266</v>
      </c>
      <c r="D34" s="233" t="s">
        <v>523</v>
      </c>
      <c r="E34" s="233" t="s">
        <v>284</v>
      </c>
      <c r="F34" s="233"/>
      <c r="G34" s="247" t="s">
        <v>524</v>
      </c>
      <c r="H34" s="234" t="s">
        <v>525</v>
      </c>
      <c r="I34" s="233"/>
      <c r="J34" s="233"/>
      <c r="K34" s="234" t="s">
        <v>520</v>
      </c>
      <c r="L34" s="224"/>
      <c r="M34" s="235" t="s">
        <v>363</v>
      </c>
      <c r="N34" s="235" t="s">
        <v>363</v>
      </c>
      <c r="O34" s="237" t="s">
        <v>458</v>
      </c>
      <c r="P34" s="236" t="s">
        <v>459</v>
      </c>
      <c r="Q34" s="237" t="s">
        <v>341</v>
      </c>
      <c r="R34" s="237" t="s">
        <v>29</v>
      </c>
      <c r="S34" s="245" t="s">
        <v>526</v>
      </c>
      <c r="T34" s="237"/>
      <c r="U34" s="226"/>
    </row>
    <row r="35" spans="1:21" ht="133.5">
      <c r="A35" s="252" t="s">
        <v>527</v>
      </c>
      <c r="B35" s="233" t="s">
        <v>528</v>
      </c>
      <c r="C35" s="233" t="s">
        <v>351</v>
      </c>
      <c r="D35" s="233" t="s">
        <v>529</v>
      </c>
      <c r="E35" s="233" t="s">
        <v>284</v>
      </c>
      <c r="F35" s="233"/>
      <c r="G35" s="247" t="s">
        <v>524</v>
      </c>
      <c r="H35" s="234" t="s">
        <v>525</v>
      </c>
      <c r="I35" s="233"/>
      <c r="J35" s="233"/>
      <c r="K35" s="234" t="s">
        <v>530</v>
      </c>
      <c r="L35" s="224"/>
      <c r="M35" s="235" t="s">
        <v>363</v>
      </c>
      <c r="N35" s="235" t="s">
        <v>363</v>
      </c>
      <c r="O35" s="236" t="s">
        <v>382</v>
      </c>
      <c r="P35" s="236" t="s">
        <v>429</v>
      </c>
      <c r="Q35" s="237"/>
      <c r="R35" s="237" t="s">
        <v>384</v>
      </c>
      <c r="S35" s="237"/>
      <c r="T35" s="237"/>
      <c r="U35" s="226"/>
    </row>
    <row r="36" spans="1:21" ht="66.75">
      <c r="A36" s="252" t="s">
        <v>531</v>
      </c>
      <c r="B36" s="238" t="s">
        <v>532</v>
      </c>
      <c r="C36" s="233" t="s">
        <v>387</v>
      </c>
      <c r="D36" s="233" t="s">
        <v>533</v>
      </c>
      <c r="E36" s="233" t="s">
        <v>284</v>
      </c>
      <c r="F36" s="233"/>
      <c r="G36" s="234"/>
      <c r="H36" s="234" t="s">
        <v>534</v>
      </c>
      <c r="I36" s="233"/>
      <c r="J36" s="233"/>
      <c r="K36" s="234" t="s">
        <v>535</v>
      </c>
      <c r="L36" s="239" t="s">
        <v>347</v>
      </c>
      <c r="M36" s="243" t="s">
        <v>363</v>
      </c>
      <c r="N36" s="243" t="s">
        <v>363</v>
      </c>
      <c r="O36" s="236" t="s">
        <v>515</v>
      </c>
      <c r="P36" s="236" t="s">
        <v>516</v>
      </c>
      <c r="Q36" s="237" t="s">
        <v>341</v>
      </c>
      <c r="R36" s="237" t="s">
        <v>29</v>
      </c>
      <c r="S36" s="245" t="s">
        <v>536</v>
      </c>
      <c r="T36" s="237"/>
      <c r="U36" s="226"/>
    </row>
    <row r="37" spans="1:21" ht="66.75">
      <c r="A37" s="252" t="s">
        <v>537</v>
      </c>
      <c r="B37" s="233" t="s">
        <v>538</v>
      </c>
      <c r="C37" s="233" t="s">
        <v>387</v>
      </c>
      <c r="D37" s="233" t="s">
        <v>539</v>
      </c>
      <c r="E37" s="233" t="s">
        <v>284</v>
      </c>
      <c r="F37" s="233"/>
      <c r="G37" s="234"/>
      <c r="H37" s="234"/>
      <c r="I37" s="233"/>
      <c r="J37" s="233"/>
      <c r="K37" s="234" t="s">
        <v>540</v>
      </c>
      <c r="L37" s="224"/>
      <c r="M37" s="235" t="s">
        <v>363</v>
      </c>
      <c r="N37" s="235" t="s">
        <v>363</v>
      </c>
      <c r="O37" s="236" t="s">
        <v>515</v>
      </c>
      <c r="P37" s="236" t="s">
        <v>516</v>
      </c>
      <c r="Q37" s="237"/>
      <c r="R37" s="237" t="s">
        <v>430</v>
      </c>
      <c r="S37" s="245"/>
      <c r="T37" s="237"/>
      <c r="U37" s="226"/>
    </row>
    <row r="38" spans="1:21" ht="53.25">
      <c r="A38" s="252" t="s">
        <v>541</v>
      </c>
      <c r="B38" s="233" t="s">
        <v>542</v>
      </c>
      <c r="C38" s="253" t="s">
        <v>543</v>
      </c>
      <c r="D38" s="233" t="s">
        <v>544</v>
      </c>
      <c r="E38" s="233" t="s">
        <v>284</v>
      </c>
      <c r="F38" s="233"/>
      <c r="G38" s="234"/>
      <c r="H38" s="247" t="s">
        <v>545</v>
      </c>
      <c r="I38" s="233"/>
      <c r="J38" s="233"/>
      <c r="K38" s="254"/>
      <c r="L38" s="255" t="s">
        <v>546</v>
      </c>
      <c r="M38" s="256" t="s">
        <v>363</v>
      </c>
      <c r="N38" s="256" t="s">
        <v>363</v>
      </c>
      <c r="O38" s="237" t="s">
        <v>458</v>
      </c>
      <c r="P38" s="236" t="s">
        <v>459</v>
      </c>
      <c r="Q38" s="237" t="s">
        <v>341</v>
      </c>
      <c r="R38" s="237" t="s">
        <v>29</v>
      </c>
      <c r="S38" s="245" t="s">
        <v>542</v>
      </c>
      <c r="T38" s="237"/>
      <c r="U38" s="226"/>
    </row>
    <row r="39" spans="1:21" ht="33">
      <c r="A39" s="252" t="s">
        <v>547</v>
      </c>
      <c r="B39" s="233" t="s">
        <v>548</v>
      </c>
      <c r="C39" s="233" t="s">
        <v>271</v>
      </c>
      <c r="D39" s="233" t="s">
        <v>549</v>
      </c>
      <c r="E39" s="233" t="s">
        <v>284</v>
      </c>
      <c r="F39" s="233"/>
      <c r="G39" s="234"/>
      <c r="H39" s="234"/>
      <c r="I39" s="233"/>
      <c r="J39" s="233"/>
      <c r="K39" s="234"/>
      <c r="L39" s="224"/>
      <c r="M39" s="235" t="s">
        <v>363</v>
      </c>
      <c r="N39" s="235" t="s">
        <v>363</v>
      </c>
      <c r="O39" s="237" t="s">
        <v>458</v>
      </c>
      <c r="P39" s="236" t="s">
        <v>459</v>
      </c>
      <c r="Q39" s="237"/>
      <c r="R39" s="237" t="s">
        <v>430</v>
      </c>
      <c r="S39" s="237"/>
      <c r="T39" s="237"/>
      <c r="U39" s="226"/>
    </row>
    <row r="40" spans="1:21" ht="33">
      <c r="A40" s="252" t="s">
        <v>550</v>
      </c>
      <c r="B40" s="233" t="s">
        <v>551</v>
      </c>
      <c r="C40" s="233" t="s">
        <v>271</v>
      </c>
      <c r="D40" s="233" t="s">
        <v>552</v>
      </c>
      <c r="E40" s="233" t="s">
        <v>284</v>
      </c>
      <c r="F40" s="233"/>
      <c r="G40" s="234"/>
      <c r="H40" s="234"/>
      <c r="I40" s="233"/>
      <c r="J40" s="233"/>
      <c r="K40" s="234"/>
      <c r="L40" s="224"/>
      <c r="M40" s="235" t="s">
        <v>363</v>
      </c>
      <c r="N40" s="235" t="s">
        <v>363</v>
      </c>
      <c r="O40" s="237" t="s">
        <v>458</v>
      </c>
      <c r="P40" s="236" t="s">
        <v>459</v>
      </c>
      <c r="Q40" s="237"/>
      <c r="R40" s="237" t="s">
        <v>430</v>
      </c>
      <c r="S40" s="237"/>
      <c r="T40" s="237"/>
      <c r="U40" s="226"/>
    </row>
    <row r="41" spans="1:21" ht="15.75">
      <c r="A41" s="252" t="s">
        <v>553</v>
      </c>
      <c r="B41" s="233" t="s">
        <v>554</v>
      </c>
      <c r="C41" s="233" t="s">
        <v>555</v>
      </c>
      <c r="D41" s="233" t="s">
        <v>556</v>
      </c>
      <c r="E41" s="233" t="s">
        <v>284</v>
      </c>
      <c r="F41" s="233"/>
      <c r="G41" s="234"/>
      <c r="H41" s="234"/>
      <c r="I41" s="233"/>
      <c r="J41" s="233"/>
      <c r="K41" s="234"/>
      <c r="L41" s="224"/>
      <c r="M41" s="235"/>
      <c r="N41" s="235"/>
      <c r="O41" s="237"/>
      <c r="P41" s="237"/>
      <c r="Q41" s="237" t="s">
        <v>341</v>
      </c>
      <c r="R41" s="237" t="s">
        <v>29</v>
      </c>
      <c r="S41" s="245" t="s">
        <v>554</v>
      </c>
      <c r="T41" s="237"/>
      <c r="U41" s="226"/>
    </row>
    <row r="42" spans="1:21" ht="33">
      <c r="A42" s="252" t="s">
        <v>557</v>
      </c>
      <c r="B42" s="233" t="s">
        <v>558</v>
      </c>
      <c r="C42" s="233" t="s">
        <v>555</v>
      </c>
      <c r="D42" s="233" t="s">
        <v>559</v>
      </c>
      <c r="E42" s="233" t="s">
        <v>284</v>
      </c>
      <c r="F42" s="233"/>
      <c r="G42" s="234"/>
      <c r="H42" s="234"/>
      <c r="I42" s="233"/>
      <c r="J42" s="233"/>
      <c r="K42" s="234"/>
      <c r="L42" s="224"/>
      <c r="M42" s="235" t="s">
        <v>363</v>
      </c>
      <c r="N42" s="235" t="s">
        <v>363</v>
      </c>
      <c r="O42" s="237" t="s">
        <v>458</v>
      </c>
      <c r="P42" s="236" t="s">
        <v>459</v>
      </c>
      <c r="Q42" s="237"/>
      <c r="R42" s="237" t="s">
        <v>430</v>
      </c>
      <c r="S42" s="237"/>
      <c r="T42" s="237"/>
      <c r="U42" s="226"/>
    </row>
    <row r="43" spans="1:21" ht="70.5">
      <c r="A43" s="252" t="s">
        <v>560</v>
      </c>
      <c r="B43" s="233" t="s">
        <v>561</v>
      </c>
      <c r="C43" s="233" t="s">
        <v>266</v>
      </c>
      <c r="D43" s="233" t="s">
        <v>562</v>
      </c>
      <c r="E43" s="233" t="s">
        <v>284</v>
      </c>
      <c r="F43" s="233"/>
      <c r="G43" s="247" t="s">
        <v>563</v>
      </c>
      <c r="H43" s="234" t="s">
        <v>564</v>
      </c>
      <c r="I43" s="233"/>
      <c r="J43" s="233"/>
      <c r="K43" s="234"/>
      <c r="L43" s="224"/>
      <c r="M43" s="235" t="s">
        <v>363</v>
      </c>
      <c r="N43" s="235" t="s">
        <v>363</v>
      </c>
      <c r="O43" s="237" t="s">
        <v>458</v>
      </c>
      <c r="P43" s="236" t="s">
        <v>459</v>
      </c>
      <c r="Q43" s="237" t="s">
        <v>341</v>
      </c>
      <c r="R43" s="237" t="s">
        <v>29</v>
      </c>
      <c r="S43" s="245" t="s">
        <v>561</v>
      </c>
      <c r="T43" s="237"/>
      <c r="U43" s="226"/>
    </row>
    <row r="44" spans="1:21" ht="70.5">
      <c r="A44" s="252" t="s">
        <v>565</v>
      </c>
      <c r="B44" s="233" t="s">
        <v>566</v>
      </c>
      <c r="C44" s="233" t="s">
        <v>266</v>
      </c>
      <c r="D44" s="233" t="s">
        <v>567</v>
      </c>
      <c r="E44" s="233" t="s">
        <v>284</v>
      </c>
      <c r="F44" s="233"/>
      <c r="G44" s="247" t="s">
        <v>568</v>
      </c>
      <c r="H44" s="234" t="s">
        <v>569</v>
      </c>
      <c r="I44" s="233"/>
      <c r="J44" s="233"/>
      <c r="K44" s="234"/>
      <c r="L44" s="224"/>
      <c r="M44" s="235" t="s">
        <v>363</v>
      </c>
      <c r="N44" s="235" t="s">
        <v>363</v>
      </c>
      <c r="O44" s="237" t="s">
        <v>458</v>
      </c>
      <c r="P44" s="236" t="s">
        <v>459</v>
      </c>
      <c r="Q44" s="237"/>
      <c r="R44" s="237"/>
      <c r="S44" s="262"/>
      <c r="T44" s="237" t="s">
        <v>411</v>
      </c>
      <c r="U44" s="226"/>
    </row>
    <row r="45" spans="1:21" ht="87.75">
      <c r="A45" s="252" t="s">
        <v>570</v>
      </c>
      <c r="B45" s="233" t="s">
        <v>571</v>
      </c>
      <c r="C45" s="233" t="s">
        <v>266</v>
      </c>
      <c r="D45" s="233" t="s">
        <v>572</v>
      </c>
      <c r="E45" s="233" t="s">
        <v>284</v>
      </c>
      <c r="F45" s="233"/>
      <c r="G45" s="247" t="s">
        <v>573</v>
      </c>
      <c r="H45" s="234" t="s">
        <v>338</v>
      </c>
      <c r="I45" s="233"/>
      <c r="J45" s="233"/>
      <c r="K45" s="234"/>
      <c r="L45" s="224"/>
      <c r="M45" s="235" t="s">
        <v>363</v>
      </c>
      <c r="N45" s="235" t="s">
        <v>363</v>
      </c>
      <c r="O45" s="237" t="s">
        <v>458</v>
      </c>
      <c r="P45" s="236" t="s">
        <v>459</v>
      </c>
      <c r="Q45" s="237" t="s">
        <v>341</v>
      </c>
      <c r="R45" s="260" t="s">
        <v>29</v>
      </c>
      <c r="S45" s="245" t="s">
        <v>574</v>
      </c>
      <c r="T45" s="261"/>
      <c r="U45" s="226"/>
    </row>
    <row r="46" spans="1:21" ht="87.75">
      <c r="A46" s="252" t="s">
        <v>575</v>
      </c>
      <c r="B46" s="233" t="s">
        <v>576</v>
      </c>
      <c r="C46" s="233" t="s">
        <v>271</v>
      </c>
      <c r="D46" s="233" t="s">
        <v>577</v>
      </c>
      <c r="E46" s="233" t="s">
        <v>284</v>
      </c>
      <c r="F46" s="233"/>
      <c r="G46" s="247" t="s">
        <v>578</v>
      </c>
      <c r="H46" s="234" t="s">
        <v>579</v>
      </c>
      <c r="I46" s="233"/>
      <c r="J46" s="233"/>
      <c r="K46" s="234"/>
      <c r="L46" s="224"/>
      <c r="M46" s="235" t="s">
        <v>363</v>
      </c>
      <c r="N46" s="235" t="s">
        <v>363</v>
      </c>
      <c r="O46" s="237" t="s">
        <v>458</v>
      </c>
      <c r="P46" s="236" t="s">
        <v>459</v>
      </c>
      <c r="Q46" s="237" t="s">
        <v>341</v>
      </c>
      <c r="R46" s="237" t="s">
        <v>29</v>
      </c>
      <c r="S46" s="263" t="s">
        <v>580</v>
      </c>
      <c r="T46" s="237"/>
      <c r="U46" s="226"/>
    </row>
    <row r="47" spans="1:21" ht="70.5">
      <c r="A47" s="252" t="s">
        <v>581</v>
      </c>
      <c r="B47" s="233" t="s">
        <v>582</v>
      </c>
      <c r="C47" s="233" t="s">
        <v>387</v>
      </c>
      <c r="D47" s="233" t="s">
        <v>583</v>
      </c>
      <c r="E47" s="233" t="s">
        <v>284</v>
      </c>
      <c r="F47" s="233"/>
      <c r="G47" s="247" t="s">
        <v>584</v>
      </c>
      <c r="H47" s="234" t="s">
        <v>343</v>
      </c>
      <c r="I47" s="233"/>
      <c r="J47" s="233"/>
      <c r="K47" s="234"/>
      <c r="L47" s="224"/>
      <c r="M47" s="235" t="s">
        <v>363</v>
      </c>
      <c r="N47" s="235" t="s">
        <v>363</v>
      </c>
      <c r="O47" s="237" t="s">
        <v>458</v>
      </c>
      <c r="P47" s="236" t="s">
        <v>459</v>
      </c>
      <c r="Q47" s="237" t="s">
        <v>341</v>
      </c>
      <c r="R47" s="237" t="s">
        <v>29</v>
      </c>
      <c r="S47" s="237" t="s">
        <v>585</v>
      </c>
      <c r="T47" s="237"/>
      <c r="U47" s="226"/>
    </row>
    <row r="48" spans="1:21" ht="33">
      <c r="A48" s="252" t="s">
        <v>586</v>
      </c>
      <c r="B48" s="233" t="s">
        <v>587</v>
      </c>
      <c r="C48" s="233" t="s">
        <v>266</v>
      </c>
      <c r="D48" s="233" t="s">
        <v>588</v>
      </c>
      <c r="E48" s="233" t="s">
        <v>284</v>
      </c>
      <c r="F48" s="233"/>
      <c r="G48" s="234"/>
      <c r="H48" s="234" t="s">
        <v>589</v>
      </c>
      <c r="I48" s="233"/>
      <c r="J48" s="233"/>
      <c r="K48" s="234"/>
      <c r="L48" s="224"/>
      <c r="M48" s="235" t="s">
        <v>363</v>
      </c>
      <c r="N48" s="235" t="s">
        <v>363</v>
      </c>
      <c r="O48" s="237" t="s">
        <v>458</v>
      </c>
      <c r="P48" s="236" t="s">
        <v>459</v>
      </c>
      <c r="Q48" s="237"/>
      <c r="R48" s="237"/>
      <c r="S48" s="237"/>
      <c r="T48" s="237"/>
      <c r="U48" s="226"/>
    </row>
    <row r="49" spans="1:21" ht="33">
      <c r="A49" s="252" t="s">
        <v>590</v>
      </c>
      <c r="B49" s="257" t="s">
        <v>591</v>
      </c>
      <c r="C49" s="257" t="s">
        <v>266</v>
      </c>
      <c r="D49" s="233" t="s">
        <v>592</v>
      </c>
      <c r="E49" s="233" t="s">
        <v>284</v>
      </c>
      <c r="F49" s="233"/>
      <c r="G49" s="234"/>
      <c r="H49" s="234" t="s">
        <v>593</v>
      </c>
      <c r="I49" s="233"/>
      <c r="J49" s="233"/>
      <c r="K49" s="234"/>
      <c r="L49" s="242" t="s">
        <v>594</v>
      </c>
      <c r="M49" s="235" t="s">
        <v>363</v>
      </c>
      <c r="N49" s="235" t="s">
        <v>363</v>
      </c>
      <c r="O49" s="237" t="s">
        <v>458</v>
      </c>
      <c r="P49" s="236" t="s">
        <v>459</v>
      </c>
      <c r="Q49" s="237"/>
      <c r="R49" s="237"/>
      <c r="S49" s="237"/>
      <c r="T49" s="237"/>
      <c r="U49" s="226"/>
    </row>
    <row r="50" spans="1:21" ht="33">
      <c r="A50" s="252" t="s">
        <v>595</v>
      </c>
      <c r="B50" s="257" t="s">
        <v>596</v>
      </c>
      <c r="C50" s="257" t="s">
        <v>597</v>
      </c>
      <c r="D50" s="233" t="s">
        <v>598</v>
      </c>
      <c r="E50" s="233" t="s">
        <v>284</v>
      </c>
      <c r="F50" s="233"/>
      <c r="G50" s="234"/>
      <c r="H50" s="234" t="s">
        <v>599</v>
      </c>
      <c r="I50" s="233"/>
      <c r="J50" s="233"/>
      <c r="K50" s="234"/>
      <c r="L50" s="242" t="s">
        <v>600</v>
      </c>
      <c r="M50" s="235" t="s">
        <v>363</v>
      </c>
      <c r="N50" s="235" t="s">
        <v>363</v>
      </c>
      <c r="O50" s="237" t="s">
        <v>458</v>
      </c>
      <c r="P50" s="236" t="s">
        <v>459</v>
      </c>
      <c r="Q50" s="237"/>
      <c r="R50" s="237"/>
      <c r="S50" s="237"/>
      <c r="T50" s="237"/>
      <c r="U50" s="226"/>
    </row>
    <row r="51" spans="1:21" ht="105.75">
      <c r="A51" s="252" t="s">
        <v>601</v>
      </c>
      <c r="B51" s="233" t="s">
        <v>602</v>
      </c>
      <c r="C51" s="233" t="s">
        <v>271</v>
      </c>
      <c r="D51" s="233" t="s">
        <v>603</v>
      </c>
      <c r="E51" s="233" t="s">
        <v>284</v>
      </c>
      <c r="F51" s="233"/>
      <c r="G51" s="247" t="s">
        <v>604</v>
      </c>
      <c r="H51" s="234" t="s">
        <v>402</v>
      </c>
      <c r="I51" s="233"/>
      <c r="J51" s="233"/>
      <c r="K51" s="234"/>
      <c r="L51" s="224"/>
      <c r="M51" s="235" t="s">
        <v>363</v>
      </c>
      <c r="N51" s="235" t="s">
        <v>363</v>
      </c>
      <c r="O51" s="237" t="s">
        <v>458</v>
      </c>
      <c r="P51" s="236" t="s">
        <v>459</v>
      </c>
      <c r="Q51" s="237" t="s">
        <v>341</v>
      </c>
      <c r="R51" s="237" t="s">
        <v>29</v>
      </c>
      <c r="S51" s="237" t="s">
        <v>605</v>
      </c>
      <c r="T51" s="237"/>
      <c r="U51" s="226"/>
    </row>
    <row r="52" spans="1:21" ht="70.5">
      <c r="A52" s="252" t="s">
        <v>606</v>
      </c>
      <c r="B52" s="233" t="s">
        <v>607</v>
      </c>
      <c r="C52" s="233" t="s">
        <v>266</v>
      </c>
      <c r="D52" s="233" t="s">
        <v>608</v>
      </c>
      <c r="E52" s="233" t="s">
        <v>284</v>
      </c>
      <c r="F52" s="233"/>
      <c r="G52" s="247" t="s">
        <v>563</v>
      </c>
      <c r="H52" s="234"/>
      <c r="I52" s="233"/>
      <c r="J52" s="233"/>
      <c r="K52" s="234"/>
      <c r="L52" s="224"/>
      <c r="M52" s="235" t="s">
        <v>363</v>
      </c>
      <c r="N52" s="235" t="s">
        <v>363</v>
      </c>
      <c r="O52" s="237" t="s">
        <v>458</v>
      </c>
      <c r="P52" s="236" t="s">
        <v>459</v>
      </c>
      <c r="Q52" s="237" t="s">
        <v>341</v>
      </c>
      <c r="R52" s="237" t="s">
        <v>29</v>
      </c>
      <c r="S52" s="237" t="s">
        <v>609</v>
      </c>
      <c r="T52" s="237"/>
      <c r="U52" s="226"/>
    </row>
    <row r="53" spans="1:21" ht="70.5">
      <c r="A53" s="252" t="s">
        <v>610</v>
      </c>
      <c r="B53" s="233" t="s">
        <v>611</v>
      </c>
      <c r="C53" s="233" t="s">
        <v>266</v>
      </c>
      <c r="D53" s="233" t="s">
        <v>612</v>
      </c>
      <c r="E53" s="233" t="s">
        <v>284</v>
      </c>
      <c r="F53" s="233"/>
      <c r="G53" s="247" t="s">
        <v>568</v>
      </c>
      <c r="H53" s="234"/>
      <c r="I53" s="233"/>
      <c r="J53" s="233"/>
      <c r="K53" s="234"/>
      <c r="L53" s="224"/>
      <c r="M53" s="235" t="s">
        <v>363</v>
      </c>
      <c r="N53" s="235" t="s">
        <v>363</v>
      </c>
      <c r="O53" s="237" t="s">
        <v>458</v>
      </c>
      <c r="P53" s="236" t="s">
        <v>459</v>
      </c>
      <c r="Q53" s="237"/>
      <c r="R53" s="237"/>
      <c r="S53" s="237"/>
      <c r="T53" s="237"/>
      <c r="U53" s="226"/>
    </row>
    <row r="54" spans="1:21" ht="87.75">
      <c r="A54" s="252" t="s">
        <v>613</v>
      </c>
      <c r="B54" s="233" t="s">
        <v>614</v>
      </c>
      <c r="C54" s="233" t="s">
        <v>266</v>
      </c>
      <c r="D54" s="233" t="s">
        <v>615</v>
      </c>
      <c r="E54" s="233" t="s">
        <v>284</v>
      </c>
      <c r="F54" s="233"/>
      <c r="G54" s="247" t="s">
        <v>573</v>
      </c>
      <c r="H54" s="234"/>
      <c r="I54" s="233"/>
      <c r="J54" s="233"/>
      <c r="K54" s="234"/>
      <c r="L54" s="224"/>
      <c r="M54" s="235" t="s">
        <v>363</v>
      </c>
      <c r="N54" s="235" t="s">
        <v>363</v>
      </c>
      <c r="O54" s="237" t="s">
        <v>458</v>
      </c>
      <c r="P54" s="236" t="s">
        <v>459</v>
      </c>
      <c r="Q54" s="237" t="s">
        <v>341</v>
      </c>
      <c r="R54" s="237" t="s">
        <v>29</v>
      </c>
      <c r="S54" s="237" t="s">
        <v>616</v>
      </c>
      <c r="T54" s="237"/>
      <c r="U54" s="226"/>
    </row>
    <row r="55" spans="1:21" ht="87.75">
      <c r="A55" s="252" t="s">
        <v>617</v>
      </c>
      <c r="B55" s="233" t="s">
        <v>618</v>
      </c>
      <c r="C55" s="233" t="s">
        <v>266</v>
      </c>
      <c r="D55" s="233" t="s">
        <v>619</v>
      </c>
      <c r="E55" s="233" t="s">
        <v>284</v>
      </c>
      <c r="F55" s="233"/>
      <c r="G55" s="247" t="s">
        <v>578</v>
      </c>
      <c r="H55" s="234"/>
      <c r="I55" s="233"/>
      <c r="J55" s="233"/>
      <c r="K55" s="234"/>
      <c r="L55" s="224"/>
      <c r="M55" s="235" t="s">
        <v>363</v>
      </c>
      <c r="N55" s="235" t="s">
        <v>363</v>
      </c>
      <c r="O55" s="237" t="s">
        <v>458</v>
      </c>
      <c r="P55" s="236" t="s">
        <v>459</v>
      </c>
      <c r="Q55" s="237" t="s">
        <v>341</v>
      </c>
      <c r="R55" s="237" t="s">
        <v>29</v>
      </c>
      <c r="S55" s="237" t="s">
        <v>620</v>
      </c>
      <c r="T55" s="237"/>
      <c r="U55" s="226"/>
    </row>
    <row r="56" spans="1:21" ht="70.5">
      <c r="A56" s="252" t="s">
        <v>564</v>
      </c>
      <c r="B56" s="233" t="s">
        <v>621</v>
      </c>
      <c r="C56" s="233" t="s">
        <v>387</v>
      </c>
      <c r="D56" s="233" t="s">
        <v>622</v>
      </c>
      <c r="E56" s="233" t="s">
        <v>284</v>
      </c>
      <c r="F56" s="233"/>
      <c r="G56" s="247" t="s">
        <v>584</v>
      </c>
      <c r="H56" s="234"/>
      <c r="I56" s="233"/>
      <c r="J56" s="233"/>
      <c r="K56" s="234"/>
      <c r="L56" s="224"/>
      <c r="M56" s="235" t="s">
        <v>363</v>
      </c>
      <c r="N56" s="235" t="s">
        <v>363</v>
      </c>
      <c r="O56" s="237" t="s">
        <v>458</v>
      </c>
      <c r="P56" s="236" t="s">
        <v>459</v>
      </c>
      <c r="Q56" s="237"/>
      <c r="R56" s="237"/>
      <c r="S56" s="237"/>
      <c r="T56" s="237"/>
      <c r="U56" s="226"/>
    </row>
    <row r="57" spans="1:21" ht="33">
      <c r="A57" s="252" t="s">
        <v>623</v>
      </c>
      <c r="B57" s="257" t="s">
        <v>624</v>
      </c>
      <c r="C57" s="257" t="s">
        <v>597</v>
      </c>
      <c r="D57" s="233" t="s">
        <v>625</v>
      </c>
      <c r="E57" s="233" t="s">
        <v>284</v>
      </c>
      <c r="F57" s="233"/>
      <c r="G57" s="234"/>
      <c r="H57" s="234"/>
      <c r="I57" s="233"/>
      <c r="J57" s="233"/>
      <c r="K57" s="234"/>
      <c r="L57" s="242" t="s">
        <v>600</v>
      </c>
      <c r="M57" s="235" t="s">
        <v>363</v>
      </c>
      <c r="N57" s="235" t="s">
        <v>363</v>
      </c>
      <c r="O57" s="237" t="s">
        <v>458</v>
      </c>
      <c r="P57" s="236" t="s">
        <v>459</v>
      </c>
      <c r="Q57" s="237"/>
      <c r="R57" s="237"/>
      <c r="S57" s="237"/>
      <c r="T57" s="237"/>
      <c r="U57" s="226"/>
    </row>
    <row r="58" spans="1:21" ht="33">
      <c r="A58" s="252" t="s">
        <v>626</v>
      </c>
      <c r="B58" s="233" t="s">
        <v>627</v>
      </c>
      <c r="C58" s="233" t="s">
        <v>266</v>
      </c>
      <c r="D58" s="233" t="s">
        <v>628</v>
      </c>
      <c r="E58" s="233" t="s">
        <v>284</v>
      </c>
      <c r="F58" s="233"/>
      <c r="G58" s="234"/>
      <c r="H58" s="234"/>
      <c r="I58" s="233"/>
      <c r="J58" s="233"/>
      <c r="K58" s="234"/>
      <c r="L58" s="242"/>
      <c r="M58" s="235" t="s">
        <v>363</v>
      </c>
      <c r="N58" s="235" t="s">
        <v>363</v>
      </c>
      <c r="O58" s="237" t="s">
        <v>458</v>
      </c>
      <c r="P58" s="236" t="s">
        <v>459</v>
      </c>
      <c r="Q58" s="237"/>
      <c r="R58" s="237"/>
      <c r="S58" s="237"/>
      <c r="T58" s="237"/>
      <c r="U58" s="226"/>
    </row>
    <row r="59" spans="1:21" ht="33">
      <c r="A59" s="252" t="s">
        <v>629</v>
      </c>
      <c r="B59" s="257" t="s">
        <v>630</v>
      </c>
      <c r="C59" s="257" t="s">
        <v>266</v>
      </c>
      <c r="D59" s="233" t="s">
        <v>631</v>
      </c>
      <c r="E59" s="233" t="s">
        <v>284</v>
      </c>
      <c r="F59" s="233"/>
      <c r="G59" s="234"/>
      <c r="H59" s="234"/>
      <c r="I59" s="233"/>
      <c r="J59" s="233"/>
      <c r="K59" s="234"/>
      <c r="L59" s="242" t="s">
        <v>594</v>
      </c>
      <c r="M59" s="235" t="s">
        <v>363</v>
      </c>
      <c r="N59" s="235" t="s">
        <v>363</v>
      </c>
      <c r="O59" s="237" t="s">
        <v>458</v>
      </c>
      <c r="P59" s="236" t="s">
        <v>459</v>
      </c>
      <c r="Q59" s="237"/>
      <c r="R59" s="237"/>
      <c r="S59" s="237"/>
      <c r="T59" s="237"/>
      <c r="U59" s="226"/>
    </row>
    <row r="60" spans="1:21" ht="83.25">
      <c r="A60" s="252" t="s">
        <v>632</v>
      </c>
      <c r="B60" s="233" t="s">
        <v>633</v>
      </c>
      <c r="C60" s="233" t="s">
        <v>271</v>
      </c>
      <c r="D60" s="233" t="s">
        <v>634</v>
      </c>
      <c r="E60" s="233" t="s">
        <v>284</v>
      </c>
      <c r="F60" s="233"/>
      <c r="G60" s="234"/>
      <c r="H60" s="234"/>
      <c r="I60" s="233"/>
      <c r="J60" s="233"/>
      <c r="K60" s="234"/>
      <c r="L60" s="242"/>
      <c r="M60" s="235" t="s">
        <v>363</v>
      </c>
      <c r="N60" s="235" t="s">
        <v>363</v>
      </c>
      <c r="O60" s="237" t="s">
        <v>635</v>
      </c>
      <c r="P60" s="236" t="s">
        <v>636</v>
      </c>
      <c r="Q60" s="237" t="s">
        <v>341</v>
      </c>
      <c r="R60" s="237" t="s">
        <v>29</v>
      </c>
      <c r="S60" s="237" t="s">
        <v>637</v>
      </c>
      <c r="T60" s="237"/>
      <c r="U60" s="226"/>
    </row>
    <row r="61" spans="1:21" ht="83.25">
      <c r="A61" s="252" t="s">
        <v>638</v>
      </c>
      <c r="B61" s="233" t="s">
        <v>639</v>
      </c>
      <c r="C61" s="233" t="s">
        <v>445</v>
      </c>
      <c r="D61" s="233" t="s">
        <v>640</v>
      </c>
      <c r="E61" s="233" t="s">
        <v>284</v>
      </c>
      <c r="F61" s="233"/>
      <c r="G61" s="234"/>
      <c r="H61" s="234" t="s">
        <v>641</v>
      </c>
      <c r="I61" s="233"/>
      <c r="J61" s="233"/>
      <c r="K61" s="234"/>
      <c r="L61" s="242"/>
      <c r="M61" s="235" t="s">
        <v>363</v>
      </c>
      <c r="N61" s="235" t="s">
        <v>363</v>
      </c>
      <c r="O61" s="237" t="s">
        <v>635</v>
      </c>
      <c r="P61" s="236" t="s">
        <v>636</v>
      </c>
      <c r="Q61" s="237"/>
      <c r="R61" s="237"/>
      <c r="S61" s="237"/>
      <c r="T61" s="237"/>
      <c r="U61" s="226"/>
    </row>
    <row r="62" spans="1:21" ht="264.75">
      <c r="A62" s="252" t="s">
        <v>642</v>
      </c>
      <c r="B62" s="253" t="s">
        <v>643</v>
      </c>
      <c r="C62" s="253" t="s">
        <v>351</v>
      </c>
      <c r="D62" s="253" t="s">
        <v>644</v>
      </c>
      <c r="E62" s="253" t="s">
        <v>284</v>
      </c>
      <c r="F62" s="253"/>
      <c r="G62" s="253"/>
      <c r="H62" s="253"/>
      <c r="I62" s="253"/>
      <c r="J62" s="258" t="s">
        <v>645</v>
      </c>
      <c r="K62" s="234"/>
      <c r="L62" s="242"/>
      <c r="M62" s="235" t="s">
        <v>363</v>
      </c>
      <c r="N62" s="235" t="s">
        <v>363</v>
      </c>
      <c r="O62" s="237" t="s">
        <v>635</v>
      </c>
      <c r="P62" s="236" t="s">
        <v>636</v>
      </c>
      <c r="Q62" s="237"/>
      <c r="R62" s="237"/>
      <c r="S62" s="237"/>
      <c r="T62" s="237"/>
      <c r="U62" s="226"/>
    </row>
    <row r="63" spans="1:21" ht="17.25">
      <c r="A63" s="252" t="s">
        <v>646</v>
      </c>
      <c r="B63" s="233" t="s">
        <v>647</v>
      </c>
      <c r="C63" s="233" t="s">
        <v>648</v>
      </c>
      <c r="D63" s="233" t="s">
        <v>649</v>
      </c>
      <c r="E63" s="233" t="s">
        <v>284</v>
      </c>
      <c r="F63" s="233"/>
      <c r="G63" s="234"/>
      <c r="H63" s="234" t="s">
        <v>650</v>
      </c>
      <c r="I63" s="233"/>
      <c r="J63" s="233"/>
      <c r="K63" s="234"/>
      <c r="L63" s="242"/>
      <c r="M63" s="235"/>
      <c r="N63" s="235"/>
      <c r="O63" s="237"/>
      <c r="P63" s="237"/>
      <c r="Q63" s="237"/>
      <c r="R63" s="237"/>
      <c r="S63" s="237"/>
      <c r="T63" s="237"/>
      <c r="U63" s="226"/>
    </row>
    <row r="64" spans="1:21" ht="83.25">
      <c r="A64" s="252" t="s">
        <v>651</v>
      </c>
      <c r="B64" s="233" t="s">
        <v>652</v>
      </c>
      <c r="C64" s="233" t="s">
        <v>648</v>
      </c>
      <c r="D64" s="233" t="s">
        <v>653</v>
      </c>
      <c r="E64" s="233" t="s">
        <v>284</v>
      </c>
      <c r="F64" s="233"/>
      <c r="G64" s="234"/>
      <c r="H64" s="234" t="s">
        <v>654</v>
      </c>
      <c r="I64" s="233"/>
      <c r="J64" s="233"/>
      <c r="K64" s="234" t="s">
        <v>655</v>
      </c>
      <c r="L64" s="242"/>
      <c r="M64" s="235" t="s">
        <v>363</v>
      </c>
      <c r="N64" s="235" t="s">
        <v>363</v>
      </c>
      <c r="O64" s="237" t="s">
        <v>635</v>
      </c>
      <c r="P64" s="236" t="s">
        <v>636</v>
      </c>
      <c r="Q64" s="237"/>
      <c r="R64" s="237"/>
      <c r="S64" s="237"/>
      <c r="T64" s="237"/>
      <c r="U64" s="226"/>
    </row>
    <row r="65" spans="1:21" ht="33">
      <c r="A65" s="252" t="s">
        <v>656</v>
      </c>
      <c r="B65" s="233" t="s">
        <v>657</v>
      </c>
      <c r="C65" s="233" t="s">
        <v>658</v>
      </c>
      <c r="D65" s="233" t="s">
        <v>659</v>
      </c>
      <c r="E65" s="233" t="s">
        <v>284</v>
      </c>
      <c r="F65" s="233"/>
      <c r="G65" s="234"/>
      <c r="H65" s="234"/>
      <c r="I65" s="233"/>
      <c r="J65" s="233"/>
      <c r="K65" s="234"/>
      <c r="L65" s="242"/>
      <c r="M65" s="235" t="s">
        <v>363</v>
      </c>
      <c r="N65" s="235" t="s">
        <v>363</v>
      </c>
      <c r="O65" s="237" t="s">
        <v>458</v>
      </c>
      <c r="P65" s="236" t="s">
        <v>459</v>
      </c>
      <c r="Q65" s="237"/>
      <c r="R65" s="237"/>
      <c r="S65" s="237"/>
      <c r="T65" s="237"/>
      <c r="U65" s="226"/>
    </row>
    <row r="66" spans="1:21" ht="53.25">
      <c r="A66" s="252" t="s">
        <v>660</v>
      </c>
      <c r="B66" s="233" t="s">
        <v>661</v>
      </c>
      <c r="C66" s="233" t="s">
        <v>291</v>
      </c>
      <c r="D66" s="233" t="s">
        <v>662</v>
      </c>
      <c r="E66" s="233" t="s">
        <v>284</v>
      </c>
      <c r="F66" s="233"/>
      <c r="G66" s="247" t="s">
        <v>663</v>
      </c>
      <c r="H66" s="234" t="s">
        <v>357</v>
      </c>
      <c r="I66" s="233"/>
      <c r="J66" s="233"/>
      <c r="K66" s="234"/>
      <c r="L66" s="242"/>
      <c r="M66" s="235" t="s">
        <v>363</v>
      </c>
      <c r="N66" s="235" t="s">
        <v>363</v>
      </c>
      <c r="O66" s="237" t="s">
        <v>458</v>
      </c>
      <c r="P66" s="236" t="s">
        <v>459</v>
      </c>
      <c r="Q66" s="237"/>
      <c r="R66" s="237"/>
      <c r="S66" s="237"/>
      <c r="T66" s="237"/>
      <c r="U66" s="226"/>
    </row>
    <row r="67" spans="1:21" ht="33">
      <c r="A67" s="252" t="s">
        <v>664</v>
      </c>
      <c r="B67" s="233" t="s">
        <v>665</v>
      </c>
      <c r="C67" s="233" t="s">
        <v>271</v>
      </c>
      <c r="D67" s="233" t="s">
        <v>666</v>
      </c>
      <c r="E67" s="233" t="s">
        <v>284</v>
      </c>
      <c r="F67" s="233"/>
      <c r="G67" s="234"/>
      <c r="H67" s="234" t="s">
        <v>667</v>
      </c>
      <c r="I67" s="233"/>
      <c r="J67" s="233"/>
      <c r="K67" s="234"/>
      <c r="L67" s="242"/>
      <c r="M67" s="235" t="s">
        <v>363</v>
      </c>
      <c r="N67" s="235" t="s">
        <v>363</v>
      </c>
      <c r="O67" s="237" t="s">
        <v>458</v>
      </c>
      <c r="P67" s="236" t="s">
        <v>459</v>
      </c>
      <c r="Q67" s="237"/>
      <c r="R67" s="237"/>
      <c r="S67" s="237"/>
      <c r="T67" s="237"/>
      <c r="U67" s="226"/>
    </row>
    <row r="68" spans="1:21" ht="17.25">
      <c r="A68" s="252" t="s">
        <v>668</v>
      </c>
      <c r="B68" s="233" t="s">
        <v>669</v>
      </c>
      <c r="C68" s="233" t="s">
        <v>271</v>
      </c>
      <c r="D68" s="233" t="s">
        <v>670</v>
      </c>
      <c r="E68" s="233" t="s">
        <v>284</v>
      </c>
      <c r="F68" s="233"/>
      <c r="G68" s="234"/>
      <c r="H68" s="234" t="s">
        <v>439</v>
      </c>
      <c r="I68" s="233"/>
      <c r="J68" s="233"/>
      <c r="K68" s="234"/>
      <c r="L68" s="242"/>
      <c r="M68" s="235"/>
      <c r="N68" s="235"/>
      <c r="O68" s="237"/>
      <c r="P68" s="237"/>
      <c r="Q68" s="237"/>
      <c r="R68" s="237"/>
      <c r="S68" s="237"/>
      <c r="T68" s="237"/>
      <c r="U68" s="226"/>
    </row>
    <row r="69" spans="1:21" ht="17.25">
      <c r="A69" s="252" t="s">
        <v>671</v>
      </c>
      <c r="B69" s="233" t="s">
        <v>672</v>
      </c>
      <c r="C69" s="233" t="s">
        <v>351</v>
      </c>
      <c r="D69" s="233" t="s">
        <v>673</v>
      </c>
      <c r="E69" s="233" t="s">
        <v>284</v>
      </c>
      <c r="F69" s="233"/>
      <c r="G69" s="234"/>
      <c r="H69" s="234"/>
      <c r="I69" s="233"/>
      <c r="J69" s="233" t="s">
        <v>674</v>
      </c>
      <c r="K69" s="234" t="s">
        <v>354</v>
      </c>
      <c r="L69" s="242"/>
      <c r="M69" s="235"/>
      <c r="N69" s="235"/>
      <c r="O69" s="237"/>
      <c r="P69" s="237"/>
      <c r="Q69" s="237"/>
      <c r="R69" s="237"/>
      <c r="S69" s="237"/>
      <c r="T69" s="237"/>
      <c r="U69" s="226"/>
    </row>
    <row r="70" spans="1:21" ht="17.25">
      <c r="A70" s="252" t="s">
        <v>675</v>
      </c>
      <c r="B70" s="233" t="s">
        <v>676</v>
      </c>
      <c r="C70" s="233" t="s">
        <v>271</v>
      </c>
      <c r="D70" s="233" t="s">
        <v>677</v>
      </c>
      <c r="E70" s="233" t="s">
        <v>284</v>
      </c>
      <c r="F70" s="233"/>
      <c r="G70" s="234"/>
      <c r="H70" s="234"/>
      <c r="I70" s="233"/>
      <c r="J70" s="233"/>
      <c r="K70" s="234" t="s">
        <v>354</v>
      </c>
      <c r="L70" s="242"/>
      <c r="M70" s="235"/>
      <c r="N70" s="235"/>
      <c r="O70" s="237"/>
      <c r="P70" s="237"/>
      <c r="Q70" s="237"/>
      <c r="R70" s="237"/>
      <c r="S70" s="237"/>
      <c r="T70" s="237"/>
      <c r="U70" s="226"/>
    </row>
    <row r="71" spans="1:21" ht="17.25">
      <c r="A71" s="252" t="s">
        <v>678</v>
      </c>
      <c r="B71" s="233" t="s">
        <v>679</v>
      </c>
      <c r="C71" s="233" t="s">
        <v>266</v>
      </c>
      <c r="D71" s="233" t="s">
        <v>680</v>
      </c>
      <c r="E71" s="233" t="s">
        <v>284</v>
      </c>
      <c r="F71" s="233"/>
      <c r="G71" s="234"/>
      <c r="H71" s="234"/>
      <c r="I71" s="233"/>
      <c r="J71" s="233" t="s">
        <v>681</v>
      </c>
      <c r="K71" s="234" t="s">
        <v>354</v>
      </c>
      <c r="L71" s="242"/>
      <c r="M71" s="235"/>
      <c r="N71" s="235"/>
      <c r="O71" s="237"/>
      <c r="P71" s="237"/>
      <c r="Q71" s="237"/>
      <c r="R71" s="237"/>
      <c r="S71" s="237"/>
      <c r="T71" s="237"/>
      <c r="U71" s="226"/>
    </row>
    <row r="72" spans="1:21" ht="66.75">
      <c r="A72" s="252" t="s">
        <v>682</v>
      </c>
      <c r="B72" s="253" t="s">
        <v>683</v>
      </c>
      <c r="C72" s="253" t="s">
        <v>378</v>
      </c>
      <c r="D72" s="253" t="s">
        <v>684</v>
      </c>
      <c r="E72" s="253" t="s">
        <v>260</v>
      </c>
      <c r="F72" s="253"/>
      <c r="G72" s="258"/>
      <c r="H72" s="258" t="s">
        <v>380</v>
      </c>
      <c r="I72" s="253"/>
      <c r="J72" s="253"/>
      <c r="K72" s="258" t="s">
        <v>685</v>
      </c>
      <c r="L72" s="242"/>
      <c r="M72" s="243"/>
      <c r="N72" s="243"/>
      <c r="O72" s="236"/>
      <c r="P72" s="236"/>
      <c r="Q72" s="237" t="s">
        <v>341</v>
      </c>
      <c r="R72" s="237" t="s">
        <v>29</v>
      </c>
      <c r="S72" s="245" t="s">
        <v>686</v>
      </c>
      <c r="T72" s="298" t="s">
        <v>687</v>
      </c>
      <c r="U72" s="226"/>
    </row>
    <row r="73" spans="1:21" ht="17.25">
      <c r="A73" s="252" t="s">
        <v>688</v>
      </c>
      <c r="B73" s="253" t="s">
        <v>689</v>
      </c>
      <c r="C73" s="253" t="s">
        <v>271</v>
      </c>
      <c r="D73" s="253" t="s">
        <v>690</v>
      </c>
      <c r="E73" s="253" t="s">
        <v>260</v>
      </c>
      <c r="F73" s="253"/>
      <c r="G73" s="258"/>
      <c r="H73" s="258" t="s">
        <v>691</v>
      </c>
      <c r="I73" s="253"/>
      <c r="J73" s="253"/>
      <c r="K73" s="258"/>
      <c r="L73" s="224"/>
      <c r="M73" s="248"/>
      <c r="N73" s="243"/>
      <c r="O73" s="237"/>
      <c r="P73" s="237"/>
      <c r="Q73" s="237" t="s">
        <v>341</v>
      </c>
      <c r="R73" s="237" t="s">
        <v>29</v>
      </c>
      <c r="S73" s="237" t="s">
        <v>348</v>
      </c>
      <c r="T73" s="237"/>
      <c r="U73" s="226"/>
    </row>
    <row r="74" spans="1:21" ht="53.25">
      <c r="A74" s="252" t="s">
        <v>692</v>
      </c>
      <c r="B74" s="246" t="s">
        <v>693</v>
      </c>
      <c r="C74" s="253" t="s">
        <v>378</v>
      </c>
      <c r="D74" s="253" t="s">
        <v>694</v>
      </c>
      <c r="E74" s="253" t="s">
        <v>284</v>
      </c>
      <c r="F74" s="253"/>
      <c r="G74" s="258"/>
      <c r="H74" s="258" t="s">
        <v>695</v>
      </c>
      <c r="I74" s="253"/>
      <c r="J74" s="253"/>
      <c r="K74" s="258" t="s">
        <v>696</v>
      </c>
      <c r="L74" s="224"/>
      <c r="M74" s="248"/>
      <c r="N74" s="243"/>
      <c r="O74" s="237"/>
      <c r="P74" s="237"/>
      <c r="Q74" s="237" t="s">
        <v>355</v>
      </c>
      <c r="R74" s="237"/>
      <c r="S74" s="245"/>
      <c r="T74" s="236" t="s">
        <v>697</v>
      </c>
      <c r="U74" s="226"/>
    </row>
    <row r="75" spans="1:21" ht="33">
      <c r="A75" s="252" t="s">
        <v>698</v>
      </c>
      <c r="B75" s="253" t="s">
        <v>699</v>
      </c>
      <c r="C75" s="253" t="s">
        <v>271</v>
      </c>
      <c r="D75" s="253" t="s">
        <v>700</v>
      </c>
      <c r="E75" s="253" t="s">
        <v>284</v>
      </c>
      <c r="F75" s="253"/>
      <c r="G75" s="258"/>
      <c r="H75" s="258" t="s">
        <v>691</v>
      </c>
      <c r="I75" s="253"/>
      <c r="J75" s="253"/>
      <c r="K75" s="258"/>
      <c r="L75" s="224"/>
      <c r="M75" s="248"/>
      <c r="N75" s="243"/>
      <c r="O75" s="237"/>
      <c r="P75" s="237"/>
      <c r="Q75" s="237" t="s">
        <v>355</v>
      </c>
      <c r="R75" s="237"/>
      <c r="S75" s="237"/>
      <c r="T75" s="236" t="s">
        <v>701</v>
      </c>
      <c r="U75" s="226"/>
    </row>
    <row r="76" spans="1:21" ht="17.25">
      <c r="A76" s="252" t="s">
        <v>702</v>
      </c>
      <c r="B76" s="246" t="s">
        <v>703</v>
      </c>
      <c r="C76" s="253" t="s">
        <v>378</v>
      </c>
      <c r="D76" s="253" t="s">
        <v>704</v>
      </c>
      <c r="E76" s="253" t="s">
        <v>284</v>
      </c>
      <c r="F76" s="253"/>
      <c r="G76" s="258"/>
      <c r="H76" s="258" t="s">
        <v>695</v>
      </c>
      <c r="I76" s="253"/>
      <c r="J76" s="253"/>
      <c r="K76" s="258"/>
      <c r="L76" s="224"/>
      <c r="M76" s="248"/>
      <c r="N76" s="248"/>
      <c r="O76" s="237"/>
      <c r="P76" s="237"/>
      <c r="Q76" s="237" t="s">
        <v>355</v>
      </c>
      <c r="R76" s="237"/>
      <c r="S76" s="237"/>
      <c r="T76" s="237" t="s">
        <v>705</v>
      </c>
      <c r="U76" s="226"/>
    </row>
    <row r="77" spans="1:21" ht="17.25">
      <c r="A77" s="252" t="s">
        <v>706</v>
      </c>
      <c r="B77" s="253" t="s">
        <v>707</v>
      </c>
      <c r="C77" s="253" t="s">
        <v>271</v>
      </c>
      <c r="D77" s="253" t="s">
        <v>708</v>
      </c>
      <c r="E77" s="253" t="s">
        <v>284</v>
      </c>
      <c r="F77" s="253"/>
      <c r="G77" s="258"/>
      <c r="H77" s="258" t="s">
        <v>691</v>
      </c>
      <c r="I77" s="253"/>
      <c r="J77" s="253"/>
      <c r="K77" s="258"/>
      <c r="L77" s="224"/>
      <c r="M77" s="248"/>
      <c r="N77" s="248"/>
      <c r="O77" s="237"/>
      <c r="P77" s="237"/>
      <c r="Q77" s="237" t="s">
        <v>355</v>
      </c>
      <c r="R77" s="237"/>
      <c r="S77" s="237"/>
      <c r="T77" s="237" t="s">
        <v>705</v>
      </c>
      <c r="U77" s="226"/>
    </row>
  </sheetData>
  <hyperlinks>
    <hyperlink ref="C3" r:id="rId1" xr:uid="{4C2999FC-1BAD-49A1-A1B0-9EA9F61412A3}"/>
    <hyperlink ref="G15" r:id="rId2" xr:uid="{E6189230-410A-4D48-80E9-F2F881DE46A3}"/>
    <hyperlink ref="G16" r:id="rId3" xr:uid="{944FD695-D258-4EFC-848B-DF465B4A55F1}"/>
    <hyperlink ref="G17" r:id="rId4" xr:uid="{928C9E0C-69DD-4165-8099-2CE0E81C621B}"/>
    <hyperlink ref="J31" r:id="rId5" xr:uid="{D826A692-A5A2-4688-BDFE-2F51B539C3CB}"/>
    <hyperlink ref="K31" r:id="rId6" xr:uid="{70662773-FDC2-4884-AB4E-590DD757E8BC}"/>
    <hyperlink ref="G34" r:id="rId7" xr:uid="{C1CF2B22-80F6-408A-A302-24EA77FFC29E}"/>
    <hyperlink ref="G35" r:id="rId8" xr:uid="{FB442FF2-3320-4656-BEF5-262B8E1DEC07}"/>
    <hyperlink ref="H38" r:id="rId9" xr:uid="{2D172ABE-DFD3-41C3-B696-59DBE8F65860}"/>
    <hyperlink ref="G43" r:id="rId10" xr:uid="{E4C192D0-1058-4138-8FD1-F6F6250DE05E}"/>
    <hyperlink ref="G44" r:id="rId11" xr:uid="{39F8C1BA-CE4A-4D4A-8E31-B27BADD39F11}"/>
    <hyperlink ref="G45" r:id="rId12" xr:uid="{17EC10C8-D0B5-40E0-91F8-1D859A896C31}"/>
    <hyperlink ref="G46" r:id="rId13" xr:uid="{8C58B649-C961-4CFA-AEA5-ED5C4D038DDF}"/>
    <hyperlink ref="G47" r:id="rId14" xr:uid="{61730DFC-B783-46A8-8A14-571A52FB8254}"/>
    <hyperlink ref="G51" r:id="rId15" xr:uid="{BBB9D20C-DF45-44D8-AC30-A8F585E4A85D}"/>
    <hyperlink ref="G52" r:id="rId16" xr:uid="{FD029FA0-5B1E-4DF6-8E4D-F37C73E96800}"/>
    <hyperlink ref="G53" r:id="rId17" xr:uid="{40626780-BE26-416E-A2F2-4868DB8D4C5F}"/>
    <hyperlink ref="G54" r:id="rId18" xr:uid="{EC308BB6-F84C-4372-A378-18768589D509}"/>
    <hyperlink ref="G55" r:id="rId19" xr:uid="{94EE55CF-AD36-4B77-9B31-C943F1C7E8CC}"/>
    <hyperlink ref="G56" r:id="rId20" xr:uid="{29BF28E8-AE03-4901-8761-B8075F1DC851}"/>
    <hyperlink ref="G66" r:id="rId21" xr:uid="{0BF5548B-95FF-4972-A2AA-E547A2C0D8A3}"/>
    <hyperlink ref="D6" r:id="rId22" xr:uid="{CC9C67A6-557D-42AF-92BE-2950B83BBB3A}"/>
    <hyperlink ref="C4" r:id="rId23" display="https://tliidp-my.sharepoint.com/:x:/r/personal/banharn_swan_thailife_com/Documents/Projects/NASA%20Project/NASA_R2/SA%20Documents/Technical%20Solution/%5BNASA_R2%5D%20Migration%20data%20%26%20support%20existing%20case%20from%20TLPro.xlsx?d=w0ce4cfa6e2484346882e1ee4af36fcea&amp;csf=1&amp;web=1&amp;e=AyYFrF&amp;nav=MTVfezcyNjI5NjQ3LUE1MzItNERGNC1CQjhBLTlCMERGMENCMEJGQ30" xr:uid="{987C21BF-FA6A-4575-B8EF-946B734D021B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A2BA8-60CA-45AE-9190-8C3E583FD575}">
  <sheetPr>
    <tabColor theme="4" tint="0.59999389629810485"/>
  </sheetPr>
  <dimension ref="A2:AA26"/>
  <sheetViews>
    <sheetView topLeftCell="D21" workbookViewId="0">
      <selection activeCell="H36" sqref="H36"/>
    </sheetView>
  </sheetViews>
  <sheetFormatPr defaultRowHeight="15"/>
  <cols>
    <col min="1" max="1" width="5" customWidth="1"/>
    <col min="2" max="2" width="26" customWidth="1"/>
    <col min="3" max="3" width="11.5703125" customWidth="1"/>
    <col min="4" max="4" width="54.42578125" customWidth="1"/>
    <col min="7" max="7" width="25.7109375" customWidth="1"/>
    <col min="8" max="8" width="26.42578125" bestFit="1" customWidth="1"/>
    <col min="9" max="9" width="17.140625" customWidth="1"/>
    <col min="10" max="10" width="17.85546875" customWidth="1"/>
    <col min="11" max="11" width="45.7109375" customWidth="1"/>
    <col min="12" max="12" width="63" customWidth="1"/>
    <col min="14" max="14" width="32.7109375" customWidth="1"/>
  </cols>
  <sheetData>
    <row r="2" spans="1:27">
      <c r="A2" s="21"/>
      <c r="B2" s="22" t="s">
        <v>323</v>
      </c>
      <c r="C2" s="23" t="s">
        <v>33</v>
      </c>
      <c r="D2" s="24"/>
      <c r="F2" s="16"/>
      <c r="G2" s="25"/>
      <c r="H2" s="25"/>
      <c r="I2" s="16"/>
      <c r="J2" s="16"/>
      <c r="K2" s="25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ht="17.25">
      <c r="A3" s="6" t="s">
        <v>247</v>
      </c>
      <c r="B3" s="7" t="s">
        <v>248</v>
      </c>
      <c r="C3" s="7" t="s">
        <v>17</v>
      </c>
      <c r="D3" s="7" t="s">
        <v>249</v>
      </c>
      <c r="E3" s="7" t="s">
        <v>250</v>
      </c>
      <c r="F3" s="7" t="s">
        <v>251</v>
      </c>
      <c r="G3" s="12" t="s">
        <v>252</v>
      </c>
      <c r="H3" s="12" t="s">
        <v>253</v>
      </c>
      <c r="I3" s="7" t="s">
        <v>254</v>
      </c>
      <c r="J3" s="7" t="s">
        <v>255</v>
      </c>
      <c r="K3" s="12" t="s">
        <v>256</v>
      </c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ht="36">
      <c r="A4" s="27" t="s">
        <v>338</v>
      </c>
      <c r="B4" s="9" t="s">
        <v>709</v>
      </c>
      <c r="C4" s="8" t="s">
        <v>258</v>
      </c>
      <c r="D4" s="8" t="s">
        <v>710</v>
      </c>
      <c r="E4" s="18" t="s">
        <v>260</v>
      </c>
      <c r="F4" s="8" t="s">
        <v>261</v>
      </c>
      <c r="G4" s="14" t="s">
        <v>711</v>
      </c>
      <c r="H4" s="11" t="s">
        <v>263</v>
      </c>
      <c r="I4" s="8"/>
      <c r="J4" s="8"/>
      <c r="K4" s="11"/>
      <c r="L4" s="16"/>
      <c r="M4" s="16"/>
      <c r="N4" s="2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ht="91.5">
      <c r="A5" s="27" t="s">
        <v>343</v>
      </c>
      <c r="B5" s="9" t="s">
        <v>712</v>
      </c>
      <c r="C5" s="8" t="s">
        <v>713</v>
      </c>
      <c r="D5" s="8" t="s">
        <v>714</v>
      </c>
      <c r="E5" s="18" t="s">
        <v>260</v>
      </c>
      <c r="F5" s="8" t="s">
        <v>261</v>
      </c>
      <c r="G5" s="11"/>
      <c r="H5" s="11" t="s">
        <v>360</v>
      </c>
      <c r="I5" s="8"/>
      <c r="J5" s="9" t="s">
        <v>715</v>
      </c>
      <c r="K5" s="13" t="s">
        <v>716</v>
      </c>
      <c r="L5" s="16"/>
      <c r="M5" s="16"/>
      <c r="N5" s="2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ht="53.25">
      <c r="A6" s="27" t="s">
        <v>349</v>
      </c>
      <c r="B6" s="8" t="s">
        <v>717</v>
      </c>
      <c r="C6" s="8" t="s">
        <v>387</v>
      </c>
      <c r="D6" s="8" t="s">
        <v>718</v>
      </c>
      <c r="E6" s="18" t="s">
        <v>284</v>
      </c>
      <c r="F6" s="8"/>
      <c r="G6" s="14" t="s">
        <v>719</v>
      </c>
      <c r="H6" s="11" t="s">
        <v>360</v>
      </c>
      <c r="I6" s="8"/>
      <c r="J6" s="9" t="s">
        <v>715</v>
      </c>
      <c r="K6" s="11" t="s">
        <v>720</v>
      </c>
      <c r="L6" s="16"/>
      <c r="M6" s="16"/>
      <c r="N6" s="2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ht="36">
      <c r="A7" s="27" t="s">
        <v>357</v>
      </c>
      <c r="B7" s="8" t="s">
        <v>721</v>
      </c>
      <c r="C7" s="8" t="s">
        <v>503</v>
      </c>
      <c r="D7" s="8" t="s">
        <v>722</v>
      </c>
      <c r="E7" s="18" t="s">
        <v>260</v>
      </c>
      <c r="F7" s="8"/>
      <c r="G7" s="11"/>
      <c r="H7" s="11" t="b">
        <v>1</v>
      </c>
      <c r="I7" s="8"/>
      <c r="J7" s="8"/>
      <c r="K7" s="11" t="s">
        <v>723</v>
      </c>
      <c r="L7" s="16"/>
      <c r="M7" s="16"/>
      <c r="N7" s="2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ht="17.25">
      <c r="A8" s="27" t="s">
        <v>367</v>
      </c>
      <c r="B8" s="8" t="s">
        <v>724</v>
      </c>
      <c r="C8" s="8" t="s">
        <v>271</v>
      </c>
      <c r="D8" s="8" t="s">
        <v>725</v>
      </c>
      <c r="E8" s="18" t="s">
        <v>284</v>
      </c>
      <c r="F8" s="8"/>
      <c r="G8" s="11"/>
      <c r="H8" s="11" t="s">
        <v>726</v>
      </c>
      <c r="I8" s="8"/>
      <c r="J8" s="8"/>
      <c r="K8" s="11"/>
      <c r="L8" s="16"/>
      <c r="M8" s="16"/>
      <c r="N8" s="2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ht="17.25">
      <c r="A9" s="27" t="s">
        <v>385</v>
      </c>
      <c r="B9" s="8" t="s">
        <v>727</v>
      </c>
      <c r="C9" s="8" t="s">
        <v>271</v>
      </c>
      <c r="D9" s="8" t="s">
        <v>728</v>
      </c>
      <c r="E9" s="18" t="s">
        <v>284</v>
      </c>
      <c r="F9" s="8"/>
      <c r="G9" s="11"/>
      <c r="H9" s="11"/>
      <c r="I9" s="8"/>
      <c r="J9" s="8"/>
      <c r="K9" s="11" t="s">
        <v>729</v>
      </c>
      <c r="L9" s="16"/>
      <c r="M9" s="16"/>
      <c r="N9" s="2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ht="17.25">
      <c r="A10" s="27" t="s">
        <v>395</v>
      </c>
      <c r="B10" s="8" t="s">
        <v>730</v>
      </c>
      <c r="C10" s="8" t="s">
        <v>271</v>
      </c>
      <c r="D10" s="8" t="s">
        <v>731</v>
      </c>
      <c r="E10" s="18" t="s">
        <v>284</v>
      </c>
      <c r="F10" s="8"/>
      <c r="G10" s="11"/>
      <c r="H10" s="11" t="s">
        <v>395</v>
      </c>
      <c r="I10" s="8"/>
      <c r="J10" s="8"/>
      <c r="K10" s="11"/>
      <c r="L10" s="16"/>
      <c r="M10" s="16"/>
      <c r="N10" s="2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ht="17.25">
      <c r="A11" s="27" t="s">
        <v>402</v>
      </c>
      <c r="B11" s="8" t="s">
        <v>732</v>
      </c>
      <c r="C11" s="8" t="s">
        <v>271</v>
      </c>
      <c r="D11" s="8" t="s">
        <v>733</v>
      </c>
      <c r="E11" s="18" t="s">
        <v>284</v>
      </c>
      <c r="F11" s="8"/>
      <c r="G11" s="11"/>
      <c r="H11" s="11" t="s">
        <v>734</v>
      </c>
      <c r="I11" s="8"/>
      <c r="J11" s="8"/>
      <c r="K11" s="11"/>
      <c r="L11" s="16"/>
      <c r="M11" s="16"/>
      <c r="N11" s="2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ht="17.25">
      <c r="A12" s="27" t="s">
        <v>412</v>
      </c>
      <c r="B12" s="8" t="s">
        <v>735</v>
      </c>
      <c r="C12" s="8" t="s">
        <v>271</v>
      </c>
      <c r="D12" s="8" t="s">
        <v>736</v>
      </c>
      <c r="E12" s="18" t="s">
        <v>284</v>
      </c>
      <c r="F12" s="8"/>
      <c r="G12" s="11"/>
      <c r="H12" s="11" t="s">
        <v>370</v>
      </c>
      <c r="I12" s="8"/>
      <c r="J12" s="8"/>
      <c r="K12" s="11"/>
      <c r="L12" s="16"/>
      <c r="M12" s="16"/>
      <c r="N12" s="2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ht="17.25">
      <c r="A13" s="27" t="s">
        <v>419</v>
      </c>
      <c r="B13" s="8" t="s">
        <v>737</v>
      </c>
      <c r="C13" s="8" t="s">
        <v>271</v>
      </c>
      <c r="D13" s="8" t="s">
        <v>738</v>
      </c>
      <c r="E13" s="18" t="s">
        <v>284</v>
      </c>
      <c r="F13" s="8"/>
      <c r="G13" s="11"/>
      <c r="H13" s="11" t="s">
        <v>527</v>
      </c>
      <c r="I13" s="8"/>
      <c r="J13" s="8"/>
      <c r="K13" s="11"/>
      <c r="L13" s="16"/>
      <c r="M13" s="16"/>
      <c r="N13" s="2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17.25">
      <c r="A14" s="27" t="s">
        <v>425</v>
      </c>
      <c r="B14" s="8" t="s">
        <v>739</v>
      </c>
      <c r="C14" s="8" t="s">
        <v>271</v>
      </c>
      <c r="D14" s="8" t="s">
        <v>740</v>
      </c>
      <c r="E14" s="18" t="s">
        <v>284</v>
      </c>
      <c r="F14" s="8"/>
      <c r="G14" s="11"/>
      <c r="H14" s="11" t="s">
        <v>741</v>
      </c>
      <c r="I14" s="8"/>
      <c r="J14" s="8"/>
      <c r="K14" s="11"/>
      <c r="L14" s="16"/>
      <c r="M14" s="16"/>
      <c r="N14" s="2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>
      <c r="A15" s="27" t="s">
        <v>431</v>
      </c>
      <c r="B15" s="8" t="s">
        <v>742</v>
      </c>
      <c r="C15" s="8" t="s">
        <v>271</v>
      </c>
      <c r="D15" s="8" t="s">
        <v>743</v>
      </c>
      <c r="E15" s="18" t="s">
        <v>284</v>
      </c>
      <c r="F15" s="8"/>
      <c r="G15" s="11"/>
      <c r="H15" s="11"/>
      <c r="I15" s="8"/>
      <c r="J15" s="8"/>
      <c r="K15" s="11"/>
      <c r="L15" s="16"/>
      <c r="M15" s="16"/>
      <c r="N15" s="2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17.25">
      <c r="A16" s="27" t="s">
        <v>436</v>
      </c>
      <c r="B16" s="8" t="s">
        <v>744</v>
      </c>
      <c r="C16" s="8" t="s">
        <v>271</v>
      </c>
      <c r="D16" s="8" t="s">
        <v>745</v>
      </c>
      <c r="E16" s="18" t="s">
        <v>284</v>
      </c>
      <c r="F16" s="8"/>
      <c r="G16" s="11"/>
      <c r="H16" s="11" t="s">
        <v>746</v>
      </c>
      <c r="I16" s="8"/>
      <c r="J16" s="8"/>
      <c r="K16" s="11"/>
      <c r="L16" s="16"/>
      <c r="M16" s="16"/>
      <c r="N16" s="2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7.25">
      <c r="A17" s="27" t="s">
        <v>443</v>
      </c>
      <c r="B17" s="8" t="s">
        <v>747</v>
      </c>
      <c r="C17" s="8" t="s">
        <v>271</v>
      </c>
      <c r="D17" s="8" t="s">
        <v>748</v>
      </c>
      <c r="E17" s="18" t="s">
        <v>284</v>
      </c>
      <c r="F17" s="8"/>
      <c r="G17" s="11"/>
      <c r="H17" s="11" t="s">
        <v>749</v>
      </c>
      <c r="I17" s="8"/>
      <c r="J17" s="8"/>
      <c r="K17" s="11"/>
      <c r="L17" s="16"/>
      <c r="M17" s="16"/>
      <c r="N17" s="2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17.25">
      <c r="A18" s="27" t="s">
        <v>451</v>
      </c>
      <c r="B18" s="8" t="s">
        <v>750</v>
      </c>
      <c r="C18" s="8" t="s">
        <v>266</v>
      </c>
      <c r="D18" s="8" t="s">
        <v>751</v>
      </c>
      <c r="E18" s="18" t="s">
        <v>284</v>
      </c>
      <c r="F18" s="8"/>
      <c r="G18" s="11"/>
      <c r="H18" s="11" t="s">
        <v>752</v>
      </c>
      <c r="I18" s="8"/>
      <c r="J18" s="8"/>
      <c r="K18" s="11"/>
      <c r="L18" s="16"/>
      <c r="M18" s="16"/>
      <c r="N18" s="2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17.25">
      <c r="A19" s="27" t="s">
        <v>460</v>
      </c>
      <c r="B19" s="8" t="s">
        <v>753</v>
      </c>
      <c r="C19" s="8" t="s">
        <v>266</v>
      </c>
      <c r="D19" s="8" t="s">
        <v>754</v>
      </c>
      <c r="E19" s="18" t="s">
        <v>284</v>
      </c>
      <c r="F19" s="8"/>
      <c r="G19" s="11"/>
      <c r="H19" s="11" t="s">
        <v>755</v>
      </c>
      <c r="I19" s="8"/>
      <c r="J19" s="8"/>
      <c r="K19" s="11"/>
      <c r="L19" s="16"/>
      <c r="M19" s="16"/>
      <c r="N19" s="2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17.25">
      <c r="A20" s="27" t="s">
        <v>467</v>
      </c>
      <c r="B20" s="8" t="s">
        <v>756</v>
      </c>
      <c r="C20" s="8" t="s">
        <v>266</v>
      </c>
      <c r="D20" s="8" t="s">
        <v>757</v>
      </c>
      <c r="E20" s="18" t="s">
        <v>284</v>
      </c>
      <c r="F20" s="8"/>
      <c r="G20" s="11"/>
      <c r="H20" s="11" t="s">
        <v>758</v>
      </c>
      <c r="I20" s="8"/>
      <c r="J20" s="8"/>
      <c r="K20" s="11"/>
      <c r="L20" s="16"/>
      <c r="M20" s="16"/>
      <c r="N20" s="2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17.25">
      <c r="A21" s="27" t="s">
        <v>472</v>
      </c>
      <c r="B21" s="8" t="s">
        <v>759</v>
      </c>
      <c r="C21" s="8" t="s">
        <v>387</v>
      </c>
      <c r="D21" s="8" t="s">
        <v>760</v>
      </c>
      <c r="E21" s="18" t="s">
        <v>284</v>
      </c>
      <c r="F21" s="8"/>
      <c r="G21" s="11"/>
      <c r="H21" s="11" t="s">
        <v>761</v>
      </c>
      <c r="I21" s="8"/>
      <c r="J21" s="8"/>
      <c r="K21" s="11"/>
      <c r="L21" s="16"/>
      <c r="M21" s="16"/>
      <c r="N21" s="2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17.25">
      <c r="A22" s="27" t="s">
        <v>475</v>
      </c>
      <c r="B22" s="8" t="s">
        <v>762</v>
      </c>
      <c r="C22" s="8" t="s">
        <v>291</v>
      </c>
      <c r="D22" s="8" t="s">
        <v>763</v>
      </c>
      <c r="E22" s="18" t="s">
        <v>284</v>
      </c>
      <c r="F22" s="8"/>
      <c r="G22" s="11"/>
      <c r="H22" s="11"/>
      <c r="I22" s="8"/>
      <c r="J22" s="8"/>
      <c r="K22" s="11" t="s">
        <v>354</v>
      </c>
      <c r="L22" s="16"/>
      <c r="M22" s="16"/>
      <c r="N22" s="2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36">
      <c r="A23" s="27" t="s">
        <v>483</v>
      </c>
      <c r="B23" s="10" t="s">
        <v>683</v>
      </c>
      <c r="C23" s="10" t="s">
        <v>378</v>
      </c>
      <c r="D23" s="10" t="s">
        <v>684</v>
      </c>
      <c r="E23" s="20" t="s">
        <v>260</v>
      </c>
      <c r="F23" s="10"/>
      <c r="G23" s="15"/>
      <c r="H23" s="15" t="s">
        <v>380</v>
      </c>
      <c r="I23" s="10"/>
      <c r="J23" s="10"/>
      <c r="K23" s="15" t="s">
        <v>685</v>
      </c>
      <c r="L23" s="16"/>
      <c r="M23" s="16"/>
      <c r="N23" s="2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17.25">
      <c r="A24" s="27" t="s">
        <v>487</v>
      </c>
      <c r="B24" s="10" t="s">
        <v>689</v>
      </c>
      <c r="C24" s="10" t="s">
        <v>271</v>
      </c>
      <c r="D24" s="10" t="s">
        <v>690</v>
      </c>
      <c r="E24" s="20" t="s">
        <v>260</v>
      </c>
      <c r="F24" s="10"/>
      <c r="G24" s="15"/>
      <c r="H24" s="15" t="s">
        <v>691</v>
      </c>
      <c r="I24" s="10"/>
      <c r="J24" s="10"/>
      <c r="K24" s="15"/>
      <c r="L24" s="16"/>
      <c r="M24" s="16"/>
      <c r="N24" s="2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ht="36">
      <c r="A25" s="27" t="s">
        <v>490</v>
      </c>
      <c r="B25" s="10" t="s">
        <v>693</v>
      </c>
      <c r="C25" s="10" t="s">
        <v>378</v>
      </c>
      <c r="D25" s="10" t="s">
        <v>694</v>
      </c>
      <c r="E25" s="20" t="s">
        <v>284</v>
      </c>
      <c r="F25" s="10"/>
      <c r="G25" s="15"/>
      <c r="H25" s="15" t="s">
        <v>695</v>
      </c>
      <c r="I25" s="10"/>
      <c r="J25" s="10"/>
      <c r="K25" s="15" t="s">
        <v>696</v>
      </c>
      <c r="L25" s="16"/>
      <c r="M25" s="16"/>
      <c r="N25" s="2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ht="17.25">
      <c r="A26" s="27" t="s">
        <v>496</v>
      </c>
      <c r="B26" s="10" t="s">
        <v>699</v>
      </c>
      <c r="C26" s="10" t="s">
        <v>271</v>
      </c>
      <c r="D26" s="10" t="s">
        <v>700</v>
      </c>
      <c r="E26" s="20" t="s">
        <v>284</v>
      </c>
      <c r="F26" s="10"/>
      <c r="G26" s="15"/>
      <c r="H26" s="15" t="s">
        <v>691</v>
      </c>
      <c r="I26" s="10"/>
      <c r="J26" s="10"/>
      <c r="K26" s="15"/>
      <c r="L26" s="16"/>
      <c r="M26" s="16"/>
      <c r="N26" s="2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</sheetData>
  <hyperlinks>
    <hyperlink ref="G4" r:id="rId1" xr:uid="{D7E4C1FA-A1B8-427E-BF1A-720843CDEE84}"/>
    <hyperlink ref="G6" r:id="rId2" xr:uid="{D9E6DD6E-75D0-4C50-B404-D034E3A4AED3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1E17F-DD0A-45D2-A256-64CD939E4896}">
  <sheetPr>
    <tabColor theme="4" tint="0.59999389629810485"/>
  </sheetPr>
  <dimension ref="A2:AA26"/>
  <sheetViews>
    <sheetView workbookViewId="0">
      <selection activeCell="B7" sqref="B7"/>
    </sheetView>
  </sheetViews>
  <sheetFormatPr defaultRowHeight="15"/>
  <cols>
    <col min="1" max="1" width="5" customWidth="1"/>
    <col min="2" max="2" width="26" customWidth="1"/>
    <col min="3" max="3" width="11.5703125" customWidth="1"/>
    <col min="4" max="4" width="54.42578125" customWidth="1"/>
    <col min="7" max="7" width="11.42578125" customWidth="1"/>
    <col min="8" max="8" width="41.85546875" customWidth="1"/>
    <col min="9" max="9" width="15.85546875" customWidth="1"/>
    <col min="10" max="10" width="9" customWidth="1"/>
    <col min="11" max="11" width="58.42578125" customWidth="1"/>
    <col min="12" max="12" width="63" customWidth="1"/>
    <col min="14" max="14" width="27" customWidth="1"/>
  </cols>
  <sheetData>
    <row r="2" spans="1:27">
      <c r="A2" s="21"/>
      <c r="B2" s="22" t="s">
        <v>323</v>
      </c>
      <c r="C2" s="23" t="s">
        <v>37</v>
      </c>
      <c r="D2" s="24"/>
      <c r="F2" s="16"/>
      <c r="G2" s="25"/>
      <c r="H2" s="29"/>
      <c r="I2" s="16"/>
      <c r="J2" s="16"/>
      <c r="K2" s="25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ht="17.25">
      <c r="A3" s="6" t="s">
        <v>247</v>
      </c>
      <c r="B3" s="7" t="s">
        <v>248</v>
      </c>
      <c r="C3" s="7" t="s">
        <v>17</v>
      </c>
      <c r="D3" s="7" t="s">
        <v>249</v>
      </c>
      <c r="E3" s="7" t="s">
        <v>250</v>
      </c>
      <c r="F3" s="7" t="s">
        <v>251</v>
      </c>
      <c r="G3" s="12" t="s">
        <v>252</v>
      </c>
      <c r="H3" s="12" t="s">
        <v>253</v>
      </c>
      <c r="I3" s="7" t="s">
        <v>254</v>
      </c>
      <c r="J3" s="7" t="s">
        <v>255</v>
      </c>
      <c r="K3" s="12" t="s">
        <v>256</v>
      </c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ht="36">
      <c r="A4" s="27" t="s">
        <v>338</v>
      </c>
      <c r="B4" s="9" t="s">
        <v>764</v>
      </c>
      <c r="C4" s="8" t="s">
        <v>258</v>
      </c>
      <c r="D4" s="8" t="s">
        <v>765</v>
      </c>
      <c r="E4" s="18" t="s">
        <v>260</v>
      </c>
      <c r="F4" s="8" t="s">
        <v>261</v>
      </c>
      <c r="G4" s="8"/>
      <c r="H4" s="11" t="s">
        <v>263</v>
      </c>
      <c r="I4" s="8"/>
      <c r="J4" s="8"/>
      <c r="K4" s="14" t="s">
        <v>766</v>
      </c>
      <c r="L4" s="16"/>
      <c r="M4" s="16"/>
      <c r="N4" s="2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ht="17.25">
      <c r="A5" s="27" t="s">
        <v>343</v>
      </c>
      <c r="B5" s="9" t="s">
        <v>709</v>
      </c>
      <c r="C5" s="8" t="s">
        <v>258</v>
      </c>
      <c r="D5" s="8" t="s">
        <v>767</v>
      </c>
      <c r="E5" s="18" t="s">
        <v>260</v>
      </c>
      <c r="F5" s="8" t="s">
        <v>768</v>
      </c>
      <c r="G5" s="17" t="s">
        <v>711</v>
      </c>
      <c r="H5" s="11" t="s">
        <v>263</v>
      </c>
      <c r="I5" s="8"/>
      <c r="J5" s="8"/>
      <c r="K5" s="11"/>
      <c r="L5" s="16"/>
      <c r="M5" s="16"/>
      <c r="N5" s="2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>
      <c r="A6" s="27" t="s">
        <v>349</v>
      </c>
      <c r="B6" s="30" t="s">
        <v>769</v>
      </c>
      <c r="C6" s="30" t="s">
        <v>770</v>
      </c>
      <c r="D6" s="30" t="s">
        <v>771</v>
      </c>
      <c r="E6" s="31" t="s">
        <v>284</v>
      </c>
      <c r="F6" s="30"/>
      <c r="G6" s="17" t="s">
        <v>772</v>
      </c>
      <c r="H6" s="30" t="s">
        <v>773</v>
      </c>
      <c r="I6" s="30"/>
      <c r="J6" s="30"/>
      <c r="K6" s="30"/>
      <c r="L6" s="28"/>
      <c r="M6" s="16"/>
      <c r="N6" s="2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>
      <c r="A7" s="27"/>
      <c r="B7" s="32" t="s">
        <v>774</v>
      </c>
      <c r="C7" s="30" t="s">
        <v>387</v>
      </c>
      <c r="D7" s="30" t="s">
        <v>775</v>
      </c>
      <c r="E7" s="31" t="s">
        <v>284</v>
      </c>
      <c r="F7" s="30"/>
      <c r="G7" s="17" t="s">
        <v>776</v>
      </c>
      <c r="H7" s="30"/>
      <c r="I7" s="30"/>
      <c r="J7" s="30"/>
      <c r="K7" s="30"/>
      <c r="L7" s="28"/>
      <c r="M7" s="16"/>
      <c r="N7" s="2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ht="30.75">
      <c r="A8" s="27" t="s">
        <v>357</v>
      </c>
      <c r="B8" s="9" t="s">
        <v>777</v>
      </c>
      <c r="C8" s="8" t="s">
        <v>453</v>
      </c>
      <c r="D8" s="8" t="s">
        <v>778</v>
      </c>
      <c r="E8" s="18" t="s">
        <v>260</v>
      </c>
      <c r="F8" s="8"/>
      <c r="G8" s="8"/>
      <c r="H8" s="13" t="s">
        <v>360</v>
      </c>
      <c r="I8" s="8"/>
      <c r="J8" s="33" t="s">
        <v>779</v>
      </c>
      <c r="K8" s="33" t="s">
        <v>780</v>
      </c>
      <c r="L8" s="28"/>
      <c r="M8" s="16"/>
      <c r="N8" s="2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ht="53.25">
      <c r="A9" s="27" t="s">
        <v>367</v>
      </c>
      <c r="B9" s="8" t="s">
        <v>781</v>
      </c>
      <c r="C9" s="8" t="s">
        <v>782</v>
      </c>
      <c r="D9" s="8" t="s">
        <v>783</v>
      </c>
      <c r="E9" s="18" t="s">
        <v>260</v>
      </c>
      <c r="F9" s="8"/>
      <c r="G9" s="8"/>
      <c r="H9" s="14" t="s">
        <v>784</v>
      </c>
      <c r="I9" s="8"/>
      <c r="J9" s="8"/>
      <c r="K9" s="11"/>
      <c r="L9" s="16"/>
      <c r="M9" s="16"/>
      <c r="N9" s="2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ht="17.25">
      <c r="A10" s="27" t="s">
        <v>385</v>
      </c>
      <c r="B10" s="9" t="s">
        <v>785</v>
      </c>
      <c r="C10" s="8" t="s">
        <v>786</v>
      </c>
      <c r="D10" s="9" t="s">
        <v>787</v>
      </c>
      <c r="E10" s="18" t="s">
        <v>260</v>
      </c>
      <c r="F10" s="8"/>
      <c r="G10" s="8"/>
      <c r="H10" s="11" t="s">
        <v>380</v>
      </c>
      <c r="I10" s="8"/>
      <c r="J10" s="8"/>
      <c r="K10" s="11"/>
      <c r="L10" s="16"/>
      <c r="M10" s="16"/>
      <c r="N10" s="2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ht="36">
      <c r="A11" s="27" t="s">
        <v>395</v>
      </c>
      <c r="B11" s="9" t="s">
        <v>788</v>
      </c>
      <c r="C11" s="8" t="s">
        <v>786</v>
      </c>
      <c r="D11" s="13" t="s">
        <v>789</v>
      </c>
      <c r="E11" s="18" t="s">
        <v>260</v>
      </c>
      <c r="F11" s="8"/>
      <c r="G11" s="8"/>
      <c r="H11" s="8" t="s">
        <v>790</v>
      </c>
      <c r="I11" s="8" t="s">
        <v>791</v>
      </c>
      <c r="J11" s="8"/>
      <c r="K11" s="11" t="s">
        <v>792</v>
      </c>
      <c r="L11" s="16"/>
      <c r="M11" s="16"/>
      <c r="N11" s="2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ht="30.75">
      <c r="A12" s="27" t="s">
        <v>402</v>
      </c>
      <c r="B12" s="9" t="s">
        <v>793</v>
      </c>
      <c r="C12" s="8" t="s">
        <v>453</v>
      </c>
      <c r="D12" s="8" t="s">
        <v>794</v>
      </c>
      <c r="E12" s="18" t="s">
        <v>284</v>
      </c>
      <c r="F12" s="8"/>
      <c r="G12" s="8"/>
      <c r="H12" s="11" t="s">
        <v>795</v>
      </c>
      <c r="I12" s="9" t="s">
        <v>795</v>
      </c>
      <c r="J12" s="13" t="s">
        <v>796</v>
      </c>
      <c r="K12" s="13" t="s">
        <v>797</v>
      </c>
      <c r="L12" s="16"/>
      <c r="M12" s="16"/>
      <c r="N12" s="2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ht="36">
      <c r="A13" s="27" t="s">
        <v>412</v>
      </c>
      <c r="B13" s="10" t="s">
        <v>683</v>
      </c>
      <c r="C13" s="10" t="s">
        <v>378</v>
      </c>
      <c r="D13" s="10" t="s">
        <v>684</v>
      </c>
      <c r="E13" s="20" t="s">
        <v>260</v>
      </c>
      <c r="F13" s="10"/>
      <c r="G13" s="10"/>
      <c r="H13" s="15" t="s">
        <v>380</v>
      </c>
      <c r="I13" s="10"/>
      <c r="J13" s="10"/>
      <c r="K13" s="15" t="s">
        <v>685</v>
      </c>
      <c r="L13" s="16"/>
      <c r="M13" s="16"/>
      <c r="N13" s="2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17.25">
      <c r="A14" s="27" t="s">
        <v>419</v>
      </c>
      <c r="B14" s="10" t="s">
        <v>689</v>
      </c>
      <c r="C14" s="10" t="s">
        <v>271</v>
      </c>
      <c r="D14" s="10" t="s">
        <v>690</v>
      </c>
      <c r="E14" s="20" t="s">
        <v>260</v>
      </c>
      <c r="F14" s="10"/>
      <c r="G14" s="10"/>
      <c r="H14" s="15" t="s">
        <v>691</v>
      </c>
      <c r="I14" s="10"/>
      <c r="J14" s="10"/>
      <c r="K14" s="15"/>
      <c r="L14" s="16"/>
      <c r="M14" s="16"/>
      <c r="N14" s="2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36">
      <c r="A15" s="27" t="s">
        <v>425</v>
      </c>
      <c r="B15" s="19" t="s">
        <v>693</v>
      </c>
      <c r="C15" s="10" t="s">
        <v>378</v>
      </c>
      <c r="D15" s="10" t="s">
        <v>694</v>
      </c>
      <c r="E15" s="20" t="s">
        <v>284</v>
      </c>
      <c r="F15" s="10"/>
      <c r="G15" s="10"/>
      <c r="H15" s="15" t="s">
        <v>695</v>
      </c>
      <c r="I15" s="10"/>
      <c r="J15" s="10"/>
      <c r="K15" s="15" t="s">
        <v>696</v>
      </c>
      <c r="L15" s="16"/>
      <c r="M15" s="16"/>
      <c r="N15" s="2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17.25">
      <c r="A16" s="27" t="s">
        <v>431</v>
      </c>
      <c r="B16" s="19" t="s">
        <v>699</v>
      </c>
      <c r="C16" s="10" t="s">
        <v>271</v>
      </c>
      <c r="D16" s="10" t="s">
        <v>700</v>
      </c>
      <c r="E16" s="20" t="s">
        <v>284</v>
      </c>
      <c r="F16" s="10"/>
      <c r="G16" s="10"/>
      <c r="H16" s="15" t="s">
        <v>691</v>
      </c>
      <c r="I16" s="10"/>
      <c r="J16" s="10"/>
      <c r="K16" s="15"/>
      <c r="L16" s="16"/>
      <c r="M16" s="16"/>
      <c r="N16" s="2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7.25">
      <c r="A17" s="27" t="s">
        <v>443</v>
      </c>
      <c r="B17" s="8" t="s">
        <v>747</v>
      </c>
      <c r="C17" s="8" t="s">
        <v>271</v>
      </c>
      <c r="D17" s="8" t="s">
        <v>748</v>
      </c>
      <c r="E17" s="18" t="s">
        <v>284</v>
      </c>
      <c r="F17" s="8"/>
      <c r="G17" s="11"/>
      <c r="H17" s="11" t="s">
        <v>749</v>
      </c>
      <c r="I17" s="8"/>
      <c r="J17" s="8"/>
      <c r="K17" s="11"/>
      <c r="L17" s="16"/>
      <c r="M17" s="16"/>
      <c r="N17" s="2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17.25">
      <c r="A18" s="27" t="s">
        <v>451</v>
      </c>
      <c r="B18" s="8" t="s">
        <v>750</v>
      </c>
      <c r="C18" s="8" t="s">
        <v>266</v>
      </c>
      <c r="D18" s="8" t="s">
        <v>751</v>
      </c>
      <c r="E18" s="18" t="s">
        <v>284</v>
      </c>
      <c r="F18" s="8"/>
      <c r="G18" s="11"/>
      <c r="H18" s="11" t="s">
        <v>752</v>
      </c>
      <c r="I18" s="8"/>
      <c r="J18" s="8"/>
      <c r="K18" s="11"/>
      <c r="L18" s="16"/>
      <c r="M18" s="16"/>
      <c r="N18" s="2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17.25">
      <c r="A19" s="27" t="s">
        <v>460</v>
      </c>
      <c r="B19" s="8" t="s">
        <v>753</v>
      </c>
      <c r="C19" s="8" t="s">
        <v>266</v>
      </c>
      <c r="D19" s="8" t="s">
        <v>754</v>
      </c>
      <c r="E19" s="18" t="s">
        <v>284</v>
      </c>
      <c r="F19" s="8"/>
      <c r="G19" s="11"/>
      <c r="H19" s="11" t="s">
        <v>755</v>
      </c>
      <c r="I19" s="8"/>
      <c r="J19" s="8"/>
      <c r="K19" s="11"/>
      <c r="L19" s="16"/>
      <c r="M19" s="16"/>
      <c r="N19" s="2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17.25">
      <c r="A20" s="27" t="s">
        <v>467</v>
      </c>
      <c r="B20" s="8" t="s">
        <v>756</v>
      </c>
      <c r="C20" s="8" t="s">
        <v>266</v>
      </c>
      <c r="D20" s="8" t="s">
        <v>757</v>
      </c>
      <c r="E20" s="18" t="s">
        <v>284</v>
      </c>
      <c r="F20" s="8"/>
      <c r="G20" s="11"/>
      <c r="H20" s="11" t="s">
        <v>758</v>
      </c>
      <c r="I20" s="8"/>
      <c r="J20" s="8"/>
      <c r="K20" s="11"/>
      <c r="L20" s="16"/>
      <c r="M20" s="16"/>
      <c r="N20" s="2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17.25">
      <c r="A21" s="27" t="s">
        <v>472</v>
      </c>
      <c r="B21" s="8" t="s">
        <v>759</v>
      </c>
      <c r="C21" s="8" t="s">
        <v>387</v>
      </c>
      <c r="D21" s="8" t="s">
        <v>760</v>
      </c>
      <c r="E21" s="18" t="s">
        <v>284</v>
      </c>
      <c r="F21" s="8"/>
      <c r="G21" s="11"/>
      <c r="H21" s="11" t="s">
        <v>761</v>
      </c>
      <c r="I21" s="8"/>
      <c r="J21" s="8"/>
      <c r="K21" s="11"/>
      <c r="L21" s="16"/>
      <c r="M21" s="16"/>
      <c r="N21" s="2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17.25">
      <c r="A22" s="27" t="s">
        <v>475</v>
      </c>
      <c r="B22" s="8" t="s">
        <v>762</v>
      </c>
      <c r="C22" s="8" t="s">
        <v>291</v>
      </c>
      <c r="D22" s="8" t="s">
        <v>763</v>
      </c>
      <c r="E22" s="18" t="s">
        <v>284</v>
      </c>
      <c r="F22" s="8"/>
      <c r="G22" s="11"/>
      <c r="H22" s="11"/>
      <c r="I22" s="8"/>
      <c r="J22" s="8"/>
      <c r="K22" s="11" t="s">
        <v>354</v>
      </c>
      <c r="L22" s="16"/>
      <c r="M22" s="16"/>
      <c r="N22" s="2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36">
      <c r="A23" s="27" t="s">
        <v>483</v>
      </c>
      <c r="B23" s="10" t="s">
        <v>683</v>
      </c>
      <c r="C23" s="10" t="s">
        <v>378</v>
      </c>
      <c r="D23" s="10" t="s">
        <v>684</v>
      </c>
      <c r="E23" s="20" t="s">
        <v>260</v>
      </c>
      <c r="F23" s="10"/>
      <c r="G23" s="15"/>
      <c r="H23" s="15" t="s">
        <v>380</v>
      </c>
      <c r="I23" s="10"/>
      <c r="J23" s="10"/>
      <c r="K23" s="15" t="s">
        <v>685</v>
      </c>
      <c r="L23" s="16"/>
      <c r="M23" s="16"/>
      <c r="N23" s="2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17.25">
      <c r="A24" s="27" t="s">
        <v>487</v>
      </c>
      <c r="B24" s="10" t="s">
        <v>689</v>
      </c>
      <c r="C24" s="10" t="s">
        <v>271</v>
      </c>
      <c r="D24" s="10" t="s">
        <v>690</v>
      </c>
      <c r="E24" s="20" t="s">
        <v>260</v>
      </c>
      <c r="F24" s="10"/>
      <c r="G24" s="15"/>
      <c r="H24" s="15" t="s">
        <v>691</v>
      </c>
      <c r="I24" s="10"/>
      <c r="J24" s="10"/>
      <c r="K24" s="15"/>
      <c r="L24" s="16"/>
      <c r="M24" s="16"/>
      <c r="N24" s="2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ht="36">
      <c r="A25" s="27" t="s">
        <v>490</v>
      </c>
      <c r="B25" s="10" t="s">
        <v>693</v>
      </c>
      <c r="C25" s="10" t="s">
        <v>378</v>
      </c>
      <c r="D25" s="10" t="s">
        <v>694</v>
      </c>
      <c r="E25" s="20" t="s">
        <v>284</v>
      </c>
      <c r="F25" s="10"/>
      <c r="G25" s="15"/>
      <c r="H25" s="15" t="s">
        <v>695</v>
      </c>
      <c r="I25" s="10"/>
      <c r="J25" s="10"/>
      <c r="K25" s="15" t="s">
        <v>696</v>
      </c>
      <c r="L25" s="16"/>
      <c r="M25" s="16"/>
      <c r="N25" s="2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ht="17.25">
      <c r="A26" s="27" t="s">
        <v>496</v>
      </c>
      <c r="B26" s="10" t="s">
        <v>699</v>
      </c>
      <c r="C26" s="10" t="s">
        <v>271</v>
      </c>
      <c r="D26" s="10" t="s">
        <v>700</v>
      </c>
      <c r="E26" s="20" t="s">
        <v>284</v>
      </c>
      <c r="F26" s="10"/>
      <c r="G26" s="15"/>
      <c r="H26" s="15" t="s">
        <v>691</v>
      </c>
      <c r="I26" s="10"/>
      <c r="J26" s="10"/>
      <c r="K26" s="15"/>
      <c r="L26" s="16"/>
      <c r="M26" s="16"/>
      <c r="N26" s="2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</sheetData>
  <hyperlinks>
    <hyperlink ref="K4" r:id="rId1" xr:uid="{0DD22343-2541-4522-845C-F03150079292}"/>
    <hyperlink ref="G5" r:id="rId2" xr:uid="{F496E631-87B7-45A1-AC3C-777C1EB7A333}"/>
    <hyperlink ref="G6" r:id="rId3" xr:uid="{A826EC3E-1974-4493-9A72-7AC3F1CD0D7A}"/>
    <hyperlink ref="G7" r:id="rId4" xr:uid="{06CA5D07-FFEC-4DD7-8304-A4BFFDD39E1B}"/>
    <hyperlink ref="H9" r:id="rId5" xr:uid="{32D706FE-4CF6-4C6C-8D35-C5D15F0FE5F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29647-A532-4DF4-BB8A-9B0DF0CB0BFC}">
  <dimension ref="B3:F104"/>
  <sheetViews>
    <sheetView workbookViewId="0"/>
  </sheetViews>
  <sheetFormatPr defaultRowHeight="15"/>
  <cols>
    <col min="2" max="2" width="111.28515625" customWidth="1"/>
    <col min="3" max="3" width="10" customWidth="1"/>
    <col min="4" max="4" width="31.85546875" customWidth="1"/>
    <col min="5" max="5" width="45" customWidth="1"/>
    <col min="6" max="6" width="25.28515625" customWidth="1"/>
  </cols>
  <sheetData>
    <row r="3" spans="2:2">
      <c r="B3" t="s">
        <v>798</v>
      </c>
    </row>
    <row r="4" spans="2:2">
      <c r="B4" s="62" t="s">
        <v>799</v>
      </c>
    </row>
    <row r="6" spans="2:2">
      <c r="B6" t="s">
        <v>800</v>
      </c>
    </row>
    <row r="7" spans="2:2">
      <c r="B7" s="62" t="s">
        <v>801</v>
      </c>
    </row>
    <row r="9" spans="2:2">
      <c r="B9" s="61" t="s">
        <v>802</v>
      </c>
    </row>
    <row r="10" spans="2:2">
      <c r="B10" t="s">
        <v>803</v>
      </c>
    </row>
    <row r="11" spans="2:2">
      <c r="B11" t="s">
        <v>804</v>
      </c>
    </row>
    <row r="12" spans="2:2">
      <c r="B12" t="s">
        <v>805</v>
      </c>
    </row>
    <row r="13" spans="2:2">
      <c r="B13" t="s">
        <v>806</v>
      </c>
    </row>
    <row r="14" spans="2:2">
      <c r="B14" t="s">
        <v>807</v>
      </c>
    </row>
    <row r="15" spans="2:2">
      <c r="B15" t="s">
        <v>808</v>
      </c>
    </row>
    <row r="16" spans="2:2">
      <c r="B16" t="s">
        <v>809</v>
      </c>
    </row>
    <row r="17" spans="2:6">
      <c r="B17" t="s">
        <v>810</v>
      </c>
    </row>
    <row r="18" spans="2:6">
      <c r="B18" t="s">
        <v>811</v>
      </c>
    </row>
    <row r="19" spans="2:6">
      <c r="B19" t="s">
        <v>812</v>
      </c>
    </row>
    <row r="20" spans="2:6">
      <c r="B20" t="s">
        <v>813</v>
      </c>
    </row>
    <row r="21" spans="2:6">
      <c r="B21" t="s">
        <v>814</v>
      </c>
    </row>
    <row r="22" spans="2:6">
      <c r="B22" s="4" t="s">
        <v>815</v>
      </c>
    </row>
    <row r="23" spans="2:6">
      <c r="B23" t="s">
        <v>816</v>
      </c>
    </row>
    <row r="24" spans="2:6">
      <c r="B24" t="s">
        <v>817</v>
      </c>
    </row>
    <row r="25" spans="2:6">
      <c r="B25" t="s">
        <v>818</v>
      </c>
    </row>
    <row r="26" spans="2:6">
      <c r="B26" t="s">
        <v>819</v>
      </c>
    </row>
    <row r="27" spans="2:6">
      <c r="B27" t="s">
        <v>820</v>
      </c>
    </row>
    <row r="30" spans="2:6">
      <c r="D30" t="s">
        <v>821</v>
      </c>
      <c r="F30" s="4" t="s">
        <v>822</v>
      </c>
    </row>
    <row r="31" spans="2:6">
      <c r="D31" t="s">
        <v>823</v>
      </c>
      <c r="E31" t="s">
        <v>824</v>
      </c>
    </row>
    <row r="32" spans="2:6">
      <c r="D32" s="74" t="s">
        <v>825</v>
      </c>
      <c r="E32" t="s">
        <v>826</v>
      </c>
      <c r="F32" s="73" t="s">
        <v>342</v>
      </c>
    </row>
    <row r="33" spans="4:6">
      <c r="D33" s="74" t="s">
        <v>827</v>
      </c>
      <c r="E33" t="s">
        <v>828</v>
      </c>
      <c r="F33" s="73" t="s">
        <v>348</v>
      </c>
    </row>
    <row r="34" spans="4:6">
      <c r="D34" t="s">
        <v>829</v>
      </c>
      <c r="E34" t="s">
        <v>830</v>
      </c>
    </row>
    <row r="35" spans="4:6">
      <c r="D35" s="74" t="s">
        <v>831</v>
      </c>
      <c r="E35" t="s">
        <v>832</v>
      </c>
      <c r="F35" s="73" t="s">
        <v>366</v>
      </c>
    </row>
    <row r="36" spans="4:6">
      <c r="D36" s="74" t="s">
        <v>833</v>
      </c>
      <c r="E36" t="s">
        <v>834</v>
      </c>
      <c r="F36" s="73" t="s">
        <v>375</v>
      </c>
    </row>
    <row r="37" spans="4:6">
      <c r="D37" t="s">
        <v>835</v>
      </c>
      <c r="E37" t="s">
        <v>830</v>
      </c>
    </row>
    <row r="38" spans="4:6">
      <c r="D38" s="74" t="s">
        <v>836</v>
      </c>
      <c r="E38" t="s">
        <v>837</v>
      </c>
      <c r="F38" s="73" t="s">
        <v>838</v>
      </c>
    </row>
    <row r="39" spans="4:6">
      <c r="D39" s="74" t="s">
        <v>839</v>
      </c>
      <c r="E39" t="s">
        <v>840</v>
      </c>
      <c r="F39" s="73" t="s">
        <v>401</v>
      </c>
    </row>
    <row r="40" spans="4:6">
      <c r="D40" t="s">
        <v>841</v>
      </c>
      <c r="E40" t="s">
        <v>830</v>
      </c>
    </row>
    <row r="41" spans="4:6">
      <c r="D41" s="74" t="s">
        <v>842</v>
      </c>
      <c r="E41" t="s">
        <v>843</v>
      </c>
      <c r="F41" s="73" t="s">
        <v>418</v>
      </c>
    </row>
    <row r="42" spans="4:6">
      <c r="D42" s="74" t="s">
        <v>844</v>
      </c>
      <c r="E42" t="s">
        <v>845</v>
      </c>
      <c r="F42" s="72"/>
    </row>
    <row r="43" spans="4:6">
      <c r="D43" t="s">
        <v>846</v>
      </c>
      <c r="E43" t="s">
        <v>830</v>
      </c>
    </row>
    <row r="44" spans="4:6">
      <c r="D44" s="74" t="s">
        <v>847</v>
      </c>
      <c r="E44" t="s">
        <v>848</v>
      </c>
      <c r="F44" s="73" t="s">
        <v>435</v>
      </c>
    </row>
    <row r="45" spans="4:6">
      <c r="D45" s="74" t="s">
        <v>849</v>
      </c>
      <c r="E45" t="s">
        <v>850</v>
      </c>
      <c r="F45" s="73" t="s">
        <v>442</v>
      </c>
    </row>
    <row r="46" spans="4:6">
      <c r="D46" s="74" t="s">
        <v>851</v>
      </c>
      <c r="E46" t="s">
        <v>852</v>
      </c>
      <c r="F46" s="73" t="s">
        <v>449</v>
      </c>
    </row>
    <row r="47" spans="4:6">
      <c r="D47" s="74" t="s">
        <v>853</v>
      </c>
      <c r="E47" t="s">
        <v>854</v>
      </c>
      <c r="F47" s="73" t="s">
        <v>452</v>
      </c>
    </row>
    <row r="48" spans="4:6">
      <c r="D48" t="s">
        <v>855</v>
      </c>
      <c r="E48" t="s">
        <v>830</v>
      </c>
    </row>
    <row r="49" spans="4:6">
      <c r="D49" t="s">
        <v>856</v>
      </c>
      <c r="E49" t="s">
        <v>830</v>
      </c>
    </row>
    <row r="50" spans="4:6">
      <c r="D50" t="s">
        <v>857</v>
      </c>
      <c r="E50" t="s">
        <v>830</v>
      </c>
    </row>
    <row r="51" spans="4:6">
      <c r="D51" t="s">
        <v>858</v>
      </c>
      <c r="E51" t="s">
        <v>830</v>
      </c>
    </row>
    <row r="52" spans="4:6">
      <c r="D52" t="s">
        <v>859</v>
      </c>
      <c r="E52" t="s">
        <v>830</v>
      </c>
    </row>
    <row r="53" spans="4:6">
      <c r="D53" t="s">
        <v>860</v>
      </c>
      <c r="E53" t="s">
        <v>861</v>
      </c>
    </row>
    <row r="54" spans="4:6">
      <c r="D54" t="s">
        <v>862</v>
      </c>
      <c r="E54" t="s">
        <v>830</v>
      </c>
    </row>
    <row r="55" spans="4:6">
      <c r="D55" t="s">
        <v>863</v>
      </c>
      <c r="E55" t="s">
        <v>830</v>
      </c>
    </row>
    <row r="56" spans="4:6">
      <c r="D56" t="s">
        <v>864</v>
      </c>
      <c r="E56" t="s">
        <v>830</v>
      </c>
    </row>
    <row r="57" spans="4:6">
      <c r="D57" t="s">
        <v>865</v>
      </c>
      <c r="E57" t="s">
        <v>830</v>
      </c>
    </row>
    <row r="58" spans="4:6">
      <c r="D58" t="s">
        <v>866</v>
      </c>
      <c r="E58" t="s">
        <v>830</v>
      </c>
    </row>
    <row r="59" spans="4:6">
      <c r="D59" t="s">
        <v>867</v>
      </c>
      <c r="E59" t="s">
        <v>830</v>
      </c>
    </row>
    <row r="60" spans="4:6">
      <c r="D60" t="s">
        <v>868</v>
      </c>
      <c r="E60" t="s">
        <v>830</v>
      </c>
    </row>
    <row r="61" spans="4:6">
      <c r="D61" t="s">
        <v>869</v>
      </c>
      <c r="E61" t="s">
        <v>830</v>
      </c>
    </row>
    <row r="62" spans="4:6">
      <c r="D62" s="74" t="s">
        <v>870</v>
      </c>
      <c r="E62" t="s">
        <v>871</v>
      </c>
      <c r="F62" s="73" t="s">
        <v>536</v>
      </c>
    </row>
    <row r="63" spans="4:6">
      <c r="D63" t="s">
        <v>872</v>
      </c>
      <c r="E63" t="s">
        <v>830</v>
      </c>
    </row>
    <row r="64" spans="4:6">
      <c r="D64" t="s">
        <v>873</v>
      </c>
      <c r="E64" t="s">
        <v>830</v>
      </c>
    </row>
    <row r="65" spans="4:6">
      <c r="D65" t="s">
        <v>874</v>
      </c>
      <c r="E65" t="s">
        <v>830</v>
      </c>
    </row>
    <row r="66" spans="4:6">
      <c r="D66" t="s">
        <v>875</v>
      </c>
      <c r="E66" t="s">
        <v>830</v>
      </c>
    </row>
    <row r="67" spans="4:6">
      <c r="D67" t="s">
        <v>876</v>
      </c>
      <c r="E67" t="s">
        <v>830</v>
      </c>
    </row>
    <row r="68" spans="4:6">
      <c r="D68" t="s">
        <v>877</v>
      </c>
      <c r="E68" t="s">
        <v>861</v>
      </c>
    </row>
    <row r="69" spans="4:6">
      <c r="D69" s="74" t="s">
        <v>878</v>
      </c>
      <c r="E69" t="s">
        <v>879</v>
      </c>
      <c r="F69" s="73" t="s">
        <v>561</v>
      </c>
    </row>
    <row r="70" spans="4:6">
      <c r="D70" s="74" t="s">
        <v>880</v>
      </c>
      <c r="E70" t="s">
        <v>881</v>
      </c>
    </row>
    <row r="71" spans="4:6">
      <c r="D71" s="74" t="s">
        <v>882</v>
      </c>
      <c r="E71" t="s">
        <v>879</v>
      </c>
      <c r="F71" s="73" t="s">
        <v>574</v>
      </c>
    </row>
    <row r="72" spans="4:6">
      <c r="D72" s="74" t="s">
        <v>883</v>
      </c>
      <c r="E72" t="s">
        <v>884</v>
      </c>
      <c r="F72" s="73" t="s">
        <v>580</v>
      </c>
    </row>
    <row r="73" spans="4:6">
      <c r="D73" s="74" t="s">
        <v>885</v>
      </c>
      <c r="E73" t="s">
        <v>886</v>
      </c>
      <c r="F73" s="72"/>
    </row>
    <row r="74" spans="4:6">
      <c r="D74" t="s">
        <v>887</v>
      </c>
      <c r="E74" t="s">
        <v>830</v>
      </c>
    </row>
    <row r="75" spans="4:6">
      <c r="D75" t="s">
        <v>888</v>
      </c>
      <c r="E75" t="s">
        <v>830</v>
      </c>
    </row>
    <row r="76" spans="4:6">
      <c r="D76" t="s">
        <v>889</v>
      </c>
      <c r="E76" t="s">
        <v>830</v>
      </c>
    </row>
    <row r="77" spans="4:6">
      <c r="D77" s="74" t="s">
        <v>890</v>
      </c>
      <c r="E77" t="s">
        <v>879</v>
      </c>
      <c r="F77" s="72"/>
    </row>
    <row r="78" spans="4:6">
      <c r="D78" t="s">
        <v>891</v>
      </c>
      <c r="E78" t="s">
        <v>830</v>
      </c>
    </row>
    <row r="79" spans="4:6">
      <c r="D79" t="s">
        <v>892</v>
      </c>
      <c r="E79" t="s">
        <v>830</v>
      </c>
    </row>
    <row r="80" spans="4:6">
      <c r="D80" t="s">
        <v>893</v>
      </c>
      <c r="E80" t="s">
        <v>830</v>
      </c>
    </row>
    <row r="81" spans="4:6">
      <c r="D81" t="s">
        <v>894</v>
      </c>
      <c r="E81" t="s">
        <v>830</v>
      </c>
    </row>
    <row r="82" spans="4:6">
      <c r="D82" t="s">
        <v>895</v>
      </c>
      <c r="E82" t="s">
        <v>830</v>
      </c>
    </row>
    <row r="83" spans="4:6">
      <c r="D83" t="s">
        <v>896</v>
      </c>
      <c r="E83" t="s">
        <v>830</v>
      </c>
    </row>
    <row r="84" spans="4:6">
      <c r="D84" s="74" t="s">
        <v>897</v>
      </c>
      <c r="E84" t="s">
        <v>861</v>
      </c>
      <c r="F84" s="72"/>
    </row>
    <row r="85" spans="4:6">
      <c r="D85" t="s">
        <v>898</v>
      </c>
      <c r="E85" t="s">
        <v>830</v>
      </c>
    </row>
    <row r="86" spans="4:6">
      <c r="D86" t="s">
        <v>899</v>
      </c>
      <c r="E86" t="s">
        <v>830</v>
      </c>
    </row>
    <row r="87" spans="4:6">
      <c r="D87" t="s">
        <v>900</v>
      </c>
      <c r="E87" t="s">
        <v>830</v>
      </c>
    </row>
    <row r="88" spans="4:6">
      <c r="D88" t="s">
        <v>901</v>
      </c>
      <c r="E88" t="s">
        <v>830</v>
      </c>
    </row>
    <row r="89" spans="4:6">
      <c r="D89" t="s">
        <v>902</v>
      </c>
      <c r="E89" t="s">
        <v>830</v>
      </c>
    </row>
    <row r="90" spans="4:6">
      <c r="D90" t="s">
        <v>903</v>
      </c>
      <c r="E90" t="s">
        <v>830</v>
      </c>
    </row>
    <row r="91" spans="4:6">
      <c r="D91" t="s">
        <v>904</v>
      </c>
      <c r="E91" t="s">
        <v>830</v>
      </c>
    </row>
    <row r="92" spans="4:6">
      <c r="D92" t="s">
        <v>905</v>
      </c>
      <c r="E92" t="s">
        <v>830</v>
      </c>
    </row>
    <row r="93" spans="4:6">
      <c r="D93" t="s">
        <v>906</v>
      </c>
      <c r="E93" t="s">
        <v>830</v>
      </c>
    </row>
    <row r="94" spans="4:6">
      <c r="D94" t="s">
        <v>907</v>
      </c>
      <c r="E94" t="s">
        <v>830</v>
      </c>
    </row>
    <row r="95" spans="4:6">
      <c r="D95" t="s">
        <v>908</v>
      </c>
      <c r="E95" t="s">
        <v>830</v>
      </c>
    </row>
    <row r="96" spans="4:6">
      <c r="D96" t="s">
        <v>909</v>
      </c>
      <c r="E96" t="s">
        <v>830</v>
      </c>
    </row>
    <row r="97" spans="4:6">
      <c r="D97" s="74" t="s">
        <v>910</v>
      </c>
      <c r="E97" t="s">
        <v>840</v>
      </c>
      <c r="F97" s="73" t="s">
        <v>686</v>
      </c>
    </row>
    <row r="98" spans="4:6">
      <c r="D98" s="74" t="s">
        <v>911</v>
      </c>
      <c r="E98" t="s">
        <v>828</v>
      </c>
      <c r="F98" s="73" t="s">
        <v>348</v>
      </c>
    </row>
    <row r="99" spans="4:6">
      <c r="D99" s="74" t="s">
        <v>912</v>
      </c>
      <c r="E99" t="s">
        <v>913</v>
      </c>
      <c r="F99" s="73" t="s">
        <v>401</v>
      </c>
    </row>
    <row r="100" spans="4:6">
      <c r="D100" s="74" t="s">
        <v>914</v>
      </c>
      <c r="E100" t="s">
        <v>828</v>
      </c>
      <c r="F100" s="73" t="s">
        <v>348</v>
      </c>
    </row>
    <row r="101" spans="4:6">
      <c r="D101" t="s">
        <v>915</v>
      </c>
      <c r="E101" t="s">
        <v>830</v>
      </c>
    </row>
    <row r="102" spans="4:6">
      <c r="D102" t="s">
        <v>916</v>
      </c>
      <c r="E102" t="s">
        <v>917</v>
      </c>
    </row>
    <row r="103" spans="4:6">
      <c r="D103" t="s">
        <v>918</v>
      </c>
      <c r="E103" t="s">
        <v>919</v>
      </c>
    </row>
    <row r="104" spans="4:6">
      <c r="D104" t="s">
        <v>920</v>
      </c>
      <c r="E104" t="s">
        <v>921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8B9F5-148D-45F6-98B9-5C751A6DB2AC}">
  <dimension ref="B2:I113"/>
  <sheetViews>
    <sheetView topLeftCell="A44" workbookViewId="0">
      <selection activeCell="D60" sqref="D60"/>
    </sheetView>
  </sheetViews>
  <sheetFormatPr defaultRowHeight="15"/>
  <cols>
    <col min="1" max="1" width="9.140625" style="69"/>
    <col min="2" max="2" width="27.7109375" style="69" customWidth="1"/>
    <col min="3" max="3" width="23.7109375" style="69" customWidth="1"/>
    <col min="4" max="4" width="20.140625" style="69" customWidth="1"/>
    <col min="5" max="5" width="18.85546875" style="69" customWidth="1"/>
    <col min="6" max="6" width="27.5703125" style="69" bestFit="1" customWidth="1"/>
    <col min="7" max="7" width="25.85546875" style="69" bestFit="1" customWidth="1"/>
    <col min="8" max="8" width="20.42578125" style="69" customWidth="1"/>
    <col min="9" max="9" width="26.85546875" style="69" customWidth="1"/>
    <col min="10" max="10" width="9.140625" style="69"/>
    <col min="11" max="11" width="34.85546875" style="69" customWidth="1"/>
    <col min="12" max="16384" width="9.140625" style="69"/>
  </cols>
  <sheetData>
    <row r="2" spans="2:9">
      <c r="B2" s="69" t="s">
        <v>922</v>
      </c>
      <c r="C2" s="69" t="s">
        <v>923</v>
      </c>
      <c r="D2" s="69" t="s">
        <v>924</v>
      </c>
      <c r="E2" s="69" t="s">
        <v>925</v>
      </c>
      <c r="F2" s="69" t="s">
        <v>926</v>
      </c>
      <c r="G2" s="69" t="s">
        <v>927</v>
      </c>
      <c r="H2" s="69" t="s">
        <v>928</v>
      </c>
      <c r="I2" s="69" t="s">
        <v>929</v>
      </c>
    </row>
    <row r="3" spans="2:9">
      <c r="B3" s="69" t="s">
        <v>554</v>
      </c>
      <c r="C3" s="69">
        <v>12</v>
      </c>
      <c r="D3" s="69" t="s">
        <v>555</v>
      </c>
      <c r="F3" s="69" t="s">
        <v>930</v>
      </c>
      <c r="G3" s="69" t="b">
        <v>0</v>
      </c>
    </row>
    <row r="4" spans="2:9">
      <c r="B4" s="69" t="s">
        <v>750</v>
      </c>
      <c r="C4" s="69">
        <v>20</v>
      </c>
      <c r="D4" s="69" t="s">
        <v>387</v>
      </c>
      <c r="F4" s="69" t="s">
        <v>930</v>
      </c>
      <c r="G4" s="69" t="b">
        <v>0</v>
      </c>
    </row>
    <row r="5" spans="2:9">
      <c r="B5" s="69" t="s">
        <v>350</v>
      </c>
      <c r="C5" s="69">
        <v>24</v>
      </c>
      <c r="D5" s="69" t="s">
        <v>351</v>
      </c>
      <c r="F5" s="69" t="s">
        <v>930</v>
      </c>
      <c r="G5" s="69" t="b">
        <v>0</v>
      </c>
    </row>
    <row r="6" spans="2:9">
      <c r="B6" s="69" t="s">
        <v>838</v>
      </c>
      <c r="C6" s="69">
        <v>39</v>
      </c>
      <c r="D6" s="69" t="s">
        <v>931</v>
      </c>
      <c r="F6" s="69" t="s">
        <v>930</v>
      </c>
      <c r="G6" s="69" t="b">
        <v>0</v>
      </c>
    </row>
    <row r="7" spans="2:9">
      <c r="B7" s="69" t="s">
        <v>744</v>
      </c>
      <c r="C7" s="69">
        <v>37</v>
      </c>
      <c r="D7" s="69" t="s">
        <v>931</v>
      </c>
      <c r="F7" s="69" t="s">
        <v>930</v>
      </c>
      <c r="G7" s="69" t="b">
        <v>0</v>
      </c>
    </row>
    <row r="8" spans="2:9">
      <c r="B8" s="69" t="s">
        <v>932</v>
      </c>
      <c r="C8" s="69">
        <v>29</v>
      </c>
      <c r="D8" s="69" t="s">
        <v>555</v>
      </c>
      <c r="F8" s="69" t="s">
        <v>930</v>
      </c>
      <c r="G8" s="69" t="b">
        <v>0</v>
      </c>
    </row>
    <row r="9" spans="2:9">
      <c r="B9" s="69" t="s">
        <v>747</v>
      </c>
      <c r="C9" s="69">
        <v>38</v>
      </c>
      <c r="D9" s="69" t="s">
        <v>931</v>
      </c>
      <c r="F9" s="69" t="s">
        <v>930</v>
      </c>
      <c r="G9" s="69" t="b">
        <v>0</v>
      </c>
    </row>
    <row r="10" spans="2:9">
      <c r="B10" s="69" t="s">
        <v>676</v>
      </c>
      <c r="C10" s="69">
        <v>25</v>
      </c>
      <c r="D10" s="69" t="s">
        <v>933</v>
      </c>
      <c r="F10" s="69" t="s">
        <v>930</v>
      </c>
      <c r="G10" s="69" t="b">
        <v>0</v>
      </c>
    </row>
    <row r="11" spans="2:9">
      <c r="B11" s="69" t="s">
        <v>756</v>
      </c>
      <c r="C11" s="69">
        <v>22</v>
      </c>
      <c r="D11" s="69" t="s">
        <v>387</v>
      </c>
      <c r="F11" s="69" t="s">
        <v>930</v>
      </c>
      <c r="G11" s="69" t="b">
        <v>0</v>
      </c>
    </row>
    <row r="12" spans="2:9">
      <c r="B12" s="69" t="s">
        <v>934</v>
      </c>
      <c r="C12" s="69">
        <v>7</v>
      </c>
      <c r="D12" s="69" t="s">
        <v>291</v>
      </c>
      <c r="F12" s="69" t="s">
        <v>930</v>
      </c>
      <c r="G12" s="69" t="b">
        <v>0</v>
      </c>
    </row>
    <row r="13" spans="2:9">
      <c r="B13" s="69" t="s">
        <v>418</v>
      </c>
      <c r="C13" s="69">
        <v>6</v>
      </c>
      <c r="D13" s="69" t="s">
        <v>931</v>
      </c>
      <c r="F13" s="69" t="s">
        <v>930</v>
      </c>
      <c r="G13" s="69" t="b">
        <v>0</v>
      </c>
    </row>
    <row r="14" spans="2:9">
      <c r="B14" s="69" t="s">
        <v>759</v>
      </c>
      <c r="C14" s="69">
        <v>23</v>
      </c>
      <c r="D14" s="69" t="s">
        <v>387</v>
      </c>
      <c r="F14" s="69" t="s">
        <v>930</v>
      </c>
      <c r="G14" s="69" t="b">
        <v>0</v>
      </c>
    </row>
    <row r="15" spans="2:9">
      <c r="B15" s="69" t="s">
        <v>518</v>
      </c>
      <c r="C15" s="69">
        <v>15</v>
      </c>
      <c r="D15" s="69" t="s">
        <v>291</v>
      </c>
      <c r="F15" s="69" t="s">
        <v>930</v>
      </c>
      <c r="G15" s="69" t="b">
        <v>0</v>
      </c>
    </row>
    <row r="16" spans="2:9">
      <c r="B16" s="69" t="s">
        <v>585</v>
      </c>
      <c r="C16" s="69">
        <v>9</v>
      </c>
      <c r="D16" s="69" t="s">
        <v>387</v>
      </c>
      <c r="F16" s="69" t="s">
        <v>930</v>
      </c>
      <c r="G16" s="69" t="b">
        <v>0</v>
      </c>
    </row>
    <row r="17" spans="2:7">
      <c r="B17" s="69" t="s">
        <v>609</v>
      </c>
      <c r="C17" s="69">
        <v>54</v>
      </c>
      <c r="D17" s="69" t="s">
        <v>387</v>
      </c>
      <c r="F17" s="69" t="s">
        <v>930</v>
      </c>
      <c r="G17" s="69" t="b">
        <v>0</v>
      </c>
    </row>
    <row r="18" spans="2:7">
      <c r="B18" s="69" t="s">
        <v>616</v>
      </c>
      <c r="C18" s="69">
        <v>55</v>
      </c>
      <c r="D18" s="69" t="s">
        <v>387</v>
      </c>
      <c r="F18" s="69" t="s">
        <v>930</v>
      </c>
      <c r="G18" s="69" t="b">
        <v>0</v>
      </c>
    </row>
    <row r="19" spans="2:7">
      <c r="B19" s="69" t="s">
        <v>574</v>
      </c>
      <c r="C19" s="69">
        <v>42</v>
      </c>
      <c r="D19" s="69" t="s">
        <v>931</v>
      </c>
      <c r="F19" s="69" t="s">
        <v>930</v>
      </c>
      <c r="G19" s="69" t="b">
        <v>0</v>
      </c>
    </row>
    <row r="20" spans="2:7">
      <c r="B20" s="69" t="s">
        <v>561</v>
      </c>
      <c r="C20" s="69">
        <v>41</v>
      </c>
      <c r="D20" s="69" t="s">
        <v>931</v>
      </c>
      <c r="F20" s="69" t="s">
        <v>930</v>
      </c>
      <c r="G20" s="69" t="b">
        <v>0</v>
      </c>
    </row>
    <row r="21" spans="2:7">
      <c r="B21" s="69" t="s">
        <v>620</v>
      </c>
      <c r="C21" s="69">
        <v>56</v>
      </c>
      <c r="D21" s="69" t="s">
        <v>935</v>
      </c>
      <c r="F21" s="69" t="s">
        <v>930</v>
      </c>
      <c r="G21" s="69" t="b">
        <v>0</v>
      </c>
    </row>
    <row r="22" spans="2:7">
      <c r="B22" s="69" t="s">
        <v>580</v>
      </c>
      <c r="C22" s="69">
        <v>43</v>
      </c>
      <c r="D22" s="69" t="s">
        <v>931</v>
      </c>
      <c r="F22" s="69" t="s">
        <v>930</v>
      </c>
      <c r="G22" s="69" t="b">
        <v>0</v>
      </c>
    </row>
    <row r="23" spans="2:7">
      <c r="B23" s="69" t="s">
        <v>730</v>
      </c>
      <c r="C23" s="69">
        <v>36</v>
      </c>
      <c r="D23" s="69" t="s">
        <v>931</v>
      </c>
      <c r="F23" s="69" t="s">
        <v>930</v>
      </c>
      <c r="G23" s="69" t="b">
        <v>0</v>
      </c>
    </row>
    <row r="24" spans="2:7">
      <c r="B24" s="69" t="s">
        <v>536</v>
      </c>
      <c r="C24" s="69">
        <v>13</v>
      </c>
      <c r="D24" s="69" t="s">
        <v>555</v>
      </c>
      <c r="F24" s="69" t="s">
        <v>930</v>
      </c>
      <c r="G24" s="69" t="b">
        <v>0</v>
      </c>
    </row>
    <row r="25" spans="2:7">
      <c r="B25" s="69" t="s">
        <v>482</v>
      </c>
      <c r="C25" s="69">
        <v>32</v>
      </c>
      <c r="D25" s="69" t="s">
        <v>266</v>
      </c>
      <c r="F25" s="69" t="s">
        <v>930</v>
      </c>
      <c r="G25" s="69" t="b">
        <v>0</v>
      </c>
    </row>
    <row r="26" spans="2:7">
      <c r="B26" s="69" t="s">
        <v>936</v>
      </c>
      <c r="C26" s="69">
        <v>17</v>
      </c>
      <c r="D26" s="69" t="s">
        <v>271</v>
      </c>
      <c r="F26" s="69" t="s">
        <v>930</v>
      </c>
      <c r="G26" s="69" t="b">
        <v>0</v>
      </c>
    </row>
    <row r="27" spans="2:7">
      <c r="B27" s="69" t="s">
        <v>937</v>
      </c>
      <c r="C27" s="69">
        <v>16</v>
      </c>
      <c r="D27" s="69" t="s">
        <v>291</v>
      </c>
      <c r="F27" s="69" t="s">
        <v>930</v>
      </c>
      <c r="G27" s="69" t="b">
        <v>0</v>
      </c>
    </row>
    <row r="28" spans="2:7">
      <c r="B28" s="69" t="s">
        <v>938</v>
      </c>
      <c r="C28" s="69">
        <v>28</v>
      </c>
      <c r="D28" s="69" t="s">
        <v>939</v>
      </c>
      <c r="G28" s="69" t="b">
        <v>0</v>
      </c>
    </row>
    <row r="29" spans="2:7">
      <c r="B29" s="69" t="s">
        <v>442</v>
      </c>
      <c r="C29" s="69">
        <v>5</v>
      </c>
      <c r="D29" s="69" t="s">
        <v>291</v>
      </c>
      <c r="F29" s="69" t="s">
        <v>930</v>
      </c>
      <c r="G29" s="69" t="b">
        <v>0</v>
      </c>
    </row>
    <row r="30" spans="2:7">
      <c r="B30" s="69" t="s">
        <v>401</v>
      </c>
      <c r="C30" s="69">
        <v>27</v>
      </c>
      <c r="D30" s="69" t="s">
        <v>939</v>
      </c>
      <c r="G30" s="69" t="b">
        <v>0</v>
      </c>
    </row>
    <row r="31" spans="2:7">
      <c r="B31" s="69" t="s">
        <v>466</v>
      </c>
      <c r="C31" s="69">
        <v>52</v>
      </c>
      <c r="D31" s="69" t="s">
        <v>713</v>
      </c>
      <c r="F31" s="69" t="s">
        <v>930</v>
      </c>
      <c r="G31" s="69" t="b">
        <v>0</v>
      </c>
    </row>
    <row r="32" spans="2:7">
      <c r="B32" s="69" t="s">
        <v>500</v>
      </c>
      <c r="C32" s="69">
        <v>51</v>
      </c>
      <c r="D32" s="69" t="s">
        <v>291</v>
      </c>
      <c r="F32" s="69" t="s">
        <v>930</v>
      </c>
      <c r="G32" s="69" t="b">
        <v>0</v>
      </c>
    </row>
    <row r="33" spans="2:9">
      <c r="B33" s="69" t="s">
        <v>762</v>
      </c>
      <c r="C33" s="69">
        <v>18</v>
      </c>
      <c r="D33" s="69" t="s">
        <v>291</v>
      </c>
      <c r="F33" s="69" t="s">
        <v>930</v>
      </c>
      <c r="G33" s="69" t="b">
        <v>0</v>
      </c>
    </row>
    <row r="34" spans="2:9">
      <c r="B34" s="69" t="s">
        <v>452</v>
      </c>
      <c r="C34" s="69">
        <v>8</v>
      </c>
      <c r="D34" s="69" t="s">
        <v>555</v>
      </c>
      <c r="F34" s="69" t="s">
        <v>930</v>
      </c>
      <c r="G34" s="69" t="b">
        <v>0</v>
      </c>
    </row>
    <row r="35" spans="2:9">
      <c r="B35" s="69" t="s">
        <v>940</v>
      </c>
      <c r="C35" s="69">
        <v>33</v>
      </c>
      <c r="D35" s="69" t="s">
        <v>931</v>
      </c>
      <c r="F35" s="69" t="s">
        <v>930</v>
      </c>
      <c r="G35" s="69" t="b">
        <v>0</v>
      </c>
    </row>
    <row r="36" spans="2:9">
      <c r="B36" s="69" t="s">
        <v>435</v>
      </c>
      <c r="C36" s="69">
        <v>4</v>
      </c>
      <c r="D36" s="69" t="s">
        <v>291</v>
      </c>
      <c r="F36" s="69" t="s">
        <v>930</v>
      </c>
      <c r="G36" s="69" t="b">
        <v>0</v>
      </c>
    </row>
    <row r="37" spans="2:9">
      <c r="B37" s="69" t="s">
        <v>558</v>
      </c>
      <c r="C37" s="69">
        <v>14</v>
      </c>
      <c r="D37" s="69" t="s">
        <v>555</v>
      </c>
      <c r="F37" s="69" t="s">
        <v>930</v>
      </c>
      <c r="G37" s="69" t="b">
        <v>0</v>
      </c>
    </row>
    <row r="38" spans="2:9">
      <c r="B38" s="69" t="s">
        <v>542</v>
      </c>
      <c r="C38" s="69">
        <v>30</v>
      </c>
      <c r="D38" s="69" t="s">
        <v>291</v>
      </c>
      <c r="F38" s="69" t="s">
        <v>930</v>
      </c>
      <c r="G38" s="69" t="b">
        <v>0</v>
      </c>
    </row>
    <row r="39" spans="2:9">
      <c r="B39" s="69" t="s">
        <v>753</v>
      </c>
      <c r="C39" s="69">
        <v>21</v>
      </c>
      <c r="D39" s="69" t="s">
        <v>387</v>
      </c>
      <c r="F39" s="69" t="s">
        <v>930</v>
      </c>
      <c r="G39" s="69" t="b">
        <v>0</v>
      </c>
    </row>
    <row r="40" spans="2:9">
      <c r="B40" s="69" t="s">
        <v>366</v>
      </c>
      <c r="C40" s="69">
        <v>31</v>
      </c>
      <c r="D40" s="69" t="s">
        <v>351</v>
      </c>
      <c r="F40" s="69" t="s">
        <v>930</v>
      </c>
      <c r="G40" s="69" t="b">
        <v>0</v>
      </c>
    </row>
    <row r="41" spans="2:9">
      <c r="B41" s="69" t="s">
        <v>342</v>
      </c>
      <c r="C41" s="69">
        <v>2</v>
      </c>
      <c r="D41" s="69" t="s">
        <v>941</v>
      </c>
      <c r="F41" s="69" t="s">
        <v>930</v>
      </c>
      <c r="G41" s="69" t="b">
        <v>1</v>
      </c>
    </row>
    <row r="42" spans="2:9">
      <c r="B42" s="69" t="s">
        <v>686</v>
      </c>
      <c r="C42" s="69">
        <v>26</v>
      </c>
      <c r="D42" s="69" t="s">
        <v>939</v>
      </c>
      <c r="G42" s="69" t="b">
        <v>0</v>
      </c>
    </row>
    <row r="43" spans="2:9">
      <c r="B43" s="69" t="s">
        <v>526</v>
      </c>
      <c r="C43" s="69">
        <v>50</v>
      </c>
      <c r="D43" s="69" t="s">
        <v>942</v>
      </c>
      <c r="F43" s="69" t="s">
        <v>930</v>
      </c>
      <c r="G43" s="69" t="b">
        <v>0</v>
      </c>
    </row>
    <row r="44" spans="2:9" ht="60.75">
      <c r="B44" s="69" t="s">
        <v>375</v>
      </c>
      <c r="C44" s="69">
        <v>40</v>
      </c>
      <c r="D44" s="69" t="s">
        <v>351</v>
      </c>
      <c r="F44" s="69" t="s">
        <v>930</v>
      </c>
      <c r="G44" s="69" t="b">
        <v>1</v>
      </c>
      <c r="H44" s="70" t="s">
        <v>943</v>
      </c>
      <c r="I44" s="71" t="s">
        <v>944</v>
      </c>
    </row>
    <row r="45" spans="2:9">
      <c r="B45" s="69" t="s">
        <v>637</v>
      </c>
      <c r="C45" s="69">
        <v>57</v>
      </c>
      <c r="D45" s="69" t="s">
        <v>387</v>
      </c>
      <c r="F45" s="69" t="s">
        <v>930</v>
      </c>
      <c r="G45" s="69" t="b">
        <v>0</v>
      </c>
    </row>
    <row r="46" spans="2:9">
      <c r="B46" s="69" t="s">
        <v>605</v>
      </c>
      <c r="C46" s="69">
        <v>44</v>
      </c>
      <c r="D46" s="69" t="s">
        <v>931</v>
      </c>
      <c r="F46" s="69" t="s">
        <v>930</v>
      </c>
      <c r="G46" s="69" t="b">
        <v>0</v>
      </c>
    </row>
    <row r="47" spans="2:9">
      <c r="B47" s="69" t="s">
        <v>495</v>
      </c>
      <c r="C47" s="69">
        <v>3</v>
      </c>
      <c r="D47" s="69" t="s">
        <v>291</v>
      </c>
      <c r="F47" s="69" t="s">
        <v>930</v>
      </c>
      <c r="G47" s="69" t="b">
        <v>0</v>
      </c>
    </row>
    <row r="48" spans="2:9">
      <c r="B48" s="69" t="s">
        <v>945</v>
      </c>
      <c r="C48" s="69">
        <v>53</v>
      </c>
      <c r="D48" s="69" t="s">
        <v>942</v>
      </c>
      <c r="F48" s="69" t="s">
        <v>930</v>
      </c>
      <c r="G48" s="69" t="b">
        <v>0</v>
      </c>
    </row>
    <row r="49" spans="2:7">
      <c r="B49" s="69" t="s">
        <v>946</v>
      </c>
      <c r="C49" s="69">
        <v>35</v>
      </c>
      <c r="D49" s="69" t="s">
        <v>931</v>
      </c>
      <c r="F49" s="69" t="s">
        <v>930</v>
      </c>
      <c r="G49" s="69" t="b">
        <v>0</v>
      </c>
    </row>
    <row r="50" spans="2:7">
      <c r="B50" s="69" t="s">
        <v>449</v>
      </c>
      <c r="C50" s="69">
        <v>11</v>
      </c>
      <c r="D50" s="69" t="s">
        <v>939</v>
      </c>
      <c r="G50" s="69" t="b">
        <v>0</v>
      </c>
    </row>
    <row r="51" spans="2:7">
      <c r="B51" s="69" t="s">
        <v>348</v>
      </c>
      <c r="C51" s="69">
        <v>1</v>
      </c>
      <c r="D51" s="69" t="s">
        <v>266</v>
      </c>
      <c r="F51" s="69" t="s">
        <v>930</v>
      </c>
      <c r="G51" s="69" t="b">
        <v>1</v>
      </c>
    </row>
    <row r="52" spans="2:7">
      <c r="B52" s="69" t="s">
        <v>947</v>
      </c>
      <c r="C52" s="69">
        <v>10</v>
      </c>
      <c r="D52" s="69" t="s">
        <v>351</v>
      </c>
      <c r="F52" s="69" t="s">
        <v>930</v>
      </c>
      <c r="G52" s="69" t="b">
        <v>0</v>
      </c>
    </row>
    <row r="53" spans="2:7">
      <c r="B53" s="69" t="s">
        <v>948</v>
      </c>
      <c r="C53" s="69">
        <v>34</v>
      </c>
      <c r="D53" s="69" t="s">
        <v>931</v>
      </c>
      <c r="F53" s="69" t="s">
        <v>930</v>
      </c>
      <c r="G53" s="69" t="b">
        <v>0</v>
      </c>
    </row>
    <row r="54" spans="2:7">
      <c r="B54" s="69" t="s">
        <v>61</v>
      </c>
      <c r="C54" s="69">
        <v>19</v>
      </c>
      <c r="D54" s="69" t="s">
        <v>271</v>
      </c>
      <c r="F54" s="69" t="s">
        <v>930</v>
      </c>
      <c r="G54" s="69" t="b">
        <v>0</v>
      </c>
    </row>
    <row r="60" spans="2:7">
      <c r="B60" s="69" t="s">
        <v>949</v>
      </c>
      <c r="C60" s="218" t="s">
        <v>950</v>
      </c>
      <c r="D60" s="218" t="s">
        <v>951</v>
      </c>
      <c r="E60" s="218" t="s">
        <v>952</v>
      </c>
      <c r="F60" s="218" t="s">
        <v>953</v>
      </c>
    </row>
    <row r="61" spans="2:7">
      <c r="B61" s="69" t="s">
        <v>338</v>
      </c>
      <c r="C61" s="217" t="s">
        <v>954</v>
      </c>
      <c r="D61" s="70" t="s">
        <v>955</v>
      </c>
      <c r="E61" s="69" t="s">
        <v>260</v>
      </c>
      <c r="F61" s="69" t="s">
        <v>956</v>
      </c>
    </row>
    <row r="62" spans="2:7">
      <c r="B62" s="69" t="s">
        <v>343</v>
      </c>
      <c r="C62" s="217" t="s">
        <v>957</v>
      </c>
      <c r="D62" s="70" t="s">
        <v>958</v>
      </c>
      <c r="E62" s="69" t="s">
        <v>260</v>
      </c>
      <c r="F62" s="69" t="s">
        <v>956</v>
      </c>
    </row>
    <row r="63" spans="2:7">
      <c r="B63" s="69" t="s">
        <v>349</v>
      </c>
      <c r="C63" s="217" t="s">
        <v>959</v>
      </c>
      <c r="D63" s="70" t="s">
        <v>960</v>
      </c>
      <c r="E63" s="69" t="s">
        <v>284</v>
      </c>
      <c r="F63" s="69" t="s">
        <v>956</v>
      </c>
    </row>
    <row r="64" spans="2:7">
      <c r="B64" s="69" t="s">
        <v>357</v>
      </c>
      <c r="C64" s="217" t="s">
        <v>961</v>
      </c>
      <c r="D64" s="70" t="s">
        <v>962</v>
      </c>
      <c r="E64" s="69" t="s">
        <v>284</v>
      </c>
      <c r="F64" s="69" t="s">
        <v>956</v>
      </c>
    </row>
    <row r="65" spans="2:6">
      <c r="B65" s="69" t="s">
        <v>367</v>
      </c>
      <c r="C65" s="217" t="s">
        <v>963</v>
      </c>
      <c r="D65" s="70" t="s">
        <v>964</v>
      </c>
      <c r="E65" s="69" t="s">
        <v>284</v>
      </c>
      <c r="F65" s="69" t="s">
        <v>956</v>
      </c>
    </row>
    <row r="66" spans="2:6">
      <c r="B66" s="69" t="s">
        <v>385</v>
      </c>
      <c r="C66" s="217" t="s">
        <v>965</v>
      </c>
      <c r="D66" s="70" t="s">
        <v>966</v>
      </c>
      <c r="E66" s="69" t="s">
        <v>284</v>
      </c>
      <c r="F66" s="69" t="s">
        <v>956</v>
      </c>
    </row>
    <row r="67" spans="2:6">
      <c r="B67" s="69" t="s">
        <v>395</v>
      </c>
      <c r="C67" s="70" t="s">
        <v>967</v>
      </c>
      <c r="D67" s="70" t="s">
        <v>968</v>
      </c>
      <c r="E67" s="69" t="s">
        <v>284</v>
      </c>
      <c r="F67" s="69" t="s">
        <v>956</v>
      </c>
    </row>
    <row r="68" spans="2:6">
      <c r="B68" s="69" t="s">
        <v>402</v>
      </c>
      <c r="C68" s="217" t="s">
        <v>969</v>
      </c>
      <c r="D68" s="70" t="s">
        <v>970</v>
      </c>
      <c r="E68" s="69" t="s">
        <v>284</v>
      </c>
      <c r="F68" s="69" t="s">
        <v>956</v>
      </c>
    </row>
    <row r="69" spans="2:6">
      <c r="B69" s="69" t="s">
        <v>412</v>
      </c>
      <c r="C69" s="70" t="s">
        <v>971</v>
      </c>
      <c r="D69" s="70" t="s">
        <v>972</v>
      </c>
      <c r="E69" s="69" t="s">
        <v>284</v>
      </c>
      <c r="F69" s="69" t="s">
        <v>956</v>
      </c>
    </row>
    <row r="70" spans="2:6">
      <c r="B70" s="69" t="s">
        <v>419</v>
      </c>
      <c r="C70" s="70" t="s">
        <v>973</v>
      </c>
      <c r="D70" s="70" t="s">
        <v>974</v>
      </c>
      <c r="E70" s="69" t="s">
        <v>284</v>
      </c>
      <c r="F70" s="69" t="s">
        <v>956</v>
      </c>
    </row>
    <row r="71" spans="2:6">
      <c r="B71" s="69" t="s">
        <v>425</v>
      </c>
      <c r="C71" s="217" t="s">
        <v>975</v>
      </c>
      <c r="D71" s="70" t="s">
        <v>976</v>
      </c>
      <c r="E71" s="69" t="s">
        <v>284</v>
      </c>
      <c r="F71" s="69" t="s">
        <v>977</v>
      </c>
    </row>
    <row r="72" spans="2:6">
      <c r="B72" s="69" t="s">
        <v>431</v>
      </c>
      <c r="C72" s="217" t="s">
        <v>978</v>
      </c>
      <c r="D72" s="70" t="s">
        <v>968</v>
      </c>
      <c r="E72" s="69" t="s">
        <v>284</v>
      </c>
      <c r="F72" s="69" t="s">
        <v>956</v>
      </c>
    </row>
    <row r="73" spans="2:6">
      <c r="B73" s="69" t="s">
        <v>436</v>
      </c>
      <c r="C73" s="217" t="s">
        <v>979</v>
      </c>
      <c r="D73" s="70" t="s">
        <v>980</v>
      </c>
      <c r="E73" s="69" t="s">
        <v>284</v>
      </c>
      <c r="F73" s="69" t="s">
        <v>956</v>
      </c>
    </row>
    <row r="74" spans="2:6">
      <c r="B74" s="69" t="s">
        <v>443</v>
      </c>
      <c r="C74" s="70" t="s">
        <v>981</v>
      </c>
      <c r="D74" s="70" t="s">
        <v>968</v>
      </c>
      <c r="E74" s="69" t="s">
        <v>284</v>
      </c>
      <c r="F74" s="69" t="s">
        <v>956</v>
      </c>
    </row>
    <row r="75" spans="2:6">
      <c r="B75" s="69" t="s">
        <v>451</v>
      </c>
      <c r="C75" s="217" t="s">
        <v>982</v>
      </c>
      <c r="D75" s="70" t="s">
        <v>968</v>
      </c>
      <c r="E75" s="69" t="s">
        <v>284</v>
      </c>
      <c r="F75" s="69" t="s">
        <v>956</v>
      </c>
    </row>
    <row r="76" spans="2:6">
      <c r="B76" s="69" t="s">
        <v>460</v>
      </c>
      <c r="C76" s="70" t="s">
        <v>983</v>
      </c>
      <c r="D76" s="70" t="s">
        <v>968</v>
      </c>
      <c r="E76" s="69" t="s">
        <v>284</v>
      </c>
      <c r="F76" s="69" t="s">
        <v>956</v>
      </c>
    </row>
    <row r="77" spans="2:6">
      <c r="B77" s="69" t="s">
        <v>467</v>
      </c>
      <c r="C77" s="70" t="s">
        <v>984</v>
      </c>
      <c r="D77" s="70" t="s">
        <v>968</v>
      </c>
      <c r="E77" s="69" t="s">
        <v>284</v>
      </c>
      <c r="F77" s="69" t="s">
        <v>956</v>
      </c>
    </row>
    <row r="78" spans="2:6">
      <c r="B78" s="69" t="s">
        <v>472</v>
      </c>
      <c r="C78" s="70" t="s">
        <v>985</v>
      </c>
      <c r="D78" s="70" t="s">
        <v>968</v>
      </c>
      <c r="E78" s="69" t="s">
        <v>284</v>
      </c>
      <c r="F78" s="69" t="s">
        <v>956</v>
      </c>
    </row>
    <row r="79" spans="2:6">
      <c r="B79" s="69" t="s">
        <v>475</v>
      </c>
      <c r="C79" s="70" t="s">
        <v>986</v>
      </c>
      <c r="D79" s="70" t="s">
        <v>968</v>
      </c>
      <c r="E79" s="69" t="s">
        <v>284</v>
      </c>
      <c r="F79" s="69" t="s">
        <v>956</v>
      </c>
    </row>
    <row r="80" spans="2:6">
      <c r="B80" s="69" t="s">
        <v>483</v>
      </c>
      <c r="C80" s="70" t="s">
        <v>987</v>
      </c>
      <c r="D80" s="70" t="s">
        <v>968</v>
      </c>
      <c r="E80" s="69" t="s">
        <v>284</v>
      </c>
      <c r="F80" s="69" t="s">
        <v>956</v>
      </c>
    </row>
    <row r="81" spans="2:6">
      <c r="B81" s="69" t="s">
        <v>487</v>
      </c>
      <c r="C81" s="70" t="s">
        <v>988</v>
      </c>
      <c r="D81" s="70" t="s">
        <v>968</v>
      </c>
      <c r="E81" s="69" t="s">
        <v>284</v>
      </c>
      <c r="F81" s="69" t="s">
        <v>956</v>
      </c>
    </row>
    <row r="82" spans="2:6">
      <c r="B82" s="69" t="s">
        <v>490</v>
      </c>
      <c r="C82" s="70" t="s">
        <v>989</v>
      </c>
      <c r="D82" s="70" t="s">
        <v>968</v>
      </c>
      <c r="E82" s="69" t="s">
        <v>284</v>
      </c>
      <c r="F82" s="69" t="s">
        <v>956</v>
      </c>
    </row>
    <row r="83" spans="2:6">
      <c r="B83" s="69" t="s">
        <v>496</v>
      </c>
      <c r="C83" s="70" t="s">
        <v>990</v>
      </c>
      <c r="D83" s="70" t="s">
        <v>968</v>
      </c>
      <c r="E83" s="69" t="s">
        <v>284</v>
      </c>
      <c r="F83" s="69" t="s">
        <v>956</v>
      </c>
    </row>
    <row r="84" spans="2:6">
      <c r="B84" s="69" t="s">
        <v>501</v>
      </c>
      <c r="C84" s="70" t="s">
        <v>991</v>
      </c>
      <c r="D84" s="70" t="s">
        <v>992</v>
      </c>
      <c r="E84" s="69" t="s">
        <v>284</v>
      </c>
      <c r="F84" s="69" t="s">
        <v>956</v>
      </c>
    </row>
    <row r="85" spans="2:6">
      <c r="B85" s="69" t="s">
        <v>505</v>
      </c>
      <c r="C85" s="70" t="s">
        <v>993</v>
      </c>
      <c r="D85" s="70" t="s">
        <v>968</v>
      </c>
      <c r="E85" s="69" t="s">
        <v>284</v>
      </c>
      <c r="F85" s="69" t="s">
        <v>956</v>
      </c>
    </row>
    <row r="86" spans="2:6">
      <c r="B86" s="69" t="s">
        <v>510</v>
      </c>
      <c r="C86" s="217" t="s">
        <v>994</v>
      </c>
      <c r="D86" s="70" t="s">
        <v>995</v>
      </c>
      <c r="E86" s="69" t="s">
        <v>284</v>
      </c>
      <c r="F86" s="69" t="s">
        <v>977</v>
      </c>
    </row>
    <row r="87" spans="2:6">
      <c r="B87" s="69" t="s">
        <v>517</v>
      </c>
      <c r="C87" s="217" t="s">
        <v>996</v>
      </c>
      <c r="D87" s="70" t="s">
        <v>997</v>
      </c>
      <c r="E87" s="69" t="s">
        <v>284</v>
      </c>
      <c r="F87" s="69" t="s">
        <v>977</v>
      </c>
    </row>
    <row r="88" spans="2:6">
      <c r="B88" s="69" t="s">
        <v>521</v>
      </c>
      <c r="C88" s="69" t="s">
        <v>998</v>
      </c>
      <c r="D88" s="69" t="s">
        <v>999</v>
      </c>
      <c r="E88" s="69" t="s">
        <v>284</v>
      </c>
      <c r="F88" s="69" t="s">
        <v>977</v>
      </c>
    </row>
    <row r="89" spans="2:6">
      <c r="B89" s="69" t="s">
        <v>527</v>
      </c>
      <c r="C89" s="69" t="s">
        <v>1000</v>
      </c>
      <c r="D89" s="69" t="s">
        <v>999</v>
      </c>
      <c r="E89" s="69" t="s">
        <v>284</v>
      </c>
      <c r="F89" s="69" t="s">
        <v>956</v>
      </c>
    </row>
    <row r="90" spans="2:6">
      <c r="B90" s="69" t="s">
        <v>531</v>
      </c>
      <c r="C90" s="217" t="s">
        <v>1001</v>
      </c>
      <c r="D90" s="70" t="s">
        <v>968</v>
      </c>
      <c r="E90" s="69" t="s">
        <v>284</v>
      </c>
      <c r="F90" s="69" t="s">
        <v>956</v>
      </c>
    </row>
    <row r="91" spans="2:6">
      <c r="B91" s="69" t="s">
        <v>537</v>
      </c>
      <c r="C91" s="217" t="s">
        <v>1002</v>
      </c>
      <c r="D91" s="70" t="s">
        <v>992</v>
      </c>
      <c r="E91" s="69" t="s">
        <v>284</v>
      </c>
      <c r="F91" s="69" t="s">
        <v>956</v>
      </c>
    </row>
    <row r="92" spans="2:6">
      <c r="B92" s="69" t="s">
        <v>541</v>
      </c>
      <c r="C92" s="217" t="s">
        <v>1003</v>
      </c>
      <c r="D92" s="70" t="s">
        <v>968</v>
      </c>
      <c r="E92" s="69" t="s">
        <v>284</v>
      </c>
      <c r="F92" s="69" t="s">
        <v>956</v>
      </c>
    </row>
    <row r="93" spans="2:6">
      <c r="B93" s="69" t="s">
        <v>547</v>
      </c>
      <c r="C93" s="70" t="s">
        <v>1004</v>
      </c>
      <c r="D93" s="70" t="s">
        <v>1005</v>
      </c>
      <c r="E93" s="69" t="s">
        <v>284</v>
      </c>
      <c r="F93" s="69" t="s">
        <v>956</v>
      </c>
    </row>
    <row r="94" spans="2:6">
      <c r="B94" s="69" t="s">
        <v>550</v>
      </c>
      <c r="C94" s="70" t="s">
        <v>1006</v>
      </c>
      <c r="D94" s="70" t="s">
        <v>968</v>
      </c>
      <c r="E94" s="69" t="s">
        <v>284</v>
      </c>
      <c r="F94" s="69" t="s">
        <v>956</v>
      </c>
    </row>
    <row r="95" spans="2:6">
      <c r="B95" s="69" t="s">
        <v>553</v>
      </c>
      <c r="C95" s="70" t="s">
        <v>1007</v>
      </c>
      <c r="D95" s="70" t="s">
        <v>968</v>
      </c>
      <c r="E95" s="69" t="s">
        <v>284</v>
      </c>
      <c r="F95" s="69" t="s">
        <v>956</v>
      </c>
    </row>
    <row r="96" spans="2:6">
      <c r="B96" s="69" t="s">
        <v>557</v>
      </c>
      <c r="C96" s="70" t="s">
        <v>1008</v>
      </c>
      <c r="D96" s="70" t="s">
        <v>968</v>
      </c>
      <c r="E96" s="69" t="s">
        <v>284</v>
      </c>
      <c r="F96" s="69" t="s">
        <v>956</v>
      </c>
    </row>
    <row r="97" spans="2:6">
      <c r="B97" s="69" t="s">
        <v>560</v>
      </c>
      <c r="C97" s="70" t="s">
        <v>1009</v>
      </c>
      <c r="D97" s="70" t="s">
        <v>968</v>
      </c>
      <c r="E97" s="69" t="s">
        <v>284</v>
      </c>
      <c r="F97" s="69" t="s">
        <v>956</v>
      </c>
    </row>
    <row r="98" spans="2:6">
      <c r="B98" s="69" t="s">
        <v>565</v>
      </c>
      <c r="C98" s="70" t="s">
        <v>1010</v>
      </c>
      <c r="D98" s="70" t="s">
        <v>968</v>
      </c>
      <c r="E98" s="69" t="s">
        <v>284</v>
      </c>
      <c r="F98" s="69" t="s">
        <v>956</v>
      </c>
    </row>
    <row r="99" spans="2:6">
      <c r="B99" s="69" t="s">
        <v>570</v>
      </c>
      <c r="C99" s="217" t="s">
        <v>1011</v>
      </c>
      <c r="D99" s="70" t="s">
        <v>1012</v>
      </c>
      <c r="E99" s="69" t="s">
        <v>284</v>
      </c>
      <c r="F99" s="69" t="s">
        <v>956</v>
      </c>
    </row>
    <row r="100" spans="2:6">
      <c r="B100" s="69" t="s">
        <v>575</v>
      </c>
      <c r="C100" s="219" t="s">
        <v>1013</v>
      </c>
      <c r="D100" s="69" t="s">
        <v>999</v>
      </c>
      <c r="E100" s="69" t="s">
        <v>284</v>
      </c>
      <c r="F100" s="69" t="s">
        <v>956</v>
      </c>
    </row>
    <row r="101" spans="2:6">
      <c r="B101" s="69" t="s">
        <v>581</v>
      </c>
      <c r="C101" s="217" t="s">
        <v>1014</v>
      </c>
      <c r="D101" s="70" t="s">
        <v>1015</v>
      </c>
      <c r="E101" s="69" t="s">
        <v>260</v>
      </c>
      <c r="F101" s="69" t="s">
        <v>956</v>
      </c>
    </row>
    <row r="102" spans="2:6">
      <c r="B102" s="69" t="s">
        <v>586</v>
      </c>
      <c r="C102" s="219" t="s">
        <v>1016</v>
      </c>
      <c r="D102" s="69" t="s">
        <v>999</v>
      </c>
      <c r="E102" s="69" t="s">
        <v>284</v>
      </c>
      <c r="F102" s="69" t="s">
        <v>956</v>
      </c>
    </row>
    <row r="103" spans="2:6">
      <c r="B103" s="69" t="s">
        <v>590</v>
      </c>
      <c r="C103" s="219" t="s">
        <v>1017</v>
      </c>
      <c r="D103" s="69" t="s">
        <v>999</v>
      </c>
      <c r="E103" s="69" t="s">
        <v>284</v>
      </c>
      <c r="F103" s="69" t="s">
        <v>956</v>
      </c>
    </row>
    <row r="104" spans="2:6">
      <c r="B104" s="69" t="s">
        <v>595</v>
      </c>
      <c r="C104" s="219" t="s">
        <v>1018</v>
      </c>
      <c r="D104" s="69" t="s">
        <v>999</v>
      </c>
      <c r="E104" s="69" t="s">
        <v>284</v>
      </c>
      <c r="F104" s="69" t="s">
        <v>956</v>
      </c>
    </row>
    <row r="105" spans="2:6">
      <c r="B105" s="69" t="s">
        <v>601</v>
      </c>
      <c r="C105" s="259" t="s">
        <v>1019</v>
      </c>
      <c r="D105" s="69" t="s">
        <v>999</v>
      </c>
      <c r="E105" s="69" t="s">
        <v>284</v>
      </c>
      <c r="F105" s="69" t="s">
        <v>956</v>
      </c>
    </row>
    <row r="106" spans="2:6">
      <c r="B106" s="69" t="s">
        <v>606</v>
      </c>
      <c r="C106" s="219" t="s">
        <v>1020</v>
      </c>
      <c r="D106" s="69" t="s">
        <v>999</v>
      </c>
      <c r="E106" s="69" t="s">
        <v>284</v>
      </c>
      <c r="F106" s="69" t="s">
        <v>956</v>
      </c>
    </row>
    <row r="107" spans="2:6">
      <c r="B107" s="69" t="s">
        <v>610</v>
      </c>
      <c r="C107" s="219" t="s">
        <v>1021</v>
      </c>
      <c r="D107" s="69" t="s">
        <v>999</v>
      </c>
      <c r="E107" s="69" t="s">
        <v>284</v>
      </c>
      <c r="F107" s="69" t="s">
        <v>956</v>
      </c>
    </row>
    <row r="108" spans="2:6">
      <c r="B108" s="69" t="s">
        <v>613</v>
      </c>
      <c r="C108" s="219" t="s">
        <v>1022</v>
      </c>
      <c r="D108" s="69" t="s">
        <v>999</v>
      </c>
      <c r="E108" s="69" t="s">
        <v>284</v>
      </c>
      <c r="F108" s="69" t="s">
        <v>956</v>
      </c>
    </row>
    <row r="109" spans="2:6">
      <c r="B109" s="69" t="s">
        <v>564</v>
      </c>
      <c r="C109" s="69" t="s">
        <v>1023</v>
      </c>
      <c r="D109" s="69" t="s">
        <v>999</v>
      </c>
      <c r="E109" s="69" t="s">
        <v>284</v>
      </c>
      <c r="F109" s="69" t="s">
        <v>956</v>
      </c>
    </row>
    <row r="110" spans="2:6">
      <c r="B110" s="69" t="s">
        <v>638</v>
      </c>
      <c r="C110" s="69" t="s">
        <v>1024</v>
      </c>
      <c r="D110" s="69" t="s">
        <v>999</v>
      </c>
      <c r="E110" s="69" t="s">
        <v>284</v>
      </c>
      <c r="F110" s="69" t="s">
        <v>956</v>
      </c>
    </row>
    <row r="111" spans="2:6">
      <c r="B111" s="69" t="s">
        <v>642</v>
      </c>
      <c r="C111" s="69" t="s">
        <v>1025</v>
      </c>
      <c r="D111" s="69" t="s">
        <v>999</v>
      </c>
      <c r="E111" s="69" t="s">
        <v>284</v>
      </c>
      <c r="F111" s="69" t="s">
        <v>956</v>
      </c>
    </row>
    <row r="112" spans="2:6">
      <c r="B112" s="69" t="s">
        <v>646</v>
      </c>
      <c r="C112" s="69" t="s">
        <v>1026</v>
      </c>
      <c r="D112" s="69" t="s">
        <v>999</v>
      </c>
      <c r="E112" s="69" t="s">
        <v>284</v>
      </c>
      <c r="F112" s="69" t="s">
        <v>956</v>
      </c>
    </row>
    <row r="113" spans="2:6">
      <c r="B113" s="69" t="s">
        <v>651</v>
      </c>
      <c r="C113" s="69" t="s">
        <v>1027</v>
      </c>
      <c r="D113" s="69" t="s">
        <v>999</v>
      </c>
      <c r="E113" s="69" t="s">
        <v>284</v>
      </c>
      <c r="F113" s="69" t="s">
        <v>956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DDA38-F611-4507-BF76-CE6C0742A4D5}">
  <sheetPr>
    <tabColor theme="4" tint="0.59999389629810485"/>
  </sheetPr>
  <dimension ref="A2:U29"/>
  <sheetViews>
    <sheetView workbookViewId="0">
      <pane xSplit="2" topLeftCell="L1" activePane="topRight" state="frozen"/>
      <selection pane="topRight" activeCell="N6" sqref="N6:U6"/>
    </sheetView>
  </sheetViews>
  <sheetFormatPr defaultRowHeight="15"/>
  <cols>
    <col min="1" max="1" width="5.140625" bestFit="1" customWidth="1"/>
    <col min="2" max="2" width="21" bestFit="1" customWidth="1"/>
    <col min="3" max="3" width="25.28515625" customWidth="1"/>
    <col min="4" max="4" width="40" style="137" customWidth="1"/>
    <col min="5" max="5" width="10.42578125" bestFit="1" customWidth="1"/>
    <col min="6" max="6" width="13.5703125" bestFit="1" customWidth="1"/>
    <col min="9" max="9" width="16" bestFit="1" customWidth="1"/>
    <col min="10" max="10" width="15.85546875" bestFit="1" customWidth="1"/>
    <col min="11" max="11" width="43.28515625" customWidth="1"/>
    <col min="12" max="12" width="24.28515625" bestFit="1" customWidth="1"/>
    <col min="14" max="14" width="8.140625" style="134" bestFit="1" customWidth="1"/>
    <col min="15" max="15" width="8.42578125" style="134" bestFit="1" customWidth="1"/>
    <col min="16" max="16" width="32.5703125" style="138" bestFit="1" customWidth="1"/>
    <col min="17" max="17" width="41" style="138" bestFit="1" customWidth="1"/>
    <col min="18" max="18" width="13.7109375" style="138" bestFit="1" customWidth="1"/>
    <col min="19" max="19" width="22.7109375" style="138" bestFit="1" customWidth="1"/>
    <col min="20" max="20" width="13" style="138" bestFit="1" customWidth="1"/>
    <col min="21" max="21" width="12" style="138" bestFit="1" customWidth="1"/>
  </cols>
  <sheetData>
    <row r="2" spans="1:21">
      <c r="A2" s="264"/>
      <c r="B2" s="228" t="s">
        <v>323</v>
      </c>
      <c r="C2" s="265" t="s">
        <v>33</v>
      </c>
      <c r="D2" s="266"/>
      <c r="E2" s="267" t="s">
        <v>324</v>
      </c>
      <c r="F2" s="268"/>
      <c r="G2" s="269"/>
      <c r="H2" s="269"/>
      <c r="I2" s="268"/>
      <c r="J2" s="268"/>
      <c r="K2" s="269"/>
      <c r="L2" s="268"/>
    </row>
    <row r="3" spans="1:21">
      <c r="A3" s="264"/>
      <c r="B3" s="228" t="s">
        <v>325</v>
      </c>
      <c r="C3" s="265" t="s">
        <v>1028</v>
      </c>
      <c r="D3" s="266"/>
      <c r="E3" s="268"/>
      <c r="F3" s="268"/>
      <c r="G3" s="269"/>
      <c r="H3" s="269"/>
      <c r="I3" s="268"/>
      <c r="J3" s="268"/>
      <c r="K3" s="269"/>
      <c r="L3" s="268"/>
    </row>
    <row r="4" spans="1:21">
      <c r="A4" s="264"/>
      <c r="B4" s="228" t="s">
        <v>327</v>
      </c>
      <c r="C4" s="270" t="s">
        <v>1029</v>
      </c>
      <c r="D4" s="266"/>
      <c r="E4" s="268"/>
      <c r="F4" s="268"/>
      <c r="G4" s="269"/>
      <c r="H4" s="269"/>
      <c r="I4" s="268"/>
      <c r="J4" s="268"/>
      <c r="K4" s="269"/>
      <c r="L4" s="268"/>
    </row>
    <row r="5" spans="1:21">
      <c r="A5" s="264"/>
      <c r="B5" s="228" t="s">
        <v>329</v>
      </c>
      <c r="C5" s="271" t="s">
        <v>1030</v>
      </c>
      <c r="D5" s="266"/>
      <c r="E5" s="268"/>
      <c r="F5" s="268"/>
      <c r="G5" s="269"/>
      <c r="H5" s="269"/>
      <c r="I5" s="268"/>
      <c r="J5" s="268"/>
      <c r="K5" s="269"/>
      <c r="L5" s="268"/>
    </row>
    <row r="6" spans="1:21" ht="36">
      <c r="A6" s="230" t="s">
        <v>247</v>
      </c>
      <c r="B6" s="230" t="s">
        <v>248</v>
      </c>
      <c r="C6" s="230" t="s">
        <v>17</v>
      </c>
      <c r="D6" s="231" t="s">
        <v>249</v>
      </c>
      <c r="E6" s="230" t="s">
        <v>250</v>
      </c>
      <c r="F6" s="230" t="s">
        <v>251</v>
      </c>
      <c r="G6" s="231" t="s">
        <v>252</v>
      </c>
      <c r="H6" s="231" t="s">
        <v>253</v>
      </c>
      <c r="I6" s="230" t="s">
        <v>254</v>
      </c>
      <c r="J6" s="230" t="s">
        <v>255</v>
      </c>
      <c r="K6" s="231" t="s">
        <v>256</v>
      </c>
      <c r="L6" s="268"/>
      <c r="N6" s="179" t="s">
        <v>331</v>
      </c>
      <c r="O6" s="179" t="s">
        <v>332</v>
      </c>
      <c r="P6" s="175" t="s">
        <v>333</v>
      </c>
      <c r="Q6" s="175" t="s">
        <v>334</v>
      </c>
      <c r="R6" s="175" t="s">
        <v>335</v>
      </c>
      <c r="S6" s="175" t="s">
        <v>319</v>
      </c>
      <c r="T6" s="175" t="s">
        <v>336</v>
      </c>
      <c r="U6" s="175" t="s">
        <v>337</v>
      </c>
    </row>
    <row r="7" spans="1:21" ht="105.75">
      <c r="A7" s="272" t="s">
        <v>338</v>
      </c>
      <c r="B7" s="233" t="s">
        <v>709</v>
      </c>
      <c r="C7" s="233" t="s">
        <v>258</v>
      </c>
      <c r="D7" s="234" t="s">
        <v>710</v>
      </c>
      <c r="E7" s="249" t="s">
        <v>260</v>
      </c>
      <c r="F7" s="233" t="s">
        <v>261</v>
      </c>
      <c r="G7" s="247" t="s">
        <v>1031</v>
      </c>
      <c r="H7" s="234" t="s">
        <v>263</v>
      </c>
      <c r="I7" s="233"/>
      <c r="J7" s="233"/>
      <c r="K7" s="234"/>
      <c r="L7" s="268"/>
      <c r="N7" s="135"/>
      <c r="O7" s="135"/>
      <c r="P7" s="140"/>
      <c r="Q7" s="140"/>
      <c r="R7" s="140" t="s">
        <v>341</v>
      </c>
      <c r="S7" s="140" t="s">
        <v>29</v>
      </c>
      <c r="T7" s="140" t="s">
        <v>342</v>
      </c>
      <c r="U7" s="140"/>
    </row>
    <row r="8" spans="1:21" ht="105.75">
      <c r="A8" s="272" t="s">
        <v>343</v>
      </c>
      <c r="B8" s="233" t="s">
        <v>712</v>
      </c>
      <c r="C8" s="233" t="s">
        <v>713</v>
      </c>
      <c r="D8" s="234" t="s">
        <v>714</v>
      </c>
      <c r="E8" s="249" t="s">
        <v>260</v>
      </c>
      <c r="F8" s="233" t="s">
        <v>261</v>
      </c>
      <c r="G8" s="234"/>
      <c r="H8" s="234" t="s">
        <v>360</v>
      </c>
      <c r="I8" s="233"/>
      <c r="J8" s="233" t="s">
        <v>715</v>
      </c>
      <c r="K8" s="234" t="s">
        <v>716</v>
      </c>
      <c r="L8" s="268"/>
      <c r="N8" s="135"/>
      <c r="O8" s="135"/>
      <c r="P8" s="140"/>
      <c r="Q8" s="140"/>
      <c r="R8" s="140" t="s">
        <v>341</v>
      </c>
      <c r="S8" s="140" t="s">
        <v>29</v>
      </c>
      <c r="T8" s="207" t="s">
        <v>366</v>
      </c>
      <c r="U8" s="140"/>
    </row>
    <row r="9" spans="1:21" ht="87.75">
      <c r="A9" s="272" t="s">
        <v>349</v>
      </c>
      <c r="B9" s="233" t="s">
        <v>717</v>
      </c>
      <c r="C9" s="233" t="s">
        <v>387</v>
      </c>
      <c r="D9" s="234" t="s">
        <v>718</v>
      </c>
      <c r="E9" s="249" t="s">
        <v>284</v>
      </c>
      <c r="F9" s="233"/>
      <c r="G9" s="247" t="s">
        <v>1032</v>
      </c>
      <c r="H9" s="234" t="s">
        <v>360</v>
      </c>
      <c r="I9" s="233"/>
      <c r="J9" s="233" t="s">
        <v>715</v>
      </c>
      <c r="K9" s="234" t="s">
        <v>720</v>
      </c>
      <c r="L9" s="268"/>
      <c r="N9" s="135" t="s">
        <v>363</v>
      </c>
      <c r="O9" s="135" t="s">
        <v>363</v>
      </c>
      <c r="P9" s="140" t="s">
        <v>458</v>
      </c>
      <c r="Q9" s="176" t="s">
        <v>459</v>
      </c>
      <c r="R9" s="140"/>
      <c r="S9" s="140" t="s">
        <v>384</v>
      </c>
      <c r="T9" s="140"/>
      <c r="U9" s="140"/>
    </row>
    <row r="10" spans="1:21" s="210" customFormat="1" ht="53.25">
      <c r="A10" s="273" t="s">
        <v>357</v>
      </c>
      <c r="B10" s="274" t="s">
        <v>721</v>
      </c>
      <c r="C10" s="274" t="s">
        <v>503</v>
      </c>
      <c r="D10" s="275" t="s">
        <v>722</v>
      </c>
      <c r="E10" s="276" t="s">
        <v>260</v>
      </c>
      <c r="F10" s="274"/>
      <c r="G10" s="275"/>
      <c r="H10" s="275" t="b">
        <v>1</v>
      </c>
      <c r="I10" s="274"/>
      <c r="J10" s="274"/>
      <c r="K10" s="275" t="s">
        <v>723</v>
      </c>
      <c r="L10" s="277"/>
      <c r="N10" s="211" t="s">
        <v>363</v>
      </c>
      <c r="O10" s="211" t="s">
        <v>363</v>
      </c>
      <c r="P10" s="212" t="s">
        <v>458</v>
      </c>
      <c r="Q10" s="213" t="s">
        <v>459</v>
      </c>
      <c r="R10" s="212" t="s">
        <v>355</v>
      </c>
      <c r="S10" s="212"/>
      <c r="T10" s="212"/>
      <c r="U10" s="214" t="s">
        <v>1033</v>
      </c>
    </row>
    <row r="11" spans="1:21" ht="45.75">
      <c r="A11" s="272" t="s">
        <v>367</v>
      </c>
      <c r="B11" s="233" t="s">
        <v>724</v>
      </c>
      <c r="C11" s="233" t="s">
        <v>271</v>
      </c>
      <c r="D11" s="234" t="s">
        <v>725</v>
      </c>
      <c r="E11" s="249" t="s">
        <v>284</v>
      </c>
      <c r="F11" s="233"/>
      <c r="G11" s="234"/>
      <c r="H11" s="234" t="s">
        <v>726</v>
      </c>
      <c r="I11" s="233"/>
      <c r="J11" s="233"/>
      <c r="K11" s="234"/>
      <c r="L11" s="278" t="s">
        <v>1034</v>
      </c>
      <c r="N11" s="135" t="s">
        <v>363</v>
      </c>
      <c r="O11" s="135" t="s">
        <v>363</v>
      </c>
      <c r="P11" s="176" t="s">
        <v>515</v>
      </c>
      <c r="Q11" s="176" t="s">
        <v>516</v>
      </c>
      <c r="R11" s="140" t="s">
        <v>341</v>
      </c>
      <c r="S11" s="140" t="s">
        <v>29</v>
      </c>
      <c r="T11" s="207" t="s">
        <v>948</v>
      </c>
      <c r="U11" s="140"/>
    </row>
    <row r="12" spans="1:21" ht="36">
      <c r="A12" s="272" t="s">
        <v>385</v>
      </c>
      <c r="B12" s="233" t="s">
        <v>727</v>
      </c>
      <c r="C12" s="233" t="s">
        <v>271</v>
      </c>
      <c r="D12" s="234" t="s">
        <v>728</v>
      </c>
      <c r="E12" s="249" t="s">
        <v>284</v>
      </c>
      <c r="F12" s="233"/>
      <c r="G12" s="234"/>
      <c r="H12" s="234"/>
      <c r="I12" s="233"/>
      <c r="J12" s="233"/>
      <c r="K12" s="234" t="s">
        <v>729</v>
      </c>
      <c r="L12" s="278" t="s">
        <v>1034</v>
      </c>
      <c r="N12" s="135" t="s">
        <v>363</v>
      </c>
      <c r="O12" s="135" t="s">
        <v>363</v>
      </c>
      <c r="P12" s="140" t="s">
        <v>458</v>
      </c>
      <c r="Q12" s="176" t="s">
        <v>459</v>
      </c>
      <c r="R12" s="140"/>
      <c r="S12" s="140" t="s">
        <v>384</v>
      </c>
      <c r="T12" s="140"/>
      <c r="U12" s="140"/>
    </row>
    <row r="13" spans="1:21" ht="17.25">
      <c r="A13" s="272" t="s">
        <v>395</v>
      </c>
      <c r="B13" s="233" t="s">
        <v>730</v>
      </c>
      <c r="C13" s="233" t="s">
        <v>271</v>
      </c>
      <c r="D13" s="234" t="s">
        <v>731</v>
      </c>
      <c r="E13" s="249" t="s">
        <v>284</v>
      </c>
      <c r="F13" s="233"/>
      <c r="G13" s="234"/>
      <c r="H13" s="234" t="s">
        <v>395</v>
      </c>
      <c r="I13" s="233"/>
      <c r="J13" s="233"/>
      <c r="K13" s="234"/>
      <c r="L13" s="278" t="s">
        <v>1034</v>
      </c>
      <c r="N13" s="135"/>
      <c r="O13" s="135"/>
      <c r="P13" s="140"/>
      <c r="Q13" s="140"/>
      <c r="R13" s="140" t="s">
        <v>341</v>
      </c>
      <c r="S13" s="140" t="s">
        <v>29</v>
      </c>
      <c r="T13" s="140" t="s">
        <v>730</v>
      </c>
      <c r="U13" s="140"/>
    </row>
    <row r="14" spans="1:21" ht="45.75">
      <c r="A14" s="272" t="s">
        <v>402</v>
      </c>
      <c r="B14" s="233" t="s">
        <v>732</v>
      </c>
      <c r="C14" s="233" t="s">
        <v>271</v>
      </c>
      <c r="D14" s="234" t="s">
        <v>733</v>
      </c>
      <c r="E14" s="249" t="s">
        <v>284</v>
      </c>
      <c r="F14" s="233"/>
      <c r="G14" s="234"/>
      <c r="H14" s="234" t="s">
        <v>734</v>
      </c>
      <c r="I14" s="233"/>
      <c r="J14" s="233"/>
      <c r="K14" s="234"/>
      <c r="L14" s="278" t="s">
        <v>1034</v>
      </c>
      <c r="N14" s="135" t="s">
        <v>363</v>
      </c>
      <c r="O14" s="135" t="s">
        <v>363</v>
      </c>
      <c r="P14" s="176" t="s">
        <v>515</v>
      </c>
      <c r="Q14" s="176" t="s">
        <v>516</v>
      </c>
      <c r="R14" s="140" t="s">
        <v>341</v>
      </c>
      <c r="S14" s="140" t="s">
        <v>29</v>
      </c>
      <c r="T14" s="140" t="s">
        <v>732</v>
      </c>
      <c r="U14" s="140"/>
    </row>
    <row r="15" spans="1:21" ht="45.75">
      <c r="A15" s="272" t="s">
        <v>412</v>
      </c>
      <c r="B15" s="233" t="s">
        <v>735</v>
      </c>
      <c r="C15" s="233" t="s">
        <v>271</v>
      </c>
      <c r="D15" s="234" t="s">
        <v>736</v>
      </c>
      <c r="E15" s="249" t="s">
        <v>284</v>
      </c>
      <c r="F15" s="233"/>
      <c r="G15" s="234"/>
      <c r="H15" s="234" t="s">
        <v>370</v>
      </c>
      <c r="I15" s="233"/>
      <c r="J15" s="233"/>
      <c r="K15" s="234"/>
      <c r="L15" s="278" t="s">
        <v>1034</v>
      </c>
      <c r="N15" s="135" t="s">
        <v>363</v>
      </c>
      <c r="O15" s="135" t="s">
        <v>363</v>
      </c>
      <c r="P15" s="176" t="s">
        <v>515</v>
      </c>
      <c r="Q15" s="176" t="s">
        <v>516</v>
      </c>
      <c r="R15" s="140" t="s">
        <v>341</v>
      </c>
      <c r="S15" s="140" t="s">
        <v>29</v>
      </c>
      <c r="T15" s="207" t="s">
        <v>946</v>
      </c>
      <c r="U15" s="140"/>
    </row>
    <row r="16" spans="1:21" ht="45.75">
      <c r="A16" s="272" t="s">
        <v>419</v>
      </c>
      <c r="B16" s="233" t="s">
        <v>737</v>
      </c>
      <c r="C16" s="233" t="s">
        <v>271</v>
      </c>
      <c r="D16" s="234" t="s">
        <v>738</v>
      </c>
      <c r="E16" s="249" t="s">
        <v>284</v>
      </c>
      <c r="F16" s="233"/>
      <c r="G16" s="234"/>
      <c r="H16" s="234" t="s">
        <v>527</v>
      </c>
      <c r="I16" s="233"/>
      <c r="J16" s="233"/>
      <c r="K16" s="234"/>
      <c r="L16" s="278" t="s">
        <v>1034</v>
      </c>
      <c r="N16" s="135" t="s">
        <v>363</v>
      </c>
      <c r="O16" s="135" t="s">
        <v>363</v>
      </c>
      <c r="P16" s="176" t="s">
        <v>515</v>
      </c>
      <c r="Q16" s="176" t="s">
        <v>516</v>
      </c>
      <c r="R16" s="140" t="s">
        <v>341</v>
      </c>
      <c r="S16" s="140" t="s">
        <v>29</v>
      </c>
      <c r="T16" s="140" t="s">
        <v>1035</v>
      </c>
      <c r="U16" s="140"/>
    </row>
    <row r="17" spans="1:21" ht="45.75">
      <c r="A17" s="272" t="s">
        <v>425</v>
      </c>
      <c r="B17" s="233" t="s">
        <v>739</v>
      </c>
      <c r="C17" s="233" t="s">
        <v>271</v>
      </c>
      <c r="D17" s="234" t="s">
        <v>740</v>
      </c>
      <c r="E17" s="249" t="s">
        <v>284</v>
      </c>
      <c r="F17" s="233"/>
      <c r="G17" s="234"/>
      <c r="H17" s="234" t="s">
        <v>741</v>
      </c>
      <c r="I17" s="233"/>
      <c r="J17" s="233"/>
      <c r="K17" s="234"/>
      <c r="L17" s="278" t="s">
        <v>1034</v>
      </c>
      <c r="N17" s="135" t="s">
        <v>363</v>
      </c>
      <c r="O17" s="135" t="s">
        <v>363</v>
      </c>
      <c r="P17" s="176" t="s">
        <v>515</v>
      </c>
      <c r="Q17" s="176" t="s">
        <v>516</v>
      </c>
      <c r="R17" s="140" t="s">
        <v>341</v>
      </c>
      <c r="S17" s="140" t="s">
        <v>29</v>
      </c>
      <c r="T17" s="140" t="s">
        <v>739</v>
      </c>
      <c r="U17" s="140"/>
    </row>
    <row r="18" spans="1:21" ht="45.75">
      <c r="A18" s="272" t="s">
        <v>431</v>
      </c>
      <c r="B18" s="233" t="s">
        <v>742</v>
      </c>
      <c r="C18" s="233" t="s">
        <v>271</v>
      </c>
      <c r="D18" s="234" t="s">
        <v>743</v>
      </c>
      <c r="E18" s="249" t="s">
        <v>284</v>
      </c>
      <c r="F18" s="233"/>
      <c r="G18" s="234"/>
      <c r="H18" s="234"/>
      <c r="I18" s="233"/>
      <c r="J18" s="233"/>
      <c r="K18" s="234"/>
      <c r="L18" s="278" t="s">
        <v>1034</v>
      </c>
      <c r="N18" s="135" t="s">
        <v>363</v>
      </c>
      <c r="O18" s="135" t="s">
        <v>363</v>
      </c>
      <c r="P18" s="176" t="s">
        <v>515</v>
      </c>
      <c r="Q18" s="176" t="s">
        <v>516</v>
      </c>
      <c r="R18" s="140"/>
      <c r="S18" s="140" t="s">
        <v>384</v>
      </c>
      <c r="T18" s="140"/>
      <c r="U18" s="140"/>
    </row>
    <row r="19" spans="1:21" ht="36">
      <c r="A19" s="272" t="s">
        <v>436</v>
      </c>
      <c r="B19" s="233" t="s">
        <v>744</v>
      </c>
      <c r="C19" s="233" t="s">
        <v>271</v>
      </c>
      <c r="D19" s="234" t="s">
        <v>745</v>
      </c>
      <c r="E19" s="249" t="s">
        <v>284</v>
      </c>
      <c r="F19" s="233"/>
      <c r="G19" s="234"/>
      <c r="H19" s="234" t="s">
        <v>746</v>
      </c>
      <c r="I19" s="233"/>
      <c r="J19" s="233"/>
      <c r="K19" s="234"/>
      <c r="L19" s="278" t="s">
        <v>1034</v>
      </c>
      <c r="N19" s="135"/>
      <c r="O19" s="135"/>
      <c r="P19" s="140"/>
      <c r="Q19" s="140"/>
      <c r="R19" s="140" t="s">
        <v>341</v>
      </c>
      <c r="S19" s="140" t="s">
        <v>29</v>
      </c>
      <c r="T19" s="140" t="s">
        <v>744</v>
      </c>
      <c r="U19" s="140"/>
    </row>
    <row r="20" spans="1:21" ht="45.75">
      <c r="A20" s="272" t="s">
        <v>443</v>
      </c>
      <c r="B20" s="233" t="s">
        <v>747</v>
      </c>
      <c r="C20" s="233" t="s">
        <v>271</v>
      </c>
      <c r="D20" s="234" t="s">
        <v>748</v>
      </c>
      <c r="E20" s="249" t="s">
        <v>284</v>
      </c>
      <c r="F20" s="233"/>
      <c r="G20" s="234"/>
      <c r="H20" s="234" t="s">
        <v>749</v>
      </c>
      <c r="I20" s="233"/>
      <c r="J20" s="233"/>
      <c r="K20" s="234"/>
      <c r="L20" s="278" t="s">
        <v>1034</v>
      </c>
      <c r="N20" s="135" t="s">
        <v>363</v>
      </c>
      <c r="O20" s="135" t="s">
        <v>363</v>
      </c>
      <c r="P20" s="176" t="s">
        <v>515</v>
      </c>
      <c r="Q20" s="176" t="s">
        <v>516</v>
      </c>
      <c r="R20" s="140" t="s">
        <v>341</v>
      </c>
      <c r="S20" s="140" t="s">
        <v>29</v>
      </c>
      <c r="T20" s="140" t="s">
        <v>747</v>
      </c>
      <c r="U20" s="140"/>
    </row>
    <row r="21" spans="1:21" ht="30.75">
      <c r="A21" s="272" t="s">
        <v>451</v>
      </c>
      <c r="B21" s="233" t="s">
        <v>750</v>
      </c>
      <c r="C21" s="233" t="s">
        <v>266</v>
      </c>
      <c r="D21" s="234" t="s">
        <v>751</v>
      </c>
      <c r="E21" s="249" t="s">
        <v>284</v>
      </c>
      <c r="F21" s="233"/>
      <c r="G21" s="234"/>
      <c r="H21" s="234" t="s">
        <v>752</v>
      </c>
      <c r="I21" s="233"/>
      <c r="J21" s="233"/>
      <c r="K21" s="234"/>
      <c r="L21" s="268"/>
      <c r="N21" s="135" t="s">
        <v>363</v>
      </c>
      <c r="O21" s="135" t="s">
        <v>363</v>
      </c>
      <c r="P21" s="140" t="s">
        <v>458</v>
      </c>
      <c r="Q21" s="176" t="s">
        <v>459</v>
      </c>
      <c r="R21" s="140" t="s">
        <v>341</v>
      </c>
      <c r="S21" s="140" t="s">
        <v>29</v>
      </c>
      <c r="T21" s="140" t="s">
        <v>750</v>
      </c>
      <c r="U21" s="140"/>
    </row>
    <row r="22" spans="1:21" ht="30.75">
      <c r="A22" s="272" t="s">
        <v>460</v>
      </c>
      <c r="B22" s="233" t="s">
        <v>753</v>
      </c>
      <c r="C22" s="233" t="s">
        <v>266</v>
      </c>
      <c r="D22" s="234" t="s">
        <v>754</v>
      </c>
      <c r="E22" s="249" t="s">
        <v>284</v>
      </c>
      <c r="F22" s="233"/>
      <c r="G22" s="234"/>
      <c r="H22" s="234" t="s">
        <v>755</v>
      </c>
      <c r="I22" s="233"/>
      <c r="J22" s="233"/>
      <c r="K22" s="234"/>
      <c r="L22" s="268"/>
      <c r="N22" s="135" t="s">
        <v>363</v>
      </c>
      <c r="O22" s="135" t="s">
        <v>363</v>
      </c>
      <c r="P22" s="140" t="s">
        <v>458</v>
      </c>
      <c r="Q22" s="176" t="s">
        <v>459</v>
      </c>
      <c r="R22" s="140" t="s">
        <v>341</v>
      </c>
      <c r="S22" s="140" t="s">
        <v>29</v>
      </c>
      <c r="T22" s="140" t="s">
        <v>753</v>
      </c>
      <c r="U22" s="140"/>
    </row>
    <row r="23" spans="1:21" ht="30.75">
      <c r="A23" s="272" t="s">
        <v>467</v>
      </c>
      <c r="B23" s="233" t="s">
        <v>756</v>
      </c>
      <c r="C23" s="233" t="s">
        <v>266</v>
      </c>
      <c r="D23" s="234" t="s">
        <v>757</v>
      </c>
      <c r="E23" s="249" t="s">
        <v>284</v>
      </c>
      <c r="F23" s="233"/>
      <c r="G23" s="234"/>
      <c r="H23" s="234" t="s">
        <v>758</v>
      </c>
      <c r="I23" s="233"/>
      <c r="J23" s="233"/>
      <c r="K23" s="234"/>
      <c r="L23" s="268"/>
      <c r="N23" s="135" t="s">
        <v>363</v>
      </c>
      <c r="O23" s="135" t="s">
        <v>363</v>
      </c>
      <c r="P23" s="140" t="s">
        <v>458</v>
      </c>
      <c r="Q23" s="176" t="s">
        <v>459</v>
      </c>
      <c r="R23" s="140" t="s">
        <v>341</v>
      </c>
      <c r="S23" s="140" t="s">
        <v>29</v>
      </c>
      <c r="T23" s="140" t="s">
        <v>756</v>
      </c>
      <c r="U23" s="140"/>
    </row>
    <row r="24" spans="1:21" ht="30.75">
      <c r="A24" s="272" t="s">
        <v>472</v>
      </c>
      <c r="B24" s="233" t="s">
        <v>759</v>
      </c>
      <c r="C24" s="233" t="s">
        <v>387</v>
      </c>
      <c r="D24" s="234" t="s">
        <v>760</v>
      </c>
      <c r="E24" s="249" t="s">
        <v>284</v>
      </c>
      <c r="F24" s="233"/>
      <c r="G24" s="234"/>
      <c r="H24" s="234" t="s">
        <v>761</v>
      </c>
      <c r="I24" s="233"/>
      <c r="J24" s="233"/>
      <c r="K24" s="234"/>
      <c r="L24" s="268"/>
      <c r="N24" s="135" t="s">
        <v>363</v>
      </c>
      <c r="O24" s="135" t="s">
        <v>363</v>
      </c>
      <c r="P24" s="140" t="s">
        <v>458</v>
      </c>
      <c r="Q24" s="176" t="s">
        <v>459</v>
      </c>
      <c r="R24" s="140" t="s">
        <v>341</v>
      </c>
      <c r="S24" s="140" t="s">
        <v>29</v>
      </c>
      <c r="T24" s="140" t="s">
        <v>759</v>
      </c>
      <c r="U24" s="140"/>
    </row>
    <row r="25" spans="1:21" ht="36">
      <c r="A25" s="272" t="s">
        <v>475</v>
      </c>
      <c r="B25" s="233" t="s">
        <v>762</v>
      </c>
      <c r="C25" s="233" t="s">
        <v>291</v>
      </c>
      <c r="D25" s="234" t="s">
        <v>763</v>
      </c>
      <c r="E25" s="249" t="s">
        <v>284</v>
      </c>
      <c r="F25" s="233"/>
      <c r="G25" s="234"/>
      <c r="H25" s="234"/>
      <c r="I25" s="233"/>
      <c r="J25" s="233"/>
      <c r="K25" s="234" t="s">
        <v>354</v>
      </c>
      <c r="L25" s="268"/>
      <c r="N25" s="135"/>
      <c r="O25" s="135"/>
      <c r="P25" s="140"/>
      <c r="Q25" s="140"/>
      <c r="R25" s="140"/>
      <c r="S25" s="140" t="s">
        <v>384</v>
      </c>
      <c r="T25" s="140"/>
      <c r="U25" s="208"/>
    </row>
    <row r="26" spans="1:21" ht="70.5">
      <c r="A26" s="272" t="s">
        <v>483</v>
      </c>
      <c r="B26" s="253" t="s">
        <v>683</v>
      </c>
      <c r="C26" s="253" t="s">
        <v>378</v>
      </c>
      <c r="D26" s="258" t="s">
        <v>684</v>
      </c>
      <c r="E26" s="279" t="s">
        <v>260</v>
      </c>
      <c r="F26" s="253"/>
      <c r="G26" s="258"/>
      <c r="H26" s="258" t="s">
        <v>380</v>
      </c>
      <c r="I26" s="253"/>
      <c r="J26" s="253"/>
      <c r="K26" s="258" t="s">
        <v>685</v>
      </c>
      <c r="L26" s="268"/>
      <c r="N26" s="135"/>
      <c r="O26" s="135"/>
      <c r="P26" s="140"/>
      <c r="Q26" s="140"/>
      <c r="R26" s="140" t="s">
        <v>341</v>
      </c>
      <c r="S26" s="140" t="s">
        <v>29</v>
      </c>
      <c r="T26" s="207" t="s">
        <v>686</v>
      </c>
      <c r="U26" s="140"/>
    </row>
    <row r="27" spans="1:21" ht="36">
      <c r="A27" s="272" t="s">
        <v>487</v>
      </c>
      <c r="B27" s="253" t="s">
        <v>689</v>
      </c>
      <c r="C27" s="253" t="s">
        <v>271</v>
      </c>
      <c r="D27" s="258" t="s">
        <v>690</v>
      </c>
      <c r="E27" s="279" t="s">
        <v>260</v>
      </c>
      <c r="F27" s="253"/>
      <c r="G27" s="258"/>
      <c r="H27" s="258" t="s">
        <v>691</v>
      </c>
      <c r="I27" s="253"/>
      <c r="J27" s="253"/>
      <c r="K27" s="258"/>
      <c r="L27" s="268"/>
      <c r="N27" s="135"/>
      <c r="O27" s="135"/>
      <c r="P27" s="140"/>
      <c r="Q27" s="140"/>
      <c r="R27" s="140" t="s">
        <v>341</v>
      </c>
      <c r="S27" s="140" t="s">
        <v>29</v>
      </c>
      <c r="T27" s="140" t="s">
        <v>348</v>
      </c>
      <c r="U27" s="209"/>
    </row>
    <row r="28" spans="1:21" ht="70.5">
      <c r="A28" s="272" t="s">
        <v>490</v>
      </c>
      <c r="B28" s="253" t="s">
        <v>693</v>
      </c>
      <c r="C28" s="253" t="s">
        <v>378</v>
      </c>
      <c r="D28" s="258" t="s">
        <v>694</v>
      </c>
      <c r="E28" s="279" t="s">
        <v>284</v>
      </c>
      <c r="F28" s="253"/>
      <c r="G28" s="258"/>
      <c r="H28" s="258" t="s">
        <v>695</v>
      </c>
      <c r="I28" s="253"/>
      <c r="J28" s="253"/>
      <c r="K28" s="258" t="s">
        <v>696</v>
      </c>
      <c r="L28" s="268"/>
      <c r="N28" s="135"/>
      <c r="O28" s="135"/>
      <c r="P28" s="140"/>
      <c r="Q28" s="140"/>
      <c r="R28" s="140" t="s">
        <v>355</v>
      </c>
      <c r="S28" s="140"/>
      <c r="T28" s="140"/>
      <c r="U28" s="140" t="s">
        <v>1036</v>
      </c>
    </row>
    <row r="29" spans="1:21" ht="36">
      <c r="A29" s="272" t="s">
        <v>496</v>
      </c>
      <c r="B29" s="253" t="s">
        <v>699</v>
      </c>
      <c r="C29" s="253" t="s">
        <v>271</v>
      </c>
      <c r="D29" s="258" t="s">
        <v>700</v>
      </c>
      <c r="E29" s="279" t="s">
        <v>284</v>
      </c>
      <c r="F29" s="253"/>
      <c r="G29" s="258"/>
      <c r="H29" s="258" t="s">
        <v>691</v>
      </c>
      <c r="I29" s="253"/>
      <c r="J29" s="253"/>
      <c r="K29" s="258"/>
      <c r="L29" s="268"/>
      <c r="N29" s="135"/>
      <c r="O29" s="135"/>
      <c r="P29" s="140"/>
      <c r="Q29" s="140"/>
      <c r="R29" s="140" t="s">
        <v>355</v>
      </c>
      <c r="S29" s="140"/>
      <c r="T29" s="140"/>
      <c r="U29" s="140" t="s">
        <v>1037</v>
      </c>
    </row>
  </sheetData>
  <autoFilter ref="A6:V29" xr:uid="{9B2DDA38-F611-4507-BF76-CE6C0742A4D5}"/>
  <hyperlinks>
    <hyperlink ref="C4" r:id="rId1" xr:uid="{D38057CF-07E4-4CCD-9B9A-FC843467313A}"/>
    <hyperlink ref="G7" r:id="rId2" xr:uid="{2783BE90-AAF0-4061-845B-28CB2EE03489}"/>
    <hyperlink ref="G9" r:id="rId3" xr:uid="{F4B7B077-5B26-4DBF-B3A1-BCB1FF852712}"/>
    <hyperlink ref="C5" r:id="rId4" display="https://tliidp-my.sharepoint.com/:x:/r/personal/banharn_swan_thailife_com/Documents/Projects/NASA%20Project/NASA_R2/SA%20Documents/Technical%20Solution/%5BNASA_R2%5D%20Migration%20data%20%26%20support%20existing%20case%20from%20TLPro.xlsx?d=w0ce4cfa6e2484346882e1ee4af36fcea&amp;csf=1&amp;web=1&amp;e=4Ynh7D&amp;nav=MTVfe0Q4M0E1NDRCLTU5RTktNDc0Qi04NUUwLTlFQTQ1Q0E5NEM0Qn0" xr:uid="{9360E02C-F5BC-47B9-AABF-D6FFE2B1F52F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A544B-59E9-474B-85E0-9EA45CA94C4B}">
  <dimension ref="A2:G28"/>
  <sheetViews>
    <sheetView workbookViewId="0">
      <selection activeCell="E1" sqref="E1"/>
    </sheetView>
  </sheetViews>
  <sheetFormatPr defaultRowHeight="15"/>
  <cols>
    <col min="1" max="1" width="37.7109375" bestFit="1" customWidth="1"/>
    <col min="3" max="3" width="24.42578125" bestFit="1" customWidth="1"/>
    <col min="4" max="4" width="38.5703125" bestFit="1" customWidth="1"/>
    <col min="6" max="6" width="22.5703125" bestFit="1" customWidth="1"/>
  </cols>
  <sheetData>
    <row r="2" spans="1:7" s="4" customFormat="1">
      <c r="A2" s="4" t="s">
        <v>1038</v>
      </c>
      <c r="D2" s="4" t="s">
        <v>1039</v>
      </c>
    </row>
    <row r="3" spans="1:7" s="4" customFormat="1">
      <c r="A3" s="4" t="s">
        <v>823</v>
      </c>
      <c r="D3" s="4" t="s">
        <v>823</v>
      </c>
    </row>
    <row r="4" spans="1:7" s="216" customFormat="1">
      <c r="A4" s="215" t="s">
        <v>950</v>
      </c>
      <c r="B4" s="215" t="s">
        <v>952</v>
      </c>
      <c r="C4" s="215" t="s">
        <v>953</v>
      </c>
      <c r="D4" s="215" t="s">
        <v>1040</v>
      </c>
      <c r="F4" s="215" t="s">
        <v>822</v>
      </c>
      <c r="G4" s="215" t="s">
        <v>355</v>
      </c>
    </row>
    <row r="5" spans="1:7">
      <c r="A5" t="s">
        <v>1041</v>
      </c>
      <c r="B5" t="s">
        <v>260</v>
      </c>
      <c r="C5" t="s">
        <v>258</v>
      </c>
      <c r="D5" s="207" t="s">
        <v>1042</v>
      </c>
      <c r="F5" t="s">
        <v>342</v>
      </c>
    </row>
    <row r="6" spans="1:7">
      <c r="A6" t="s">
        <v>1043</v>
      </c>
      <c r="B6" t="s">
        <v>260</v>
      </c>
      <c r="C6" t="s">
        <v>956</v>
      </c>
      <c r="D6" s="207" t="s">
        <v>360</v>
      </c>
      <c r="F6" t="s">
        <v>366</v>
      </c>
    </row>
    <row r="7" spans="1:7">
      <c r="A7" t="s">
        <v>1044</v>
      </c>
      <c r="B7" t="s">
        <v>284</v>
      </c>
      <c r="C7" t="s">
        <v>956</v>
      </c>
      <c r="D7" s="207"/>
    </row>
    <row r="8" spans="1:7" s="210" customFormat="1">
      <c r="A8" s="210" t="s">
        <v>1045</v>
      </c>
      <c r="B8" s="210" t="s">
        <v>260</v>
      </c>
      <c r="C8" s="210" t="s">
        <v>503</v>
      </c>
      <c r="D8" s="207" t="b">
        <v>1</v>
      </c>
      <c r="G8" s="210" t="b">
        <v>1</v>
      </c>
    </row>
    <row r="9" spans="1:7">
      <c r="A9" t="s">
        <v>1046</v>
      </c>
      <c r="B9" t="s">
        <v>284</v>
      </c>
      <c r="C9" t="s">
        <v>956</v>
      </c>
      <c r="D9" s="207"/>
      <c r="F9" t="s">
        <v>948</v>
      </c>
    </row>
    <row r="10" spans="1:7">
      <c r="A10" t="s">
        <v>1047</v>
      </c>
      <c r="B10" t="s">
        <v>284</v>
      </c>
      <c r="C10" t="s">
        <v>956</v>
      </c>
      <c r="D10" s="207"/>
    </row>
    <row r="11" spans="1:7">
      <c r="A11" t="s">
        <v>1008</v>
      </c>
      <c r="B11" t="s">
        <v>284</v>
      </c>
      <c r="C11" t="s">
        <v>956</v>
      </c>
      <c r="D11" s="207"/>
      <c r="F11" t="s">
        <v>730</v>
      </c>
    </row>
    <row r="12" spans="1:7">
      <c r="A12" t="s">
        <v>1048</v>
      </c>
      <c r="B12" t="s">
        <v>284</v>
      </c>
      <c r="C12" t="s">
        <v>956</v>
      </c>
      <c r="D12" s="207"/>
      <c r="F12" t="s">
        <v>732</v>
      </c>
    </row>
    <row r="13" spans="1:7">
      <c r="A13" t="s">
        <v>1049</v>
      </c>
      <c r="B13" t="s">
        <v>284</v>
      </c>
      <c r="C13" t="s">
        <v>956</v>
      </c>
      <c r="D13" s="207"/>
      <c r="F13" t="s">
        <v>946</v>
      </c>
    </row>
    <row r="14" spans="1:7">
      <c r="A14" t="s">
        <v>1050</v>
      </c>
      <c r="B14" t="s">
        <v>284</v>
      </c>
      <c r="C14" t="s">
        <v>956</v>
      </c>
      <c r="D14" s="207"/>
      <c r="F14" t="s">
        <v>1035</v>
      </c>
    </row>
    <row r="15" spans="1:7">
      <c r="A15" t="s">
        <v>1051</v>
      </c>
      <c r="B15" t="s">
        <v>284</v>
      </c>
      <c r="C15" t="s">
        <v>956</v>
      </c>
      <c r="D15" s="207"/>
      <c r="F15" t="s">
        <v>739</v>
      </c>
    </row>
    <row r="16" spans="1:7">
      <c r="A16" t="s">
        <v>1052</v>
      </c>
      <c r="B16" t="s">
        <v>284</v>
      </c>
      <c r="C16" t="s">
        <v>956</v>
      </c>
      <c r="D16" s="207"/>
    </row>
    <row r="17" spans="1:7">
      <c r="A17" t="s">
        <v>1009</v>
      </c>
      <c r="B17" t="s">
        <v>284</v>
      </c>
      <c r="C17" t="s">
        <v>956</v>
      </c>
      <c r="D17" s="207"/>
      <c r="F17" t="s">
        <v>744</v>
      </c>
    </row>
    <row r="18" spans="1:7">
      <c r="A18" t="s">
        <v>1010</v>
      </c>
      <c r="B18" t="s">
        <v>284</v>
      </c>
      <c r="C18" t="s">
        <v>956</v>
      </c>
      <c r="D18" s="207"/>
      <c r="F18" t="s">
        <v>747</v>
      </c>
    </row>
    <row r="19" spans="1:7">
      <c r="A19" t="s">
        <v>1053</v>
      </c>
      <c r="B19" t="s">
        <v>284</v>
      </c>
      <c r="C19" t="s">
        <v>956</v>
      </c>
      <c r="D19" s="207">
        <v>7476</v>
      </c>
      <c r="F19" t="s">
        <v>750</v>
      </c>
    </row>
    <row r="20" spans="1:7">
      <c r="A20" t="s">
        <v>988</v>
      </c>
      <c r="B20" t="s">
        <v>284</v>
      </c>
      <c r="C20" t="s">
        <v>956</v>
      </c>
      <c r="D20" s="207">
        <v>927</v>
      </c>
      <c r="F20" t="s">
        <v>753</v>
      </c>
    </row>
    <row r="21" spans="1:7">
      <c r="A21" t="s">
        <v>989</v>
      </c>
      <c r="B21" t="s">
        <v>284</v>
      </c>
      <c r="C21" t="s">
        <v>956</v>
      </c>
      <c r="D21" s="207" t="s">
        <v>1054</v>
      </c>
      <c r="F21" t="s">
        <v>756</v>
      </c>
    </row>
    <row r="22" spans="1:7">
      <c r="A22" t="s">
        <v>990</v>
      </c>
      <c r="B22" t="s">
        <v>284</v>
      </c>
      <c r="C22" t="s">
        <v>956</v>
      </c>
      <c r="D22" s="207">
        <v>10250</v>
      </c>
      <c r="F22" t="s">
        <v>759</v>
      </c>
    </row>
    <row r="23" spans="1:7">
      <c r="A23" t="s">
        <v>985</v>
      </c>
      <c r="B23" t="s">
        <v>284</v>
      </c>
      <c r="C23" t="s">
        <v>956</v>
      </c>
      <c r="D23" s="207"/>
    </row>
    <row r="24" spans="1:7">
      <c r="A24" t="s">
        <v>1055</v>
      </c>
      <c r="B24" t="s">
        <v>260</v>
      </c>
      <c r="C24" t="s">
        <v>1056</v>
      </c>
      <c r="D24" s="207" t="s">
        <v>1057</v>
      </c>
      <c r="F24" t="s">
        <v>686</v>
      </c>
    </row>
    <row r="25" spans="1:7">
      <c r="A25" t="s">
        <v>1058</v>
      </c>
      <c r="B25" t="s">
        <v>260</v>
      </c>
      <c r="C25" t="s">
        <v>956</v>
      </c>
      <c r="D25" s="207">
        <v>5625</v>
      </c>
      <c r="F25" t="s">
        <v>348</v>
      </c>
    </row>
    <row r="26" spans="1:7" s="210" customFormat="1">
      <c r="A26" s="210" t="s">
        <v>1059</v>
      </c>
      <c r="B26" s="210" t="s">
        <v>260</v>
      </c>
      <c r="C26" s="210" t="s">
        <v>1056</v>
      </c>
      <c r="D26" s="207" t="s">
        <v>1060</v>
      </c>
      <c r="G26" s="138" t="s">
        <v>1036</v>
      </c>
    </row>
    <row r="27" spans="1:7" s="210" customFormat="1">
      <c r="A27" s="210" t="s">
        <v>1061</v>
      </c>
      <c r="B27" s="210" t="s">
        <v>260</v>
      </c>
      <c r="C27" s="210" t="s">
        <v>956</v>
      </c>
      <c r="D27" s="207">
        <v>5625</v>
      </c>
      <c r="G27" s="138" t="s">
        <v>1037</v>
      </c>
    </row>
    <row r="28" spans="1:7">
      <c r="A28" t="s">
        <v>920</v>
      </c>
      <c r="D28" t="s">
        <v>921</v>
      </c>
    </row>
  </sheetData>
  <autoFilter ref="A4:G27" xr:uid="{D83A544B-59E9-474B-85E0-9EA45CA94C4B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D0F9E-EA39-45DB-8C5E-1A88B5F1221F}">
  <sheetPr>
    <tabColor theme="4" tint="0.59999389629810485"/>
  </sheetPr>
  <dimension ref="A2:AA95"/>
  <sheetViews>
    <sheetView workbookViewId="0">
      <selection activeCell="E7" sqref="E7"/>
    </sheetView>
  </sheetViews>
  <sheetFormatPr defaultRowHeight="15"/>
  <cols>
    <col min="1" max="1" width="5.140625" style="138" bestFit="1" customWidth="1"/>
    <col min="2" max="2" width="32" style="138" customWidth="1"/>
    <col min="3" max="3" width="14.85546875" style="138" bestFit="1" customWidth="1"/>
    <col min="4" max="4" width="54.42578125" style="138" customWidth="1"/>
    <col min="5" max="5" width="10.42578125" style="138" bestFit="1" customWidth="1"/>
    <col min="6" max="6" width="13.5703125" style="138" bestFit="1" customWidth="1"/>
    <col min="7" max="7" width="25.7109375" style="138" customWidth="1"/>
    <col min="8" max="8" width="26.42578125" style="138" bestFit="1" customWidth="1"/>
    <col min="9" max="9" width="16" style="138" bestFit="1" customWidth="1"/>
    <col min="10" max="10" width="25.42578125" style="138" bestFit="1" customWidth="1"/>
    <col min="11" max="11" width="83.140625" style="138" customWidth="1"/>
    <col min="12" max="12" width="63" style="138" customWidth="1"/>
    <col min="13" max="13" width="9.140625" style="138"/>
    <col min="14" max="14" width="46.85546875" style="138" bestFit="1" customWidth="1"/>
    <col min="15" max="15" width="8" style="138" bestFit="1" customWidth="1"/>
    <col min="16" max="16" width="8.5703125" style="138" bestFit="1" customWidth="1"/>
    <col min="17" max="17" width="31.140625" style="138" customWidth="1"/>
    <col min="18" max="18" width="61.85546875" style="138" bestFit="1" customWidth="1"/>
    <col min="19" max="19" width="14" style="138" bestFit="1" customWidth="1"/>
    <col min="20" max="20" width="22.7109375" style="138" bestFit="1" customWidth="1"/>
    <col min="21" max="21" width="11.28515625" style="138" customWidth="1"/>
    <col min="22" max="22" width="5.5703125" style="138" bestFit="1" customWidth="1"/>
    <col min="23" max="16384" width="9.140625" style="138"/>
  </cols>
  <sheetData>
    <row r="2" spans="1:27" ht="21">
      <c r="B2" s="139" t="s">
        <v>1062</v>
      </c>
    </row>
    <row r="3" spans="1:27" ht="17.25">
      <c r="A3" s="6" t="s">
        <v>247</v>
      </c>
      <c r="B3" s="7" t="s">
        <v>248</v>
      </c>
      <c r="C3" s="7" t="s">
        <v>17</v>
      </c>
      <c r="D3" s="7" t="s">
        <v>249</v>
      </c>
      <c r="E3" s="7" t="s">
        <v>250</v>
      </c>
      <c r="F3" s="7" t="s">
        <v>251</v>
      </c>
      <c r="G3" s="12" t="s">
        <v>252</v>
      </c>
      <c r="H3" s="12" t="s">
        <v>253</v>
      </c>
      <c r="I3" s="7" t="s">
        <v>254</v>
      </c>
      <c r="J3" s="7" t="s">
        <v>255</v>
      </c>
      <c r="K3" s="12" t="s">
        <v>256</v>
      </c>
      <c r="L3" s="128"/>
      <c r="M3" s="128"/>
      <c r="N3" s="128"/>
      <c r="O3" s="180" t="s">
        <v>331</v>
      </c>
      <c r="P3" s="180" t="s">
        <v>332</v>
      </c>
      <c r="Q3" s="180" t="s">
        <v>333</v>
      </c>
      <c r="R3" s="180" t="s">
        <v>334</v>
      </c>
      <c r="S3" s="181" t="s">
        <v>335</v>
      </c>
      <c r="T3" s="181" t="s">
        <v>319</v>
      </c>
      <c r="U3" s="181" t="s">
        <v>336</v>
      </c>
      <c r="V3" s="181" t="s">
        <v>337</v>
      </c>
      <c r="W3" s="128"/>
      <c r="X3" s="128"/>
      <c r="Y3" s="128"/>
      <c r="Z3" s="128"/>
      <c r="AA3" s="128"/>
    </row>
    <row r="4" spans="1:27" ht="36">
      <c r="A4" s="100" t="s">
        <v>338</v>
      </c>
      <c r="B4" s="11" t="s">
        <v>257</v>
      </c>
      <c r="C4" s="11" t="s">
        <v>258</v>
      </c>
      <c r="D4" s="11" t="s">
        <v>1063</v>
      </c>
      <c r="E4" s="67" t="s">
        <v>260</v>
      </c>
      <c r="F4" s="11" t="s">
        <v>261</v>
      </c>
      <c r="G4" s="11"/>
      <c r="H4" s="11"/>
      <c r="I4" s="11"/>
      <c r="J4" s="11"/>
      <c r="K4" s="11" t="s">
        <v>264</v>
      </c>
      <c r="L4" s="128"/>
      <c r="M4" s="128"/>
      <c r="N4" s="147" t="str">
        <f t="shared" ref="N4:N68" si="0">IF(F4 = "PK", CONCATENATE("primary_key(",B4,") : ", C4), IF(F4 = "FK", CONCATENATE("foreign_key(",B4,") : ", C4),CONCATENATE("column(",B4,") : ", C4)) )</f>
        <v>primary_key(id) : uuid</v>
      </c>
      <c r="O4" s="182"/>
      <c r="P4" s="182"/>
      <c r="Q4" s="182"/>
      <c r="R4" s="182"/>
      <c r="S4" s="183"/>
      <c r="T4" s="183"/>
      <c r="U4" s="183"/>
      <c r="V4" s="183"/>
      <c r="W4" s="128"/>
      <c r="X4" s="128"/>
      <c r="Y4" s="128"/>
      <c r="Z4" s="128"/>
      <c r="AA4" s="128"/>
    </row>
    <row r="5" spans="1:27" ht="36">
      <c r="A5" s="100" t="s">
        <v>343</v>
      </c>
      <c r="B5" s="11" t="s">
        <v>709</v>
      </c>
      <c r="C5" s="11" t="s">
        <v>258</v>
      </c>
      <c r="D5" s="11" t="s">
        <v>1064</v>
      </c>
      <c r="E5" s="67" t="s">
        <v>260</v>
      </c>
      <c r="F5" s="11"/>
      <c r="G5" s="14" t="s">
        <v>711</v>
      </c>
      <c r="H5" s="11"/>
      <c r="I5" s="11"/>
      <c r="J5" s="11"/>
      <c r="K5" s="11"/>
      <c r="L5" s="128"/>
      <c r="M5" s="128"/>
      <c r="N5" s="147" t="str">
        <f t="shared" si="0"/>
        <v>column(prospect_id) : uuid</v>
      </c>
      <c r="O5" s="182"/>
      <c r="P5" s="182"/>
      <c r="Q5" s="182"/>
      <c r="R5" s="182"/>
      <c r="S5" s="176" t="s">
        <v>341</v>
      </c>
      <c r="T5" s="176" t="s">
        <v>44</v>
      </c>
      <c r="U5" s="176" t="s">
        <v>342</v>
      </c>
      <c r="V5" s="176"/>
      <c r="W5" s="128"/>
      <c r="X5" s="128"/>
      <c r="Y5" s="128"/>
      <c r="Z5" s="128"/>
      <c r="AA5" s="128"/>
    </row>
    <row r="6" spans="1:27" ht="36">
      <c r="A6" s="100" t="s">
        <v>349</v>
      </c>
      <c r="B6" s="11" t="s">
        <v>344</v>
      </c>
      <c r="C6" s="11" t="s">
        <v>387</v>
      </c>
      <c r="D6" s="11" t="s">
        <v>1065</v>
      </c>
      <c r="E6" s="67" t="s">
        <v>260</v>
      </c>
      <c r="F6" s="11"/>
      <c r="G6" s="11"/>
      <c r="H6" s="11"/>
      <c r="I6" s="11"/>
      <c r="J6" s="11"/>
      <c r="K6" s="11"/>
      <c r="L6" s="128"/>
      <c r="M6" s="128"/>
      <c r="N6" s="147" t="str">
        <f t="shared" si="0"/>
        <v>column(agent_id) : varchar(10)</v>
      </c>
      <c r="O6" s="182"/>
      <c r="P6" s="182"/>
      <c r="Q6" s="182"/>
      <c r="R6" s="182"/>
      <c r="S6" s="176" t="s">
        <v>341</v>
      </c>
      <c r="T6" s="176" t="s">
        <v>44</v>
      </c>
      <c r="U6" s="176" t="s">
        <v>348</v>
      </c>
      <c r="V6" s="176"/>
      <c r="W6" s="128"/>
      <c r="X6" s="128"/>
      <c r="Y6" s="128"/>
      <c r="Z6" s="128"/>
      <c r="AA6" s="128"/>
    </row>
    <row r="7" spans="1:27" ht="72">
      <c r="A7" s="100" t="s">
        <v>357</v>
      </c>
      <c r="B7" s="11" t="s">
        <v>1066</v>
      </c>
      <c r="C7" s="11" t="s">
        <v>291</v>
      </c>
      <c r="D7" s="13" t="s">
        <v>1067</v>
      </c>
      <c r="E7" s="67" t="s">
        <v>284</v>
      </c>
      <c r="F7" s="11"/>
      <c r="G7" s="11"/>
      <c r="H7" s="11"/>
      <c r="I7" s="11"/>
      <c r="J7" s="11"/>
      <c r="K7" s="11" t="s">
        <v>1068</v>
      </c>
      <c r="L7" s="148" t="s">
        <v>1069</v>
      </c>
      <c r="M7" s="128"/>
      <c r="N7" s="147" t="str">
        <f t="shared" si="0"/>
        <v>column(reference_no) : varchar(50)</v>
      </c>
      <c r="O7" s="182" t="s">
        <v>363</v>
      </c>
      <c r="P7" s="182" t="s">
        <v>363</v>
      </c>
      <c r="Q7" s="184" t="s">
        <v>1070</v>
      </c>
      <c r="R7" s="184" t="s">
        <v>1071</v>
      </c>
      <c r="S7" s="176" t="s">
        <v>341</v>
      </c>
      <c r="T7" s="176" t="s">
        <v>44</v>
      </c>
      <c r="U7" s="176" t="s">
        <v>1072</v>
      </c>
      <c r="V7" s="176"/>
      <c r="W7" s="128"/>
      <c r="X7" s="128"/>
      <c r="Y7" s="128"/>
      <c r="Z7" s="128"/>
      <c r="AA7" s="128"/>
    </row>
    <row r="8" spans="1:27" ht="226.5">
      <c r="A8" s="100" t="s">
        <v>367</v>
      </c>
      <c r="B8" s="13" t="s">
        <v>1073</v>
      </c>
      <c r="C8" s="11" t="s">
        <v>387</v>
      </c>
      <c r="D8" s="11" t="s">
        <v>1074</v>
      </c>
      <c r="E8" s="67" t="s">
        <v>260</v>
      </c>
      <c r="F8" s="11"/>
      <c r="G8" s="11"/>
      <c r="H8" s="11" t="s">
        <v>1075</v>
      </c>
      <c r="I8" s="11"/>
      <c r="J8" s="11"/>
      <c r="K8" s="11"/>
      <c r="L8" s="128"/>
      <c r="M8" s="128"/>
      <c r="N8" s="147" t="str">
        <f t="shared" si="0"/>
        <v>column(plan_code) : varchar(10)</v>
      </c>
      <c r="O8" s="182" t="s">
        <v>363</v>
      </c>
      <c r="P8" s="182" t="s">
        <v>363</v>
      </c>
      <c r="Q8" s="184" t="s">
        <v>1076</v>
      </c>
      <c r="R8" s="184" t="s">
        <v>1077</v>
      </c>
      <c r="S8" s="176" t="s">
        <v>341</v>
      </c>
      <c r="T8" s="176" t="s">
        <v>44</v>
      </c>
      <c r="U8" s="176" t="s">
        <v>1078</v>
      </c>
      <c r="V8" s="176"/>
      <c r="W8" s="128"/>
      <c r="X8" s="128"/>
      <c r="Y8" s="128"/>
      <c r="Z8" s="128"/>
      <c r="AA8" s="128"/>
    </row>
    <row r="9" spans="1:27" ht="96">
      <c r="A9" s="100" t="s">
        <v>385</v>
      </c>
      <c r="B9" s="13" t="s">
        <v>1079</v>
      </c>
      <c r="C9" s="11" t="s">
        <v>453</v>
      </c>
      <c r="D9" s="13" t="s">
        <v>1080</v>
      </c>
      <c r="E9" s="67" t="s">
        <v>260</v>
      </c>
      <c r="F9" s="11"/>
      <c r="G9" s="11"/>
      <c r="H9" s="11" t="s">
        <v>1081</v>
      </c>
      <c r="I9" s="11"/>
      <c r="J9" s="11" t="s">
        <v>1082</v>
      </c>
      <c r="K9" s="11" t="s">
        <v>1083</v>
      </c>
      <c r="L9" s="128"/>
      <c r="M9" s="128"/>
      <c r="N9" s="147" t="str">
        <f t="shared" si="0"/>
        <v>column(product_type) : varchar(2)</v>
      </c>
      <c r="O9" s="182" t="s">
        <v>363</v>
      </c>
      <c r="P9" s="182" t="s">
        <v>363</v>
      </c>
      <c r="Q9" s="184" t="s">
        <v>1084</v>
      </c>
      <c r="R9" s="184" t="s">
        <v>1085</v>
      </c>
      <c r="S9" s="176"/>
      <c r="T9" s="176" t="s">
        <v>384</v>
      </c>
      <c r="U9" s="176"/>
      <c r="V9" s="176"/>
      <c r="W9" s="128"/>
      <c r="X9" s="128"/>
      <c r="Y9" s="128"/>
      <c r="Z9" s="128"/>
      <c r="AA9" s="128"/>
    </row>
    <row r="10" spans="1:27" ht="118.5">
      <c r="A10" s="100" t="s">
        <v>395</v>
      </c>
      <c r="B10" s="13" t="s">
        <v>1086</v>
      </c>
      <c r="C10" s="11" t="s">
        <v>782</v>
      </c>
      <c r="D10" s="11" t="s">
        <v>1087</v>
      </c>
      <c r="E10" s="67" t="s">
        <v>260</v>
      </c>
      <c r="F10" s="11"/>
      <c r="G10" s="11"/>
      <c r="H10" s="11"/>
      <c r="I10" s="11"/>
      <c r="J10" s="11"/>
      <c r="K10" s="11"/>
      <c r="L10" s="128"/>
      <c r="M10" s="128"/>
      <c r="N10" s="147" t="str">
        <f t="shared" si="0"/>
        <v>column(plan_name) : varchar(255)</v>
      </c>
      <c r="O10" s="182" t="s">
        <v>363</v>
      </c>
      <c r="P10" s="182" t="s">
        <v>363</v>
      </c>
      <c r="Q10" s="184" t="s">
        <v>1088</v>
      </c>
      <c r="R10" s="184" t="s">
        <v>1089</v>
      </c>
      <c r="S10" s="176" t="s">
        <v>341</v>
      </c>
      <c r="T10" s="176" t="s">
        <v>44</v>
      </c>
      <c r="U10" s="176" t="s">
        <v>1090</v>
      </c>
      <c r="V10" s="176"/>
      <c r="W10" s="128"/>
      <c r="X10" s="128"/>
      <c r="Y10" s="128"/>
      <c r="Z10" s="128"/>
      <c r="AA10" s="128"/>
    </row>
    <row r="11" spans="1:27" ht="48">
      <c r="A11" s="100" t="s">
        <v>402</v>
      </c>
      <c r="B11" s="149" t="s">
        <v>1091</v>
      </c>
      <c r="C11" s="149" t="s">
        <v>782</v>
      </c>
      <c r="D11" s="149" t="s">
        <v>1092</v>
      </c>
      <c r="E11" s="149" t="s">
        <v>260</v>
      </c>
      <c r="F11" s="150" t="s">
        <v>1093</v>
      </c>
      <c r="G11" s="11"/>
      <c r="H11" s="11"/>
      <c r="I11" s="11"/>
      <c r="J11" s="11"/>
      <c r="K11" s="11"/>
      <c r="L11" s="128"/>
      <c r="M11" s="128"/>
      <c r="N11" s="147" t="str">
        <f t="shared" si="0"/>
        <v>column(plan_display_name) : varchar(255)</v>
      </c>
      <c r="O11" s="182" t="s">
        <v>363</v>
      </c>
      <c r="P11" s="182" t="s">
        <v>363</v>
      </c>
      <c r="Q11" s="184" t="s">
        <v>1094</v>
      </c>
      <c r="R11" s="184" t="s">
        <v>1095</v>
      </c>
      <c r="S11" s="176"/>
      <c r="T11" s="176" t="s">
        <v>384</v>
      </c>
      <c r="U11" s="176"/>
      <c r="V11" s="176"/>
      <c r="W11" s="128"/>
      <c r="X11" s="128"/>
      <c r="Y11" s="128"/>
      <c r="Z11" s="128"/>
      <c r="AA11" s="128"/>
    </row>
    <row r="12" spans="1:27" ht="231">
      <c r="A12" s="100" t="s">
        <v>412</v>
      </c>
      <c r="B12" s="11" t="s">
        <v>1096</v>
      </c>
      <c r="C12" s="11" t="s">
        <v>387</v>
      </c>
      <c r="D12" s="11" t="s">
        <v>1097</v>
      </c>
      <c r="E12" s="67" t="s">
        <v>260</v>
      </c>
      <c r="F12" s="11"/>
      <c r="G12" s="11"/>
      <c r="H12" s="11"/>
      <c r="I12" s="11"/>
      <c r="J12" s="11" t="s">
        <v>1098</v>
      </c>
      <c r="K12" s="11" t="s">
        <v>1099</v>
      </c>
      <c r="L12" s="128"/>
      <c r="M12" s="128"/>
      <c r="N12" s="147" t="str">
        <f t="shared" si="0"/>
        <v>column(plan_type) : varchar(10)</v>
      </c>
      <c r="O12" s="182" t="s">
        <v>363</v>
      </c>
      <c r="P12" s="182" t="s">
        <v>363</v>
      </c>
      <c r="Q12" s="184" t="s">
        <v>1084</v>
      </c>
      <c r="R12" s="184" t="s">
        <v>1100</v>
      </c>
      <c r="S12" s="176"/>
      <c r="T12" s="176" t="s">
        <v>384</v>
      </c>
      <c r="U12" s="176"/>
      <c r="V12" s="176"/>
      <c r="W12" s="128"/>
      <c r="X12" s="128"/>
      <c r="Y12" s="128"/>
      <c r="Z12" s="128"/>
      <c r="AA12" s="128"/>
    </row>
    <row r="13" spans="1:27" ht="72">
      <c r="A13" s="100" t="s">
        <v>419</v>
      </c>
      <c r="B13" s="13" t="s">
        <v>1101</v>
      </c>
      <c r="C13" s="11" t="s">
        <v>387</v>
      </c>
      <c r="D13" s="11" t="s">
        <v>1102</v>
      </c>
      <c r="E13" s="67" t="s">
        <v>284</v>
      </c>
      <c r="F13" s="11"/>
      <c r="G13" s="14" t="s">
        <v>1103</v>
      </c>
      <c r="H13" s="11" t="s">
        <v>338</v>
      </c>
      <c r="I13" s="11"/>
      <c r="J13" s="11"/>
      <c r="K13" s="11"/>
      <c r="L13" s="128"/>
      <c r="M13" s="128"/>
      <c r="N13" s="147" t="str">
        <f t="shared" si="0"/>
        <v>column(insured_title_code) : varchar(10)</v>
      </c>
      <c r="O13" s="182" t="s">
        <v>363</v>
      </c>
      <c r="P13" s="182" t="s">
        <v>363</v>
      </c>
      <c r="Q13" s="184" t="s">
        <v>1084</v>
      </c>
      <c r="R13" s="184" t="s">
        <v>1104</v>
      </c>
      <c r="S13" s="176"/>
      <c r="T13" s="176" t="s">
        <v>384</v>
      </c>
      <c r="U13" s="176"/>
      <c r="V13" s="176"/>
      <c r="W13" s="128"/>
      <c r="X13" s="128"/>
      <c r="Y13" s="128"/>
      <c r="Z13" s="128"/>
      <c r="AA13" s="128"/>
    </row>
    <row r="14" spans="1:27" ht="84">
      <c r="A14" s="100" t="s">
        <v>425</v>
      </c>
      <c r="B14" s="13" t="s">
        <v>1105</v>
      </c>
      <c r="C14" s="11" t="s">
        <v>414</v>
      </c>
      <c r="D14" s="11" t="s">
        <v>1106</v>
      </c>
      <c r="E14" s="67" t="s">
        <v>284</v>
      </c>
      <c r="F14" s="11"/>
      <c r="G14" s="14" t="s">
        <v>1107</v>
      </c>
      <c r="H14" s="11" t="s">
        <v>417</v>
      </c>
      <c r="I14" s="11"/>
      <c r="J14" s="11"/>
      <c r="K14" s="11"/>
      <c r="L14" s="128"/>
      <c r="M14" s="128"/>
      <c r="N14" s="147" t="str">
        <f t="shared" si="0"/>
        <v>column(insured_title) : varchar(30)</v>
      </c>
      <c r="O14" s="182" t="s">
        <v>363</v>
      </c>
      <c r="P14" s="182" t="s">
        <v>363</v>
      </c>
      <c r="Q14" s="184" t="s">
        <v>1084</v>
      </c>
      <c r="R14" s="184" t="s">
        <v>1108</v>
      </c>
      <c r="S14" s="176" t="s">
        <v>341</v>
      </c>
      <c r="T14" s="176" t="s">
        <v>44</v>
      </c>
      <c r="U14" s="176" t="s">
        <v>1109</v>
      </c>
      <c r="V14" s="176"/>
      <c r="W14" s="128"/>
      <c r="X14" s="128"/>
      <c r="Y14" s="128"/>
      <c r="Z14" s="128"/>
      <c r="AA14" s="128"/>
    </row>
    <row r="15" spans="1:27" ht="107.25">
      <c r="A15" s="100" t="s">
        <v>431</v>
      </c>
      <c r="B15" s="13" t="s">
        <v>1110</v>
      </c>
      <c r="C15" s="11" t="s">
        <v>291</v>
      </c>
      <c r="D15" s="11" t="s">
        <v>1111</v>
      </c>
      <c r="E15" s="67" t="s">
        <v>260</v>
      </c>
      <c r="F15" s="11"/>
      <c r="G15" s="11"/>
      <c r="H15" s="11" t="s">
        <v>434</v>
      </c>
      <c r="I15" s="11"/>
      <c r="J15" s="11"/>
      <c r="K15" s="11"/>
      <c r="L15" s="128"/>
      <c r="M15" s="128"/>
      <c r="N15" s="147" t="str">
        <f t="shared" si="0"/>
        <v>column(insured_first_name) : varchar(50)</v>
      </c>
      <c r="O15" s="182" t="s">
        <v>363</v>
      </c>
      <c r="P15" s="182" t="s">
        <v>363</v>
      </c>
      <c r="Q15" s="184" t="s">
        <v>1088</v>
      </c>
      <c r="R15" s="184" t="s">
        <v>1112</v>
      </c>
      <c r="S15" s="176" t="s">
        <v>341</v>
      </c>
      <c r="T15" s="176" t="s">
        <v>44</v>
      </c>
      <c r="U15" s="176" t="s">
        <v>1113</v>
      </c>
      <c r="V15" s="176"/>
      <c r="W15" s="128"/>
      <c r="X15" s="128"/>
      <c r="Y15" s="128"/>
      <c r="Z15" s="128"/>
      <c r="AA15" s="128"/>
    </row>
    <row r="16" spans="1:27" ht="107.25">
      <c r="A16" s="100" t="s">
        <v>436</v>
      </c>
      <c r="B16" s="13" t="s">
        <v>1114</v>
      </c>
      <c r="C16" s="11" t="s">
        <v>291</v>
      </c>
      <c r="D16" s="11" t="s">
        <v>1115</v>
      </c>
      <c r="E16" s="67" t="s">
        <v>284</v>
      </c>
      <c r="F16" s="11"/>
      <c r="G16" s="11"/>
      <c r="H16" s="11" t="s">
        <v>439</v>
      </c>
      <c r="I16" s="11"/>
      <c r="J16" s="11"/>
      <c r="K16" s="11"/>
      <c r="L16" s="128"/>
      <c r="M16" s="128"/>
      <c r="N16" s="147" t="str">
        <f t="shared" si="0"/>
        <v>column(insured_last_name) : varchar(50)</v>
      </c>
      <c r="O16" s="187" t="s">
        <v>363</v>
      </c>
      <c r="P16" s="187" t="s">
        <v>363</v>
      </c>
      <c r="Q16" s="188" t="s">
        <v>1088</v>
      </c>
      <c r="R16" s="188" t="s">
        <v>1112</v>
      </c>
      <c r="S16" s="189" t="s">
        <v>341</v>
      </c>
      <c r="T16" s="189" t="s">
        <v>44</v>
      </c>
      <c r="U16" s="189" t="s">
        <v>1116</v>
      </c>
      <c r="V16" s="189"/>
      <c r="W16" s="128"/>
      <c r="X16" s="128"/>
      <c r="Y16" s="128"/>
      <c r="Z16" s="128"/>
      <c r="AA16" s="128"/>
    </row>
    <row r="17" spans="1:27" ht="96">
      <c r="A17" s="100" t="s">
        <v>443</v>
      </c>
      <c r="B17" s="13" t="s">
        <v>1117</v>
      </c>
      <c r="C17" s="11" t="s">
        <v>1118</v>
      </c>
      <c r="D17" s="11" t="s">
        <v>1119</v>
      </c>
      <c r="E17" s="67" t="s">
        <v>260</v>
      </c>
      <c r="F17" s="11"/>
      <c r="G17" s="11"/>
      <c r="H17" s="11"/>
      <c r="I17" s="11"/>
      <c r="J17" s="11"/>
      <c r="K17" s="11"/>
      <c r="L17" s="128"/>
      <c r="M17" s="128"/>
      <c r="N17" s="147" t="str">
        <f t="shared" si="0"/>
        <v>column(insured_age) : integer</v>
      </c>
      <c r="O17" s="182" t="s">
        <v>363</v>
      </c>
      <c r="P17" s="182" t="s">
        <v>363</v>
      </c>
      <c r="Q17" s="184" t="s">
        <v>1088</v>
      </c>
      <c r="R17" s="184" t="s">
        <v>1120</v>
      </c>
      <c r="S17" s="176" t="s">
        <v>341</v>
      </c>
      <c r="T17" s="176" t="s">
        <v>44</v>
      </c>
      <c r="U17" s="176" t="s">
        <v>1121</v>
      </c>
      <c r="V17" s="176"/>
      <c r="W17" s="128"/>
      <c r="X17" s="128"/>
      <c r="Y17" s="128"/>
      <c r="Z17" s="128"/>
      <c r="AA17" s="128"/>
    </row>
    <row r="18" spans="1:27" ht="96">
      <c r="A18" s="100" t="s">
        <v>451</v>
      </c>
      <c r="B18" s="13" t="s">
        <v>1122</v>
      </c>
      <c r="C18" s="11" t="s">
        <v>445</v>
      </c>
      <c r="D18" s="11" t="s">
        <v>1123</v>
      </c>
      <c r="E18" s="67" t="s">
        <v>284</v>
      </c>
      <c r="F18" s="11"/>
      <c r="G18" s="11"/>
      <c r="H18" s="11" t="s">
        <v>1124</v>
      </c>
      <c r="I18" s="11"/>
      <c r="J18" s="11"/>
      <c r="K18" s="11"/>
      <c r="L18" s="128"/>
      <c r="M18" s="128"/>
      <c r="N18" s="147" t="str">
        <f t="shared" si="0"/>
        <v>column(insured_birth_date) : date</v>
      </c>
      <c r="O18" s="182" t="s">
        <v>363</v>
      </c>
      <c r="P18" s="182" t="s">
        <v>363</v>
      </c>
      <c r="Q18" s="184" t="s">
        <v>1088</v>
      </c>
      <c r="R18" s="184" t="s">
        <v>1125</v>
      </c>
      <c r="S18" s="176" t="s">
        <v>341</v>
      </c>
      <c r="T18" s="176" t="s">
        <v>44</v>
      </c>
      <c r="U18" s="176" t="s">
        <v>449</v>
      </c>
      <c r="V18" s="176"/>
      <c r="W18" s="128"/>
      <c r="X18" s="128"/>
      <c r="Y18" s="128"/>
      <c r="Z18" s="128"/>
      <c r="AA18" s="128"/>
    </row>
    <row r="19" spans="1:27" ht="96">
      <c r="A19" s="100" t="s">
        <v>460</v>
      </c>
      <c r="B19" s="13" t="s">
        <v>1126</v>
      </c>
      <c r="C19" s="11" t="s">
        <v>453</v>
      </c>
      <c r="D19" s="11" t="s">
        <v>1127</v>
      </c>
      <c r="E19" s="67" t="s">
        <v>260</v>
      </c>
      <c r="F19" s="11"/>
      <c r="G19" s="11"/>
      <c r="H19" s="11" t="s">
        <v>455</v>
      </c>
      <c r="I19" s="11"/>
      <c r="J19" s="11" t="s">
        <v>1128</v>
      </c>
      <c r="K19" s="11" t="s">
        <v>1129</v>
      </c>
      <c r="L19" s="128"/>
      <c r="M19" s="128"/>
      <c r="N19" s="147" t="str">
        <f t="shared" si="0"/>
        <v>column(insured_gender) : varchar(2)</v>
      </c>
      <c r="O19" s="182" t="s">
        <v>363</v>
      </c>
      <c r="P19" s="182" t="s">
        <v>363</v>
      </c>
      <c r="Q19" s="184" t="s">
        <v>1088</v>
      </c>
      <c r="R19" s="184" t="s">
        <v>1120</v>
      </c>
      <c r="S19" s="176" t="s">
        <v>341</v>
      </c>
      <c r="T19" s="176" t="s">
        <v>44</v>
      </c>
      <c r="U19" s="176" t="s">
        <v>452</v>
      </c>
      <c r="V19" s="176"/>
      <c r="W19" s="128"/>
      <c r="X19" s="128"/>
      <c r="Y19" s="128"/>
      <c r="Z19" s="128"/>
      <c r="AA19" s="128"/>
    </row>
    <row r="20" spans="1:27" ht="84">
      <c r="A20" s="100" t="s">
        <v>467</v>
      </c>
      <c r="B20" s="13" t="s">
        <v>1130</v>
      </c>
      <c r="C20" s="11" t="s">
        <v>387</v>
      </c>
      <c r="D20" s="11" t="s">
        <v>1131</v>
      </c>
      <c r="E20" s="67" t="s">
        <v>284</v>
      </c>
      <c r="F20" s="11"/>
      <c r="G20" s="11"/>
      <c r="H20" s="11"/>
      <c r="I20" s="11"/>
      <c r="J20" s="11"/>
      <c r="K20" s="11"/>
      <c r="L20" s="128"/>
      <c r="M20" s="128"/>
      <c r="N20" s="147" t="str">
        <f t="shared" si="0"/>
        <v>column(insured_mobile_no) : varchar(10)</v>
      </c>
      <c r="O20" s="182" t="s">
        <v>363</v>
      </c>
      <c r="P20" s="182" t="s">
        <v>363</v>
      </c>
      <c r="Q20" s="184" t="s">
        <v>1088</v>
      </c>
      <c r="R20" s="184" t="s">
        <v>1132</v>
      </c>
      <c r="S20" s="176"/>
      <c r="T20" s="176" t="s">
        <v>384</v>
      </c>
      <c r="U20" s="176"/>
      <c r="V20" s="176"/>
      <c r="W20" s="128"/>
      <c r="X20" s="128"/>
      <c r="Y20" s="128"/>
      <c r="Z20" s="128"/>
      <c r="AA20" s="128"/>
    </row>
    <row r="21" spans="1:27" ht="91.5">
      <c r="A21" s="100" t="s">
        <v>472</v>
      </c>
      <c r="B21" s="11" t="s">
        <v>1133</v>
      </c>
      <c r="C21" s="11" t="s">
        <v>351</v>
      </c>
      <c r="D21" s="11" t="s">
        <v>1134</v>
      </c>
      <c r="E21" s="101" t="s">
        <v>284</v>
      </c>
      <c r="F21" s="11"/>
      <c r="G21" s="11"/>
      <c r="H21" s="11" t="s">
        <v>463</v>
      </c>
      <c r="I21" s="11"/>
      <c r="J21" s="11" t="s">
        <v>1135</v>
      </c>
      <c r="K21" s="11" t="s">
        <v>1136</v>
      </c>
      <c r="L21" s="151"/>
      <c r="M21" s="151"/>
      <c r="N21" s="147" t="str">
        <f t="shared" si="0"/>
        <v>column(insured_identify_type) : varchar(5)</v>
      </c>
      <c r="O21" s="185" t="s">
        <v>363</v>
      </c>
      <c r="P21" s="185" t="s">
        <v>363</v>
      </c>
      <c r="Q21" s="186" t="s">
        <v>1084</v>
      </c>
      <c r="R21" s="186" t="s">
        <v>1104</v>
      </c>
      <c r="S21" s="176" t="s">
        <v>341</v>
      </c>
      <c r="T21" s="176" t="s">
        <v>44</v>
      </c>
      <c r="U21" s="176" t="s">
        <v>466</v>
      </c>
      <c r="V21" s="176"/>
      <c r="W21" s="151"/>
      <c r="X21" s="151"/>
      <c r="Y21" s="151"/>
      <c r="Z21" s="151"/>
      <c r="AA21" s="151"/>
    </row>
    <row r="22" spans="1:27" ht="36">
      <c r="A22" s="100" t="s">
        <v>475</v>
      </c>
      <c r="B22" s="102" t="s">
        <v>1137</v>
      </c>
      <c r="C22" s="11" t="s">
        <v>266</v>
      </c>
      <c r="D22" s="11" t="s">
        <v>1138</v>
      </c>
      <c r="E22" s="67" t="s">
        <v>284</v>
      </c>
      <c r="F22" s="11"/>
      <c r="G22" s="11"/>
      <c r="H22" s="11" t="s">
        <v>493</v>
      </c>
      <c r="I22" s="11"/>
      <c r="J22" s="11"/>
      <c r="K22" s="11" t="s">
        <v>494</v>
      </c>
      <c r="L22" s="128"/>
      <c r="M22" s="128"/>
      <c r="N22" s="147" t="str">
        <f t="shared" si="0"/>
        <v>column(insured_citizen_id) : varchar(20)</v>
      </c>
      <c r="O22" s="182"/>
      <c r="P22" s="182"/>
      <c r="Q22" s="182"/>
      <c r="R22" s="182"/>
      <c r="S22" s="176" t="s">
        <v>341</v>
      </c>
      <c r="T22" s="176" t="s">
        <v>44</v>
      </c>
      <c r="U22" s="176" t="s">
        <v>495</v>
      </c>
      <c r="V22" s="176"/>
      <c r="W22" s="128"/>
      <c r="X22" s="128"/>
      <c r="Y22" s="128"/>
      <c r="Z22" s="128"/>
      <c r="AA22" s="128"/>
    </row>
    <row r="23" spans="1:27" ht="72">
      <c r="A23" s="100" t="s">
        <v>483</v>
      </c>
      <c r="B23" s="102" t="s">
        <v>1139</v>
      </c>
      <c r="C23" s="11" t="s">
        <v>351</v>
      </c>
      <c r="D23" s="103" t="s">
        <v>1140</v>
      </c>
      <c r="E23" s="67" t="s">
        <v>284</v>
      </c>
      <c r="F23" s="11"/>
      <c r="G23" s="11"/>
      <c r="H23" s="11" t="s">
        <v>525</v>
      </c>
      <c r="I23" s="11"/>
      <c r="J23" s="11"/>
      <c r="K23" s="11" t="s">
        <v>494</v>
      </c>
      <c r="L23" s="128"/>
      <c r="M23" s="128"/>
      <c r="N23" s="147" t="str">
        <f t="shared" si="0"/>
        <v>column(insured_nationality) : varchar(5)</v>
      </c>
      <c r="O23" s="182" t="s">
        <v>363</v>
      </c>
      <c r="P23" s="182" t="s">
        <v>363</v>
      </c>
      <c r="Q23" s="184" t="s">
        <v>1084</v>
      </c>
      <c r="R23" s="184" t="s">
        <v>1104</v>
      </c>
      <c r="S23" s="176"/>
      <c r="T23" s="176" t="s">
        <v>384</v>
      </c>
      <c r="U23" s="176"/>
      <c r="V23" s="176"/>
      <c r="W23" s="128"/>
      <c r="X23" s="128"/>
      <c r="Y23" s="128"/>
      <c r="Z23" s="128"/>
      <c r="AA23" s="128"/>
    </row>
    <row r="24" spans="1:27" ht="72">
      <c r="A24" s="100" t="s">
        <v>487</v>
      </c>
      <c r="B24" s="13" t="s">
        <v>1141</v>
      </c>
      <c r="C24" s="11" t="s">
        <v>266</v>
      </c>
      <c r="D24" s="11" t="s">
        <v>1142</v>
      </c>
      <c r="E24" s="67" t="s">
        <v>284</v>
      </c>
      <c r="F24" s="11"/>
      <c r="G24" s="11"/>
      <c r="H24" s="11"/>
      <c r="I24" s="11"/>
      <c r="J24" s="11"/>
      <c r="K24" s="11" t="s">
        <v>520</v>
      </c>
      <c r="L24" s="128"/>
      <c r="M24" s="128"/>
      <c r="N24" s="147" t="str">
        <f t="shared" si="0"/>
        <v>column(insured_passport) : varchar(20)</v>
      </c>
      <c r="O24" s="182" t="s">
        <v>363</v>
      </c>
      <c r="P24" s="182" t="s">
        <v>363</v>
      </c>
      <c r="Q24" s="184" t="s">
        <v>1084</v>
      </c>
      <c r="R24" s="184" t="s">
        <v>1104</v>
      </c>
      <c r="S24" s="176" t="s">
        <v>341</v>
      </c>
      <c r="T24" s="176" t="s">
        <v>44</v>
      </c>
      <c r="U24" s="176" t="s">
        <v>518</v>
      </c>
      <c r="V24" s="176"/>
      <c r="W24" s="128"/>
      <c r="X24" s="128"/>
      <c r="Y24" s="128"/>
      <c r="Z24" s="128"/>
      <c r="AA24" s="128"/>
    </row>
    <row r="25" spans="1:27" ht="72">
      <c r="A25" s="100" t="s">
        <v>490</v>
      </c>
      <c r="B25" s="11" t="s">
        <v>1143</v>
      </c>
      <c r="C25" s="11" t="s">
        <v>266</v>
      </c>
      <c r="D25" s="11" t="s">
        <v>1144</v>
      </c>
      <c r="E25" s="67" t="s">
        <v>284</v>
      </c>
      <c r="F25" s="11"/>
      <c r="G25" s="14" t="s">
        <v>1145</v>
      </c>
      <c r="H25" s="11"/>
      <c r="I25" s="11"/>
      <c r="J25" s="11"/>
      <c r="K25" s="11" t="s">
        <v>520</v>
      </c>
      <c r="L25" s="128"/>
      <c r="M25" s="128"/>
      <c r="N25" s="147" t="str">
        <f t="shared" si="0"/>
        <v>column(insured_country_code) : varchar(20)</v>
      </c>
      <c r="O25" s="182" t="s">
        <v>363</v>
      </c>
      <c r="P25" s="182" t="s">
        <v>363</v>
      </c>
      <c r="Q25" s="184" t="s">
        <v>1084</v>
      </c>
      <c r="R25" s="184" t="s">
        <v>1104</v>
      </c>
      <c r="S25" s="176" t="s">
        <v>341</v>
      </c>
      <c r="T25" s="176" t="s">
        <v>44</v>
      </c>
      <c r="U25" s="176" t="s">
        <v>526</v>
      </c>
      <c r="V25" s="176"/>
      <c r="W25" s="128"/>
      <c r="X25" s="128"/>
      <c r="Y25" s="128"/>
      <c r="Z25" s="128"/>
      <c r="AA25" s="128"/>
    </row>
    <row r="26" spans="1:27" ht="130.5">
      <c r="A26" s="100" t="s">
        <v>496</v>
      </c>
      <c r="B26" s="13" t="s">
        <v>561</v>
      </c>
      <c r="C26" s="11" t="s">
        <v>266</v>
      </c>
      <c r="D26" s="11" t="s">
        <v>1146</v>
      </c>
      <c r="E26" s="67" t="s">
        <v>284</v>
      </c>
      <c r="F26" s="11"/>
      <c r="G26" s="14" t="s">
        <v>1147</v>
      </c>
      <c r="H26" s="11" t="s">
        <v>564</v>
      </c>
      <c r="I26" s="11"/>
      <c r="J26" s="11"/>
      <c r="K26" s="11"/>
      <c r="L26" s="128"/>
      <c r="M26" s="128"/>
      <c r="N26" s="147" t="str">
        <f t="shared" si="0"/>
        <v>column(occupation) : varchar(20)</v>
      </c>
      <c r="O26" s="190" t="s">
        <v>363</v>
      </c>
      <c r="P26" s="190" t="s">
        <v>363</v>
      </c>
      <c r="Q26" s="191" t="s">
        <v>1148</v>
      </c>
      <c r="R26" s="191" t="s">
        <v>1149</v>
      </c>
      <c r="S26" s="192" t="s">
        <v>341</v>
      </c>
      <c r="T26" s="192" t="s">
        <v>44</v>
      </c>
      <c r="U26" s="192" t="s">
        <v>561</v>
      </c>
      <c r="V26" s="192"/>
      <c r="W26" s="128"/>
      <c r="X26" s="128"/>
      <c r="Y26" s="128"/>
      <c r="Z26" s="128"/>
      <c r="AA26" s="128"/>
    </row>
    <row r="27" spans="1:27" ht="84">
      <c r="A27" s="100" t="s">
        <v>501</v>
      </c>
      <c r="B27" s="11" t="s">
        <v>1150</v>
      </c>
      <c r="C27" s="11" t="s">
        <v>271</v>
      </c>
      <c r="D27" s="11" t="s">
        <v>1151</v>
      </c>
      <c r="E27" s="67" t="s">
        <v>284</v>
      </c>
      <c r="F27" s="11"/>
      <c r="G27" s="14" t="s">
        <v>1152</v>
      </c>
      <c r="H27" s="11" t="s">
        <v>564</v>
      </c>
      <c r="I27" s="11"/>
      <c r="J27" s="11"/>
      <c r="K27" s="11"/>
      <c r="L27" s="128"/>
      <c r="M27" s="128"/>
      <c r="N27" s="147" t="str">
        <f t="shared" si="0"/>
        <v>column(occupation_name) : varchar(100)</v>
      </c>
      <c r="O27" s="182" t="s">
        <v>363</v>
      </c>
      <c r="P27" s="182" t="s">
        <v>363</v>
      </c>
      <c r="Q27" s="184" t="s">
        <v>1084</v>
      </c>
      <c r="R27" s="184" t="s">
        <v>1153</v>
      </c>
      <c r="S27" s="176"/>
      <c r="T27" s="176" t="s">
        <v>384</v>
      </c>
      <c r="U27" s="176"/>
      <c r="V27" s="176"/>
      <c r="W27" s="128"/>
      <c r="X27" s="128"/>
      <c r="Y27" s="128"/>
      <c r="Z27" s="128"/>
      <c r="AA27" s="128"/>
    </row>
    <row r="28" spans="1:27" ht="72">
      <c r="A28" s="100" t="s">
        <v>505</v>
      </c>
      <c r="B28" s="11" t="s">
        <v>571</v>
      </c>
      <c r="C28" s="11" t="s">
        <v>266</v>
      </c>
      <c r="D28" s="11" t="s">
        <v>1154</v>
      </c>
      <c r="E28" s="67" t="s">
        <v>284</v>
      </c>
      <c r="F28" s="11"/>
      <c r="G28" s="14" t="s">
        <v>1155</v>
      </c>
      <c r="H28" s="11" t="s">
        <v>338</v>
      </c>
      <c r="I28" s="11"/>
      <c r="J28" s="11"/>
      <c r="K28" s="11"/>
      <c r="L28" s="128"/>
      <c r="M28" s="128"/>
      <c r="N28" s="147" t="str">
        <f t="shared" si="0"/>
        <v>column(occupation_business) : varchar(20)</v>
      </c>
      <c r="O28" s="182" t="s">
        <v>363</v>
      </c>
      <c r="P28" s="182" t="s">
        <v>363</v>
      </c>
      <c r="Q28" s="184" t="s">
        <v>1084</v>
      </c>
      <c r="R28" s="184" t="s">
        <v>1104</v>
      </c>
      <c r="S28" s="176" t="s">
        <v>341</v>
      </c>
      <c r="T28" s="176" t="s">
        <v>44</v>
      </c>
      <c r="U28" s="176" t="s">
        <v>574</v>
      </c>
      <c r="V28" s="176"/>
      <c r="W28" s="128"/>
      <c r="X28" s="128"/>
      <c r="Y28" s="128"/>
      <c r="Z28" s="128"/>
      <c r="AA28" s="128"/>
    </row>
    <row r="29" spans="1:27" ht="72">
      <c r="A29" s="100" t="s">
        <v>510</v>
      </c>
      <c r="B29" s="11" t="s">
        <v>576</v>
      </c>
      <c r="C29" s="11" t="s">
        <v>271</v>
      </c>
      <c r="D29" s="11" t="s">
        <v>1156</v>
      </c>
      <c r="E29" s="67" t="s">
        <v>284</v>
      </c>
      <c r="F29" s="11"/>
      <c r="G29" s="14" t="s">
        <v>1157</v>
      </c>
      <c r="H29" s="11" t="s">
        <v>579</v>
      </c>
      <c r="I29" s="11"/>
      <c r="J29" s="11"/>
      <c r="K29" s="11"/>
      <c r="L29" s="128"/>
      <c r="M29" s="128"/>
      <c r="N29" s="147" t="str">
        <f t="shared" si="0"/>
        <v>column(occ_bus_value) : varchar(100)</v>
      </c>
      <c r="O29" s="182" t="s">
        <v>363</v>
      </c>
      <c r="P29" s="182" t="s">
        <v>363</v>
      </c>
      <c r="Q29" s="184" t="s">
        <v>1084</v>
      </c>
      <c r="R29" s="184" t="s">
        <v>1104</v>
      </c>
      <c r="S29" s="176" t="s">
        <v>341</v>
      </c>
      <c r="T29" s="176" t="s">
        <v>44</v>
      </c>
      <c r="U29" s="176" t="s">
        <v>580</v>
      </c>
      <c r="V29" s="176"/>
      <c r="W29" s="128"/>
      <c r="X29" s="128"/>
      <c r="Y29" s="128"/>
      <c r="Z29" s="128"/>
      <c r="AA29" s="128"/>
    </row>
    <row r="30" spans="1:27" ht="118.5">
      <c r="A30" s="100" t="s">
        <v>517</v>
      </c>
      <c r="B30" s="11" t="s">
        <v>582</v>
      </c>
      <c r="C30" s="11" t="s">
        <v>387</v>
      </c>
      <c r="D30" s="11" t="s">
        <v>1158</v>
      </c>
      <c r="E30" s="67" t="s">
        <v>260</v>
      </c>
      <c r="F30" s="11"/>
      <c r="G30" s="14" t="s">
        <v>1159</v>
      </c>
      <c r="H30" s="11" t="s">
        <v>343</v>
      </c>
      <c r="I30" s="11"/>
      <c r="J30" s="11"/>
      <c r="K30" s="11"/>
      <c r="L30" s="128"/>
      <c r="M30" s="128"/>
      <c r="N30" s="147" t="str">
        <f t="shared" si="0"/>
        <v>column(occupation_type) : varchar(10)</v>
      </c>
      <c r="O30" s="182" t="s">
        <v>363</v>
      </c>
      <c r="P30" s="182" t="s">
        <v>363</v>
      </c>
      <c r="Q30" s="184" t="s">
        <v>1148</v>
      </c>
      <c r="R30" s="184" t="s">
        <v>1160</v>
      </c>
      <c r="S30" s="176" t="s">
        <v>341</v>
      </c>
      <c r="T30" s="176" t="s">
        <v>44</v>
      </c>
      <c r="U30" s="176" t="s">
        <v>585</v>
      </c>
      <c r="V30" s="176"/>
      <c r="W30" s="128"/>
      <c r="X30" s="128"/>
      <c r="Y30" s="128"/>
      <c r="Z30" s="128"/>
      <c r="AA30" s="128"/>
    </row>
    <row r="31" spans="1:27" ht="72">
      <c r="A31" s="100" t="s">
        <v>521</v>
      </c>
      <c r="B31" s="11" t="s">
        <v>602</v>
      </c>
      <c r="C31" s="11" t="s">
        <v>271</v>
      </c>
      <c r="D31" s="11" t="s">
        <v>1161</v>
      </c>
      <c r="E31" s="67" t="s">
        <v>284</v>
      </c>
      <c r="F31" s="11"/>
      <c r="G31" s="14" t="s">
        <v>1162</v>
      </c>
      <c r="H31" s="11" t="s">
        <v>402</v>
      </c>
      <c r="I31" s="11"/>
      <c r="J31" s="11"/>
      <c r="K31" s="11"/>
      <c r="L31" s="128"/>
      <c r="M31" s="128"/>
      <c r="N31" s="147" t="str">
        <f t="shared" si="0"/>
        <v>column(code_occ_to_uw) : varchar(100)</v>
      </c>
      <c r="O31" s="182" t="s">
        <v>363</v>
      </c>
      <c r="P31" s="182" t="s">
        <v>363</v>
      </c>
      <c r="Q31" s="184" t="s">
        <v>1084</v>
      </c>
      <c r="R31" s="184" t="s">
        <v>1104</v>
      </c>
      <c r="S31" s="176" t="s">
        <v>341</v>
      </c>
      <c r="T31" s="176" t="s">
        <v>44</v>
      </c>
      <c r="U31" s="176" t="s">
        <v>605</v>
      </c>
      <c r="V31" s="176"/>
      <c r="W31" s="128"/>
      <c r="X31" s="128"/>
      <c r="Y31" s="128"/>
      <c r="Z31" s="128"/>
      <c r="AA31" s="128"/>
    </row>
    <row r="32" spans="1:27" ht="72">
      <c r="A32" s="100" t="s">
        <v>527</v>
      </c>
      <c r="B32" s="11" t="s">
        <v>607</v>
      </c>
      <c r="C32" s="11" t="s">
        <v>266</v>
      </c>
      <c r="D32" s="11" t="s">
        <v>1163</v>
      </c>
      <c r="E32" s="67" t="s">
        <v>284</v>
      </c>
      <c r="F32" s="11"/>
      <c r="G32" s="14" t="s">
        <v>1147</v>
      </c>
      <c r="H32" s="11"/>
      <c r="I32" s="11"/>
      <c r="J32" s="11"/>
      <c r="K32" s="11"/>
      <c r="L32" s="128"/>
      <c r="M32" s="128"/>
      <c r="N32" s="147" t="str">
        <f t="shared" si="0"/>
        <v>column(occupation_reserve) : varchar(20)</v>
      </c>
      <c r="O32" s="182" t="s">
        <v>363</v>
      </c>
      <c r="P32" s="182" t="s">
        <v>363</v>
      </c>
      <c r="Q32" s="184" t="s">
        <v>1084</v>
      </c>
      <c r="R32" s="184" t="s">
        <v>1104</v>
      </c>
      <c r="S32" s="176" t="s">
        <v>341</v>
      </c>
      <c r="T32" s="176" t="s">
        <v>44</v>
      </c>
      <c r="U32" s="176" t="s">
        <v>609</v>
      </c>
      <c r="V32" s="176"/>
      <c r="W32" s="128"/>
      <c r="X32" s="128"/>
      <c r="Y32" s="128"/>
      <c r="Z32" s="128"/>
      <c r="AA32" s="128"/>
    </row>
    <row r="33" spans="1:27" ht="72">
      <c r="A33" s="100" t="s">
        <v>531</v>
      </c>
      <c r="B33" s="11" t="s">
        <v>1164</v>
      </c>
      <c r="C33" s="11" t="s">
        <v>271</v>
      </c>
      <c r="D33" s="11" t="s">
        <v>1165</v>
      </c>
      <c r="E33" s="67" t="s">
        <v>284</v>
      </c>
      <c r="F33" s="11"/>
      <c r="G33" s="14" t="s">
        <v>1152</v>
      </c>
      <c r="H33" s="11"/>
      <c r="I33" s="11"/>
      <c r="J33" s="11"/>
      <c r="K33" s="11"/>
      <c r="L33" s="128"/>
      <c r="M33" s="128"/>
      <c r="N33" s="147" t="str">
        <f t="shared" si="0"/>
        <v>column(occupation_reserve_name) : varchar(100)</v>
      </c>
      <c r="O33" s="182" t="s">
        <v>363</v>
      </c>
      <c r="P33" s="182" t="s">
        <v>363</v>
      </c>
      <c r="Q33" s="184" t="s">
        <v>1084</v>
      </c>
      <c r="R33" s="184" t="s">
        <v>1104</v>
      </c>
      <c r="S33" s="176"/>
      <c r="T33" s="176" t="s">
        <v>384</v>
      </c>
      <c r="U33" s="176"/>
      <c r="V33" s="176"/>
      <c r="W33" s="128"/>
      <c r="X33" s="128"/>
      <c r="Y33" s="128"/>
      <c r="Z33" s="128"/>
      <c r="AA33" s="128"/>
    </row>
    <row r="34" spans="1:27" ht="72">
      <c r="A34" s="100" t="s">
        <v>537</v>
      </c>
      <c r="B34" s="11" t="s">
        <v>614</v>
      </c>
      <c r="C34" s="11" t="s">
        <v>266</v>
      </c>
      <c r="D34" s="11" t="s">
        <v>1166</v>
      </c>
      <c r="E34" s="67" t="s">
        <v>284</v>
      </c>
      <c r="F34" s="11"/>
      <c r="G34" s="14" t="s">
        <v>1155</v>
      </c>
      <c r="H34" s="11"/>
      <c r="I34" s="11"/>
      <c r="J34" s="11"/>
      <c r="K34" s="11"/>
      <c r="L34" s="128"/>
      <c r="M34" s="128"/>
      <c r="N34" s="147" t="str">
        <f t="shared" si="0"/>
        <v>column(occupation_business_reserve) : varchar(20)</v>
      </c>
      <c r="O34" s="182" t="s">
        <v>363</v>
      </c>
      <c r="P34" s="182" t="s">
        <v>363</v>
      </c>
      <c r="Q34" s="184" t="s">
        <v>1084</v>
      </c>
      <c r="R34" s="184" t="s">
        <v>1104</v>
      </c>
      <c r="S34" s="176" t="s">
        <v>341</v>
      </c>
      <c r="T34" s="176" t="s">
        <v>44</v>
      </c>
      <c r="U34" s="176" t="s">
        <v>616</v>
      </c>
      <c r="V34" s="176"/>
      <c r="W34" s="128"/>
      <c r="X34" s="128"/>
      <c r="Y34" s="128"/>
      <c r="Z34" s="128"/>
      <c r="AA34" s="128"/>
    </row>
    <row r="35" spans="1:27" ht="72">
      <c r="A35" s="100" t="s">
        <v>541</v>
      </c>
      <c r="B35" s="11" t="s">
        <v>618</v>
      </c>
      <c r="C35" s="11" t="s">
        <v>266</v>
      </c>
      <c r="D35" s="11" t="s">
        <v>1167</v>
      </c>
      <c r="E35" s="67" t="s">
        <v>284</v>
      </c>
      <c r="F35" s="11"/>
      <c r="G35" s="14" t="s">
        <v>1157</v>
      </c>
      <c r="H35" s="11"/>
      <c r="I35" s="11"/>
      <c r="J35" s="11"/>
      <c r="K35" s="11"/>
      <c r="L35" s="128"/>
      <c r="M35" s="128"/>
      <c r="N35" s="147" t="str">
        <f t="shared" si="0"/>
        <v>column(occ_bus_value_reserve) : varchar(20)</v>
      </c>
      <c r="O35" s="182" t="s">
        <v>363</v>
      </c>
      <c r="P35" s="182" t="s">
        <v>363</v>
      </c>
      <c r="Q35" s="184" t="s">
        <v>1084</v>
      </c>
      <c r="R35" s="184" t="s">
        <v>1104</v>
      </c>
      <c r="S35" s="176" t="s">
        <v>341</v>
      </c>
      <c r="T35" s="176" t="s">
        <v>44</v>
      </c>
      <c r="U35" s="176" t="s">
        <v>620</v>
      </c>
      <c r="V35" s="176"/>
      <c r="W35" s="128"/>
      <c r="X35" s="128"/>
      <c r="Y35" s="128"/>
      <c r="Z35" s="128"/>
      <c r="AA35" s="128"/>
    </row>
    <row r="36" spans="1:27" ht="72">
      <c r="A36" s="100" t="s">
        <v>547</v>
      </c>
      <c r="B36" s="11" t="s">
        <v>633</v>
      </c>
      <c r="C36" s="11" t="s">
        <v>271</v>
      </c>
      <c r="D36" s="11" t="s">
        <v>1168</v>
      </c>
      <c r="E36" s="67" t="s">
        <v>284</v>
      </c>
      <c r="F36" s="11"/>
      <c r="G36" s="14" t="s">
        <v>1169</v>
      </c>
      <c r="H36" s="11"/>
      <c r="I36" s="11"/>
      <c r="J36" s="11"/>
      <c r="K36" s="11"/>
      <c r="L36" s="128"/>
      <c r="M36" s="128"/>
      <c r="N36" s="147" t="str">
        <f t="shared" si="0"/>
        <v>column(code_occ_to_uw_reserve) : varchar(100)</v>
      </c>
      <c r="O36" s="182" t="s">
        <v>363</v>
      </c>
      <c r="P36" s="182" t="s">
        <v>363</v>
      </c>
      <c r="Q36" s="184" t="s">
        <v>1084</v>
      </c>
      <c r="R36" s="184" t="s">
        <v>1104</v>
      </c>
      <c r="S36" s="176" t="s">
        <v>341</v>
      </c>
      <c r="T36" s="176" t="s">
        <v>44</v>
      </c>
      <c r="U36" s="176" t="s">
        <v>637</v>
      </c>
      <c r="V36" s="176"/>
      <c r="W36" s="128"/>
      <c r="X36" s="128"/>
      <c r="Y36" s="128"/>
      <c r="Z36" s="128"/>
      <c r="AA36" s="128"/>
    </row>
    <row r="37" spans="1:27" ht="36">
      <c r="A37" s="100" t="s">
        <v>550</v>
      </c>
      <c r="B37" s="11" t="s">
        <v>1170</v>
      </c>
      <c r="C37" s="11" t="s">
        <v>266</v>
      </c>
      <c r="D37" s="11" t="s">
        <v>1171</v>
      </c>
      <c r="E37" s="67" t="s">
        <v>284</v>
      </c>
      <c r="F37" s="11"/>
      <c r="G37" s="14" t="s">
        <v>1172</v>
      </c>
      <c r="H37" s="11"/>
      <c r="I37" s="11"/>
      <c r="J37" s="11"/>
      <c r="K37" s="11"/>
      <c r="L37" s="128"/>
      <c r="M37" s="128"/>
      <c r="N37" s="147" t="str">
        <f t="shared" si="0"/>
        <v>column(occupation_group) : varchar(20)</v>
      </c>
      <c r="O37" s="182"/>
      <c r="P37" s="182"/>
      <c r="Q37" s="182"/>
      <c r="R37" s="182"/>
      <c r="S37" s="176" t="s">
        <v>341</v>
      </c>
      <c r="T37" s="176" t="s">
        <v>44</v>
      </c>
      <c r="U37" s="176" t="s">
        <v>1173</v>
      </c>
      <c r="V37" s="176"/>
      <c r="W37" s="128"/>
      <c r="X37" s="128"/>
      <c r="Y37" s="128"/>
      <c r="Z37" s="128"/>
      <c r="AA37" s="128"/>
    </row>
    <row r="38" spans="1:27" ht="48">
      <c r="A38" s="100" t="s">
        <v>553</v>
      </c>
      <c r="B38" s="11" t="s">
        <v>1174</v>
      </c>
      <c r="C38" s="11" t="s">
        <v>387</v>
      </c>
      <c r="D38" s="11" t="s">
        <v>1175</v>
      </c>
      <c r="E38" s="67" t="s">
        <v>284</v>
      </c>
      <c r="F38" s="11"/>
      <c r="G38" s="14" t="s">
        <v>1103</v>
      </c>
      <c r="H38" s="11" t="s">
        <v>338</v>
      </c>
      <c r="I38" s="11"/>
      <c r="J38" s="11"/>
      <c r="K38" s="11"/>
      <c r="L38" s="128"/>
      <c r="M38" s="128"/>
      <c r="N38" s="147" t="str">
        <f t="shared" si="0"/>
        <v>column(parent_title_code) : varchar(10)</v>
      </c>
      <c r="O38" s="182" t="s">
        <v>363</v>
      </c>
      <c r="P38" s="182" t="s">
        <v>363</v>
      </c>
      <c r="Q38" s="184" t="s">
        <v>1176</v>
      </c>
      <c r="R38" s="184" t="s">
        <v>1177</v>
      </c>
      <c r="S38" s="176"/>
      <c r="T38" s="176" t="s">
        <v>384</v>
      </c>
      <c r="U38" s="176"/>
      <c r="V38" s="176"/>
      <c r="W38" s="128"/>
      <c r="X38" s="128"/>
      <c r="Y38" s="128"/>
      <c r="Z38" s="128"/>
      <c r="AA38" s="128"/>
    </row>
    <row r="39" spans="1:27" ht="48">
      <c r="A39" s="100" t="s">
        <v>557</v>
      </c>
      <c r="B39" s="11" t="s">
        <v>1178</v>
      </c>
      <c r="C39" s="11" t="s">
        <v>414</v>
      </c>
      <c r="D39" s="11" t="s">
        <v>1179</v>
      </c>
      <c r="E39" s="67" t="s">
        <v>284</v>
      </c>
      <c r="F39" s="11"/>
      <c r="G39" s="14" t="s">
        <v>1107</v>
      </c>
      <c r="H39" s="11" t="s">
        <v>417</v>
      </c>
      <c r="I39" s="11"/>
      <c r="J39" s="11"/>
      <c r="K39" s="11"/>
      <c r="L39" s="128"/>
      <c r="M39" s="128"/>
      <c r="N39" s="147" t="str">
        <f t="shared" si="0"/>
        <v>column(parent_title) : varchar(30)</v>
      </c>
      <c r="O39" s="182" t="s">
        <v>363</v>
      </c>
      <c r="P39" s="182" t="s">
        <v>363</v>
      </c>
      <c r="Q39" s="184" t="s">
        <v>1176</v>
      </c>
      <c r="R39" s="184" t="s">
        <v>1177</v>
      </c>
      <c r="S39" s="176"/>
      <c r="T39" s="176" t="s">
        <v>384</v>
      </c>
      <c r="U39" s="176"/>
      <c r="V39" s="176"/>
      <c r="W39" s="128"/>
      <c r="X39" s="128"/>
      <c r="Y39" s="128"/>
      <c r="Z39" s="128"/>
      <c r="AA39" s="128"/>
    </row>
    <row r="40" spans="1:27" ht="48">
      <c r="A40" s="100" t="s">
        <v>560</v>
      </c>
      <c r="B40" s="11" t="s">
        <v>1180</v>
      </c>
      <c r="C40" s="11" t="s">
        <v>291</v>
      </c>
      <c r="D40" s="11" t="s">
        <v>666</v>
      </c>
      <c r="E40" s="67" t="s">
        <v>284</v>
      </c>
      <c r="F40" s="11"/>
      <c r="G40" s="11"/>
      <c r="H40" s="11" t="s">
        <v>434</v>
      </c>
      <c r="I40" s="11"/>
      <c r="J40" s="11"/>
      <c r="K40" s="11"/>
      <c r="L40" s="128"/>
      <c r="M40" s="128"/>
      <c r="N40" s="147" t="str">
        <f t="shared" si="0"/>
        <v>column(parent_first_name) : varchar(50)</v>
      </c>
      <c r="O40" s="182" t="s">
        <v>363</v>
      </c>
      <c r="P40" s="182" t="s">
        <v>363</v>
      </c>
      <c r="Q40" s="184" t="s">
        <v>1176</v>
      </c>
      <c r="R40" s="184" t="s">
        <v>1177</v>
      </c>
      <c r="S40" s="176"/>
      <c r="T40" s="176" t="s">
        <v>384</v>
      </c>
      <c r="U40" s="176"/>
      <c r="V40" s="176"/>
      <c r="W40" s="128"/>
      <c r="X40" s="128"/>
      <c r="Y40" s="128"/>
      <c r="Z40" s="128"/>
      <c r="AA40" s="128"/>
    </row>
    <row r="41" spans="1:27" ht="48">
      <c r="A41" s="100" t="s">
        <v>565</v>
      </c>
      <c r="B41" s="11" t="s">
        <v>1181</v>
      </c>
      <c r="C41" s="11" t="s">
        <v>291</v>
      </c>
      <c r="D41" s="11" t="s">
        <v>670</v>
      </c>
      <c r="E41" s="67" t="s">
        <v>284</v>
      </c>
      <c r="F41" s="11"/>
      <c r="G41" s="11"/>
      <c r="H41" s="11" t="s">
        <v>439</v>
      </c>
      <c r="I41" s="11"/>
      <c r="J41" s="11"/>
      <c r="K41" s="11"/>
      <c r="L41" s="128"/>
      <c r="M41" s="128"/>
      <c r="N41" s="147" t="str">
        <f t="shared" si="0"/>
        <v>column(parent_last_name) : varchar(50)</v>
      </c>
      <c r="O41" s="182" t="s">
        <v>363</v>
      </c>
      <c r="P41" s="182" t="s">
        <v>363</v>
      </c>
      <c r="Q41" s="184" t="s">
        <v>1176</v>
      </c>
      <c r="R41" s="184" t="s">
        <v>1177</v>
      </c>
      <c r="S41" s="176"/>
      <c r="T41" s="176" t="s">
        <v>384</v>
      </c>
      <c r="U41" s="176"/>
      <c r="V41" s="176"/>
      <c r="W41" s="128"/>
      <c r="X41" s="128"/>
      <c r="Y41" s="128"/>
      <c r="Z41" s="128"/>
      <c r="AA41" s="128"/>
    </row>
    <row r="42" spans="1:27" ht="48">
      <c r="A42" s="100" t="s">
        <v>570</v>
      </c>
      <c r="B42" s="11" t="s">
        <v>1182</v>
      </c>
      <c r="C42" s="11" t="s">
        <v>1118</v>
      </c>
      <c r="D42" s="11" t="s">
        <v>1183</v>
      </c>
      <c r="E42" s="67" t="s">
        <v>284</v>
      </c>
      <c r="F42" s="11"/>
      <c r="G42" s="11"/>
      <c r="H42" s="11"/>
      <c r="I42" s="11"/>
      <c r="J42" s="11"/>
      <c r="K42" s="11"/>
      <c r="L42" s="128"/>
      <c r="M42" s="128"/>
      <c r="N42" s="147" t="str">
        <f t="shared" si="0"/>
        <v>column(parent_age) : integer</v>
      </c>
      <c r="O42" s="182" t="s">
        <v>363</v>
      </c>
      <c r="P42" s="182" t="s">
        <v>363</v>
      </c>
      <c r="Q42" s="184" t="s">
        <v>1176</v>
      </c>
      <c r="R42" s="184" t="s">
        <v>1177</v>
      </c>
      <c r="S42" s="176"/>
      <c r="T42" s="176" t="s">
        <v>384</v>
      </c>
      <c r="U42" s="176"/>
      <c r="V42" s="176"/>
      <c r="W42" s="128"/>
      <c r="X42" s="128"/>
      <c r="Y42" s="128"/>
      <c r="Z42" s="128"/>
      <c r="AA42" s="128"/>
    </row>
    <row r="43" spans="1:27" ht="48">
      <c r="A43" s="100" t="s">
        <v>575</v>
      </c>
      <c r="B43" s="11" t="s">
        <v>1184</v>
      </c>
      <c r="C43" s="11" t="s">
        <v>453</v>
      </c>
      <c r="D43" s="11" t="s">
        <v>1185</v>
      </c>
      <c r="E43" s="67" t="s">
        <v>284</v>
      </c>
      <c r="F43" s="11"/>
      <c r="G43" s="14" t="s">
        <v>1186</v>
      </c>
      <c r="H43" s="11" t="s">
        <v>357</v>
      </c>
      <c r="I43" s="11"/>
      <c r="J43" s="11"/>
      <c r="K43" s="11"/>
      <c r="L43" s="128"/>
      <c r="M43" s="128"/>
      <c r="N43" s="147" t="str">
        <f t="shared" si="0"/>
        <v>column(parent_relation_code) : varchar(2)</v>
      </c>
      <c r="O43" s="182" t="s">
        <v>363</v>
      </c>
      <c r="P43" s="182" t="s">
        <v>363</v>
      </c>
      <c r="Q43" s="184" t="s">
        <v>1176</v>
      </c>
      <c r="R43" s="184" t="s">
        <v>1177</v>
      </c>
      <c r="S43" s="176"/>
      <c r="T43" s="176" t="s">
        <v>384</v>
      </c>
      <c r="U43" s="176"/>
      <c r="V43" s="176"/>
      <c r="W43" s="128"/>
      <c r="X43" s="128"/>
      <c r="Y43" s="128"/>
      <c r="Z43" s="128"/>
      <c r="AA43" s="128"/>
    </row>
    <row r="44" spans="1:27" ht="48">
      <c r="A44" s="100" t="s">
        <v>581</v>
      </c>
      <c r="B44" s="11" t="s">
        <v>1187</v>
      </c>
      <c r="C44" s="11" t="s">
        <v>271</v>
      </c>
      <c r="D44" s="11" t="s">
        <v>1188</v>
      </c>
      <c r="E44" s="67" t="s">
        <v>284</v>
      </c>
      <c r="F44" s="11"/>
      <c r="G44" s="14" t="s">
        <v>1189</v>
      </c>
      <c r="H44" s="11" t="s">
        <v>1190</v>
      </c>
      <c r="I44" s="11"/>
      <c r="J44" s="11"/>
      <c r="K44" s="11"/>
      <c r="L44" s="128"/>
      <c r="M44" s="128"/>
      <c r="N44" s="147" t="str">
        <f t="shared" si="0"/>
        <v>column(parent_relation) : varchar(100)</v>
      </c>
      <c r="O44" s="182" t="s">
        <v>363</v>
      </c>
      <c r="P44" s="182" t="s">
        <v>363</v>
      </c>
      <c r="Q44" s="184" t="s">
        <v>1176</v>
      </c>
      <c r="R44" s="184" t="s">
        <v>1177</v>
      </c>
      <c r="S44" s="176"/>
      <c r="T44" s="176" t="s">
        <v>384</v>
      </c>
      <c r="U44" s="176"/>
      <c r="V44" s="176"/>
      <c r="W44" s="128"/>
      <c r="X44" s="128"/>
      <c r="Y44" s="128"/>
      <c r="Z44" s="128"/>
      <c r="AA44" s="128"/>
    </row>
    <row r="45" spans="1:27" ht="96">
      <c r="A45" s="100" t="s">
        <v>586</v>
      </c>
      <c r="B45" s="13" t="s">
        <v>1191</v>
      </c>
      <c r="C45" s="11" t="s">
        <v>1118</v>
      </c>
      <c r="D45" s="11" t="s">
        <v>1192</v>
      </c>
      <c r="E45" s="67" t="s">
        <v>284</v>
      </c>
      <c r="F45" s="11"/>
      <c r="G45" s="11"/>
      <c r="H45" s="11"/>
      <c r="I45" s="11"/>
      <c r="J45" s="11"/>
      <c r="K45" s="11"/>
      <c r="L45" s="128"/>
      <c r="M45" s="128"/>
      <c r="N45" s="147" t="str">
        <f t="shared" si="0"/>
        <v>column(life_sum_assured) : integer</v>
      </c>
      <c r="O45" s="182" t="s">
        <v>363</v>
      </c>
      <c r="P45" s="182" t="s">
        <v>363</v>
      </c>
      <c r="Q45" s="184" t="s">
        <v>1088</v>
      </c>
      <c r="R45" s="184" t="s">
        <v>1120</v>
      </c>
      <c r="S45" s="176" t="s">
        <v>341</v>
      </c>
      <c r="T45" s="176" t="s">
        <v>44</v>
      </c>
      <c r="U45" s="176" t="s">
        <v>1193</v>
      </c>
      <c r="V45" s="176"/>
      <c r="W45" s="128"/>
      <c r="X45" s="128"/>
      <c r="Y45" s="128"/>
      <c r="Z45" s="128"/>
      <c r="AA45" s="128"/>
    </row>
    <row r="46" spans="1:27" ht="96">
      <c r="A46" s="100" t="s">
        <v>590</v>
      </c>
      <c r="B46" s="104" t="s">
        <v>1194</v>
      </c>
      <c r="C46" s="11" t="s">
        <v>1195</v>
      </c>
      <c r="D46" s="11" t="s">
        <v>1196</v>
      </c>
      <c r="E46" s="67" t="s">
        <v>284</v>
      </c>
      <c r="F46" s="11"/>
      <c r="G46" s="11"/>
      <c r="H46" s="11"/>
      <c r="I46" s="11"/>
      <c r="J46" s="11"/>
      <c r="K46" s="11"/>
      <c r="L46" s="128"/>
      <c r="M46" s="128"/>
      <c r="N46" s="147" t="str">
        <f t="shared" si="0"/>
        <v>column(life_premium) : decimal(12,2)</v>
      </c>
      <c r="O46" s="182" t="s">
        <v>363</v>
      </c>
      <c r="P46" s="182" t="s">
        <v>363</v>
      </c>
      <c r="Q46" s="184" t="s">
        <v>1084</v>
      </c>
      <c r="R46" s="184" t="s">
        <v>1197</v>
      </c>
      <c r="S46" s="176" t="s">
        <v>341</v>
      </c>
      <c r="T46" s="176" t="s">
        <v>44</v>
      </c>
      <c r="U46" s="176" t="s">
        <v>1198</v>
      </c>
      <c r="V46" s="176"/>
      <c r="W46" s="128"/>
      <c r="X46" s="128"/>
      <c r="Y46" s="128"/>
      <c r="Z46" s="128"/>
      <c r="AA46" s="128"/>
    </row>
    <row r="47" spans="1:27" ht="76.5">
      <c r="A47" s="100" t="s">
        <v>595</v>
      </c>
      <c r="B47" s="13" t="s">
        <v>1199</v>
      </c>
      <c r="C47" s="11" t="s">
        <v>351</v>
      </c>
      <c r="D47" s="11" t="s">
        <v>1200</v>
      </c>
      <c r="E47" s="67" t="s">
        <v>260</v>
      </c>
      <c r="F47" s="11" t="s">
        <v>768</v>
      </c>
      <c r="G47" s="14" t="s">
        <v>1201</v>
      </c>
      <c r="H47" s="11" t="s">
        <v>1202</v>
      </c>
      <c r="I47" s="11"/>
      <c r="J47" s="13" t="s">
        <v>1203</v>
      </c>
      <c r="K47" s="13" t="s">
        <v>1204</v>
      </c>
      <c r="L47" s="128"/>
      <c r="M47" s="128"/>
      <c r="N47" s="147" t="str">
        <f t="shared" si="0"/>
        <v>foreign_key(payment_code) : varchar(5)</v>
      </c>
      <c r="O47" s="182"/>
      <c r="P47" s="182"/>
      <c r="Q47" s="182"/>
      <c r="R47" s="182"/>
      <c r="S47" s="176"/>
      <c r="T47" s="176" t="s">
        <v>384</v>
      </c>
      <c r="U47" s="176"/>
      <c r="V47" s="176"/>
      <c r="W47" s="128"/>
      <c r="X47" s="128"/>
      <c r="Y47" s="128"/>
      <c r="Z47" s="128"/>
      <c r="AA47" s="128"/>
    </row>
    <row r="48" spans="1:27" ht="72">
      <c r="A48" s="100" t="s">
        <v>601</v>
      </c>
      <c r="B48" s="11" t="s">
        <v>1205</v>
      </c>
      <c r="C48" s="11" t="s">
        <v>351</v>
      </c>
      <c r="D48" s="11" t="s">
        <v>1206</v>
      </c>
      <c r="E48" s="67" t="s">
        <v>260</v>
      </c>
      <c r="F48" s="11"/>
      <c r="G48" s="11"/>
      <c r="H48" s="11"/>
      <c r="I48" s="11"/>
      <c r="J48" s="11" t="s">
        <v>1207</v>
      </c>
      <c r="K48" s="11" t="s">
        <v>1208</v>
      </c>
      <c r="L48" s="128"/>
      <c r="M48" s="128"/>
      <c r="N48" s="147" t="str">
        <f t="shared" si="0"/>
        <v>column(payment_type) : varchar(5)</v>
      </c>
      <c r="O48" s="182" t="s">
        <v>363</v>
      </c>
      <c r="P48" s="182" t="s">
        <v>363</v>
      </c>
      <c r="Q48" s="184" t="s">
        <v>1209</v>
      </c>
      <c r="R48" s="184" t="s">
        <v>1210</v>
      </c>
      <c r="S48" s="176"/>
      <c r="T48" s="176" t="s">
        <v>384</v>
      </c>
      <c r="U48" s="176"/>
      <c r="V48" s="176"/>
      <c r="W48" s="128"/>
      <c r="X48" s="128"/>
      <c r="Y48" s="128"/>
      <c r="Z48" s="128"/>
      <c r="AA48" s="128"/>
    </row>
    <row r="49" spans="1:27" ht="84">
      <c r="A49" s="100" t="s">
        <v>606</v>
      </c>
      <c r="B49" s="11" t="s">
        <v>1211</v>
      </c>
      <c r="C49" s="11" t="s">
        <v>1118</v>
      </c>
      <c r="D49" s="11" t="s">
        <v>1212</v>
      </c>
      <c r="E49" s="67" t="s">
        <v>260</v>
      </c>
      <c r="F49" s="11"/>
      <c r="G49" s="11"/>
      <c r="H49" s="11"/>
      <c r="I49" s="11"/>
      <c r="J49" s="11"/>
      <c r="K49" s="11"/>
      <c r="L49" s="128"/>
      <c r="M49" s="128"/>
      <c r="N49" s="147" t="str">
        <f t="shared" si="0"/>
        <v>column(payment_period) : integer</v>
      </c>
      <c r="O49" s="182" t="s">
        <v>363</v>
      </c>
      <c r="P49" s="182" t="s">
        <v>363</v>
      </c>
      <c r="Q49" s="184" t="s">
        <v>1209</v>
      </c>
      <c r="R49" s="184" t="s">
        <v>1213</v>
      </c>
      <c r="S49" s="176"/>
      <c r="T49" s="176" t="s">
        <v>384</v>
      </c>
      <c r="U49" s="176"/>
      <c r="V49" s="176"/>
      <c r="W49" s="128"/>
      <c r="X49" s="128"/>
      <c r="Y49" s="128"/>
      <c r="Z49" s="128"/>
      <c r="AA49" s="128"/>
    </row>
    <row r="50" spans="1:27" ht="60">
      <c r="A50" s="100" t="s">
        <v>610</v>
      </c>
      <c r="B50" s="11" t="s">
        <v>1214</v>
      </c>
      <c r="C50" s="11" t="s">
        <v>351</v>
      </c>
      <c r="D50" s="11" t="s">
        <v>1215</v>
      </c>
      <c r="E50" s="67" t="s">
        <v>260</v>
      </c>
      <c r="F50" s="11"/>
      <c r="G50" s="11"/>
      <c r="H50" s="11"/>
      <c r="I50" s="11"/>
      <c r="J50" s="11" t="s">
        <v>1207</v>
      </c>
      <c r="K50" s="11" t="s">
        <v>1216</v>
      </c>
      <c r="L50" s="128"/>
      <c r="M50" s="128"/>
      <c r="N50" s="147" t="str">
        <f t="shared" si="0"/>
        <v>column(coverage_type) : varchar(5)</v>
      </c>
      <c r="O50" s="182" t="s">
        <v>363</v>
      </c>
      <c r="P50" s="182" t="s">
        <v>363</v>
      </c>
      <c r="Q50" s="184" t="s">
        <v>1094</v>
      </c>
      <c r="R50" s="184" t="s">
        <v>1217</v>
      </c>
      <c r="S50" s="176" t="s">
        <v>341</v>
      </c>
      <c r="T50" s="176" t="s">
        <v>44</v>
      </c>
      <c r="U50" s="176" t="s">
        <v>1218</v>
      </c>
      <c r="V50" s="176"/>
      <c r="W50" s="128"/>
      <c r="X50" s="128"/>
      <c r="Y50" s="128"/>
      <c r="Z50" s="128"/>
      <c r="AA50" s="128"/>
    </row>
    <row r="51" spans="1:27" ht="72">
      <c r="A51" s="100" t="s">
        <v>613</v>
      </c>
      <c r="B51" s="11" t="s">
        <v>1219</v>
      </c>
      <c r="C51" s="11" t="s">
        <v>1118</v>
      </c>
      <c r="D51" s="13" t="s">
        <v>1220</v>
      </c>
      <c r="E51" s="67" t="s">
        <v>260</v>
      </c>
      <c r="F51" s="11"/>
      <c r="G51" s="11"/>
      <c r="H51" s="11"/>
      <c r="I51" s="11"/>
      <c r="J51" s="11"/>
      <c r="K51" s="11"/>
      <c r="L51" s="128"/>
      <c r="M51" s="128"/>
      <c r="N51" s="147" t="str">
        <f t="shared" si="0"/>
        <v>column(coverage_period) : integer</v>
      </c>
      <c r="O51" s="182" t="s">
        <v>363</v>
      </c>
      <c r="P51" s="182" t="s">
        <v>363</v>
      </c>
      <c r="Q51" s="184" t="s">
        <v>1209</v>
      </c>
      <c r="R51" s="184" t="s">
        <v>1210</v>
      </c>
      <c r="S51" s="176" t="s">
        <v>341</v>
      </c>
      <c r="T51" s="176" t="s">
        <v>44</v>
      </c>
      <c r="U51" s="176" t="s">
        <v>1221</v>
      </c>
      <c r="V51" s="176"/>
      <c r="W51" s="128"/>
      <c r="X51" s="128"/>
      <c r="Y51" s="128"/>
      <c r="Z51" s="128"/>
      <c r="AA51" s="128"/>
    </row>
    <row r="52" spans="1:27" ht="48">
      <c r="A52" s="100" t="s">
        <v>617</v>
      </c>
      <c r="B52" s="13" t="s">
        <v>1222</v>
      </c>
      <c r="C52" s="11" t="s">
        <v>271</v>
      </c>
      <c r="D52" s="11" t="s">
        <v>1223</v>
      </c>
      <c r="E52" s="67" t="s">
        <v>284</v>
      </c>
      <c r="F52" s="11"/>
      <c r="G52" s="11"/>
      <c r="H52" s="11"/>
      <c r="I52" s="11"/>
      <c r="J52" s="11"/>
      <c r="K52" s="11" t="s">
        <v>1224</v>
      </c>
      <c r="L52" s="128"/>
      <c r="M52" s="128"/>
      <c r="N52" s="147" t="str">
        <f t="shared" si="0"/>
        <v>column(branch) : varchar(100)</v>
      </c>
      <c r="O52" s="182" t="s">
        <v>363</v>
      </c>
      <c r="P52" s="182" t="s">
        <v>363</v>
      </c>
      <c r="Q52" s="184" t="s">
        <v>1225</v>
      </c>
      <c r="R52" s="184" t="s">
        <v>1226</v>
      </c>
      <c r="S52" s="176" t="s">
        <v>341</v>
      </c>
      <c r="T52" s="176" t="s">
        <v>44</v>
      </c>
      <c r="U52" s="176" t="s">
        <v>1222</v>
      </c>
      <c r="V52" s="176"/>
      <c r="W52" s="128"/>
      <c r="X52" s="128"/>
      <c r="Y52" s="128"/>
      <c r="Z52" s="128"/>
      <c r="AA52" s="128"/>
    </row>
    <row r="53" spans="1:27" ht="107.25">
      <c r="A53" s="100" t="s">
        <v>564</v>
      </c>
      <c r="B53" s="13" t="s">
        <v>1227</v>
      </c>
      <c r="C53" s="11" t="s">
        <v>266</v>
      </c>
      <c r="D53" s="11" t="s">
        <v>1228</v>
      </c>
      <c r="E53" s="67" t="s">
        <v>284</v>
      </c>
      <c r="F53" s="11"/>
      <c r="G53" s="11"/>
      <c r="H53" s="11"/>
      <c r="I53" s="11"/>
      <c r="J53" s="11"/>
      <c r="K53" s="11" t="s">
        <v>1229</v>
      </c>
      <c r="L53" s="128"/>
      <c r="M53" s="128"/>
      <c r="N53" s="147" t="str">
        <f t="shared" si="0"/>
        <v>column(package_number) : varchar(20)</v>
      </c>
      <c r="O53" s="182" t="s">
        <v>363</v>
      </c>
      <c r="P53" s="182" t="s">
        <v>363</v>
      </c>
      <c r="Q53" s="184" t="s">
        <v>1148</v>
      </c>
      <c r="R53" s="184" t="s">
        <v>1230</v>
      </c>
      <c r="S53" s="176" t="s">
        <v>341</v>
      </c>
      <c r="T53" s="176" t="s">
        <v>44</v>
      </c>
      <c r="U53" s="176" t="s">
        <v>1231</v>
      </c>
      <c r="V53" s="176"/>
      <c r="W53" s="128"/>
      <c r="X53" s="128"/>
      <c r="Y53" s="128"/>
      <c r="Z53" s="128"/>
      <c r="AA53" s="128"/>
    </row>
    <row r="54" spans="1:27" ht="60">
      <c r="A54" s="100" t="s">
        <v>623</v>
      </c>
      <c r="B54" s="11" t="s">
        <v>1232</v>
      </c>
      <c r="C54" s="11" t="s">
        <v>266</v>
      </c>
      <c r="D54" s="11" t="s">
        <v>1233</v>
      </c>
      <c r="E54" s="67" t="s">
        <v>284</v>
      </c>
      <c r="F54" s="11"/>
      <c r="G54" s="11"/>
      <c r="H54" s="11"/>
      <c r="I54" s="11"/>
      <c r="J54" s="11"/>
      <c r="K54" s="11"/>
      <c r="L54" s="128"/>
      <c r="M54" s="128"/>
      <c r="N54" s="147" t="str">
        <f t="shared" si="0"/>
        <v>column(type_app) : varchar(20)</v>
      </c>
      <c r="O54" s="182" t="s">
        <v>363</v>
      </c>
      <c r="P54" s="182" t="s">
        <v>363</v>
      </c>
      <c r="Q54" s="184" t="s">
        <v>1094</v>
      </c>
      <c r="R54" s="184" t="s">
        <v>1217</v>
      </c>
      <c r="S54" s="176" t="s">
        <v>341</v>
      </c>
      <c r="T54" s="176" t="s">
        <v>44</v>
      </c>
      <c r="U54" s="176" t="s">
        <v>1234</v>
      </c>
      <c r="V54" s="176"/>
      <c r="W54" s="128"/>
      <c r="X54" s="128"/>
      <c r="Y54" s="128"/>
      <c r="Z54" s="128"/>
      <c r="AA54" s="128"/>
    </row>
    <row r="55" spans="1:27" ht="72">
      <c r="A55" s="100" t="s">
        <v>626</v>
      </c>
      <c r="B55" s="13" t="s">
        <v>1235</v>
      </c>
      <c r="C55" s="11" t="s">
        <v>503</v>
      </c>
      <c r="D55" s="13" t="s">
        <v>1236</v>
      </c>
      <c r="E55" s="67" t="s">
        <v>260</v>
      </c>
      <c r="F55" s="11"/>
      <c r="G55" s="11"/>
      <c r="H55" s="11"/>
      <c r="I55" s="11"/>
      <c r="J55" s="11" t="s">
        <v>1237</v>
      </c>
      <c r="K55" s="11"/>
      <c r="L55" s="128"/>
      <c r="M55" s="128"/>
      <c r="N55" s="147" t="str">
        <f t="shared" si="0"/>
        <v>column(tp_flag) : boolean</v>
      </c>
      <c r="O55" s="182" t="s">
        <v>363</v>
      </c>
      <c r="P55" s="182" t="s">
        <v>363</v>
      </c>
      <c r="Q55" s="184" t="s">
        <v>1084</v>
      </c>
      <c r="R55" s="184" t="s">
        <v>1104</v>
      </c>
      <c r="S55" s="176" t="s">
        <v>341</v>
      </c>
      <c r="T55" s="176" t="s">
        <v>44</v>
      </c>
      <c r="U55" s="176" t="s">
        <v>1238</v>
      </c>
      <c r="V55" s="176"/>
      <c r="W55" s="128"/>
      <c r="X55" s="128"/>
      <c r="Y55" s="128"/>
      <c r="Z55" s="128"/>
      <c r="AA55" s="128"/>
    </row>
    <row r="56" spans="1:27" ht="72">
      <c r="A56" s="100" t="s">
        <v>629</v>
      </c>
      <c r="B56" s="11" t="s">
        <v>1239</v>
      </c>
      <c r="C56" s="11" t="s">
        <v>1118</v>
      </c>
      <c r="D56" s="11" t="s">
        <v>1240</v>
      </c>
      <c r="E56" s="67" t="s">
        <v>284</v>
      </c>
      <c r="F56" s="11"/>
      <c r="G56" s="11"/>
      <c r="H56" s="11"/>
      <c r="I56" s="11"/>
      <c r="J56" s="11"/>
      <c r="K56" s="11"/>
      <c r="L56" s="128"/>
      <c r="M56" s="128"/>
      <c r="N56" s="147" t="str">
        <f t="shared" si="0"/>
        <v>column(kb_coverage_year) : integer</v>
      </c>
      <c r="O56" s="182" t="s">
        <v>363</v>
      </c>
      <c r="P56" s="182" t="s">
        <v>363</v>
      </c>
      <c r="Q56" s="184" t="s">
        <v>1084</v>
      </c>
      <c r="R56" s="184" t="s">
        <v>1104</v>
      </c>
      <c r="S56" s="176" t="s">
        <v>341</v>
      </c>
      <c r="T56" s="176" t="s">
        <v>44</v>
      </c>
      <c r="U56" s="176" t="s">
        <v>1241</v>
      </c>
      <c r="V56" s="176"/>
      <c r="W56" s="128"/>
      <c r="X56" s="128"/>
      <c r="Y56" s="128"/>
      <c r="Z56" s="128"/>
      <c r="AA56" s="128"/>
    </row>
    <row r="57" spans="1:27" ht="36">
      <c r="A57" s="100" t="s">
        <v>632</v>
      </c>
      <c r="B57" s="11" t="s">
        <v>1242</v>
      </c>
      <c r="C57" s="11" t="s">
        <v>266</v>
      </c>
      <c r="D57" s="11" t="s">
        <v>1243</v>
      </c>
      <c r="E57" s="67" t="s">
        <v>284</v>
      </c>
      <c r="F57" s="11"/>
      <c r="G57" s="11"/>
      <c r="H57" s="11"/>
      <c r="I57" s="11"/>
      <c r="J57" s="11"/>
      <c r="K57" s="11" t="s">
        <v>1244</v>
      </c>
      <c r="L57" s="128"/>
      <c r="M57" s="128"/>
      <c r="N57" s="147" t="str">
        <f t="shared" si="0"/>
        <v>column(soldier) : varchar(20)</v>
      </c>
      <c r="O57" s="182"/>
      <c r="P57" s="182"/>
      <c r="Q57" s="182"/>
      <c r="R57" s="182"/>
      <c r="S57" s="176" t="s">
        <v>341</v>
      </c>
      <c r="T57" s="176" t="s">
        <v>44</v>
      </c>
      <c r="U57" s="176" t="s">
        <v>1242</v>
      </c>
      <c r="V57" s="176"/>
      <c r="W57" s="128"/>
      <c r="X57" s="128"/>
      <c r="Y57" s="128"/>
      <c r="Z57" s="128"/>
      <c r="AA57" s="128"/>
    </row>
    <row r="58" spans="1:27" ht="72">
      <c r="A58" s="100" t="s">
        <v>638</v>
      </c>
      <c r="B58" s="11" t="s">
        <v>1245</v>
      </c>
      <c r="C58" s="11" t="s">
        <v>503</v>
      </c>
      <c r="D58" s="11" t="s">
        <v>1246</v>
      </c>
      <c r="E58" s="67" t="s">
        <v>260</v>
      </c>
      <c r="F58" s="11"/>
      <c r="G58" s="11"/>
      <c r="H58" s="11"/>
      <c r="I58" s="11"/>
      <c r="J58" s="11" t="s">
        <v>1237</v>
      </c>
      <c r="K58" s="11"/>
      <c r="L58" s="128"/>
      <c r="M58" s="128"/>
      <c r="N58" s="147" t="str">
        <f t="shared" si="0"/>
        <v>column(health_check_flag) : boolean</v>
      </c>
      <c r="O58" s="182" t="s">
        <v>363</v>
      </c>
      <c r="P58" s="182" t="s">
        <v>363</v>
      </c>
      <c r="Q58" s="184" t="s">
        <v>1209</v>
      </c>
      <c r="R58" s="184" t="s">
        <v>1210</v>
      </c>
      <c r="S58" s="176" t="s">
        <v>341</v>
      </c>
      <c r="T58" s="176" t="s">
        <v>44</v>
      </c>
      <c r="U58" s="176" t="s">
        <v>1247</v>
      </c>
      <c r="V58" s="176"/>
      <c r="W58" s="128"/>
      <c r="X58" s="128"/>
      <c r="Y58" s="128"/>
      <c r="Z58" s="128"/>
      <c r="AA58" s="128"/>
    </row>
    <row r="59" spans="1:27" ht="84">
      <c r="A59" s="100" t="s">
        <v>642</v>
      </c>
      <c r="B59" s="11" t="s">
        <v>1248</v>
      </c>
      <c r="C59" s="11" t="s">
        <v>713</v>
      </c>
      <c r="D59" s="11" t="s">
        <v>1249</v>
      </c>
      <c r="E59" s="67" t="s">
        <v>284</v>
      </c>
      <c r="F59" s="11"/>
      <c r="G59" s="11"/>
      <c r="H59" s="11"/>
      <c r="I59" s="11"/>
      <c r="J59" s="11"/>
      <c r="K59" s="11" t="s">
        <v>1250</v>
      </c>
      <c r="L59" s="128"/>
      <c r="M59" s="128"/>
      <c r="N59" s="147" t="str">
        <f t="shared" si="0"/>
        <v>column(preferred) : varchar(1)</v>
      </c>
      <c r="O59" s="182" t="s">
        <v>363</v>
      </c>
      <c r="P59" s="182" t="s">
        <v>363</v>
      </c>
      <c r="Q59" s="184" t="s">
        <v>1209</v>
      </c>
      <c r="R59" s="184" t="s">
        <v>1251</v>
      </c>
      <c r="S59" s="176" t="s">
        <v>341</v>
      </c>
      <c r="T59" s="176" t="s">
        <v>44</v>
      </c>
      <c r="U59" s="176" t="s">
        <v>1248</v>
      </c>
      <c r="V59" s="176"/>
      <c r="W59" s="128"/>
      <c r="X59" s="128"/>
      <c r="Y59" s="128"/>
      <c r="Z59" s="128"/>
      <c r="AA59" s="128"/>
    </row>
    <row r="60" spans="1:27" ht="60">
      <c r="A60" s="100" t="s">
        <v>646</v>
      </c>
      <c r="B60" s="11" t="s">
        <v>1252</v>
      </c>
      <c r="C60" s="11" t="s">
        <v>1118</v>
      </c>
      <c r="D60" s="11" t="s">
        <v>1253</v>
      </c>
      <c r="E60" s="67" t="s">
        <v>284</v>
      </c>
      <c r="F60" s="11"/>
      <c r="G60" s="11"/>
      <c r="H60" s="11"/>
      <c r="I60" s="11"/>
      <c r="J60" s="11"/>
      <c r="K60" s="11"/>
      <c r="L60" s="128"/>
      <c r="M60" s="128"/>
      <c r="N60" s="147" t="str">
        <f t="shared" si="0"/>
        <v>column(saving_sum_assure) : integer</v>
      </c>
      <c r="O60" s="182" t="s">
        <v>363</v>
      </c>
      <c r="P60" s="182" t="s">
        <v>363</v>
      </c>
      <c r="Q60" s="184" t="s">
        <v>1094</v>
      </c>
      <c r="R60" s="184" t="s">
        <v>1217</v>
      </c>
      <c r="S60" s="176" t="s">
        <v>341</v>
      </c>
      <c r="T60" s="176" t="s">
        <v>44</v>
      </c>
      <c r="U60" s="176" t="s">
        <v>1254</v>
      </c>
      <c r="V60" s="176"/>
      <c r="W60" s="128"/>
      <c r="X60" s="128"/>
      <c r="Y60" s="128"/>
      <c r="Z60" s="128"/>
      <c r="AA60" s="128"/>
    </row>
    <row r="61" spans="1:27" ht="60">
      <c r="A61" s="100" t="s">
        <v>651</v>
      </c>
      <c r="B61" s="11" t="s">
        <v>1255</v>
      </c>
      <c r="C61" s="11" t="s">
        <v>1195</v>
      </c>
      <c r="D61" s="11" t="s">
        <v>1256</v>
      </c>
      <c r="E61" s="67" t="s">
        <v>284</v>
      </c>
      <c r="F61" s="11"/>
      <c r="G61" s="11"/>
      <c r="H61" s="11"/>
      <c r="I61" s="11"/>
      <c r="J61" s="11"/>
      <c r="K61" s="11"/>
      <c r="L61" s="128"/>
      <c r="M61" s="128"/>
      <c r="N61" s="147" t="str">
        <f t="shared" si="0"/>
        <v>column(saving_premium) : decimal(12,2)</v>
      </c>
      <c r="O61" s="182" t="s">
        <v>363</v>
      </c>
      <c r="P61" s="182" t="s">
        <v>363</v>
      </c>
      <c r="Q61" s="184" t="s">
        <v>1094</v>
      </c>
      <c r="R61" s="184" t="s">
        <v>1217</v>
      </c>
      <c r="S61" s="176" t="s">
        <v>341</v>
      </c>
      <c r="T61" s="176" t="s">
        <v>44</v>
      </c>
      <c r="U61" s="176" t="s">
        <v>1257</v>
      </c>
      <c r="V61" s="176"/>
      <c r="W61" s="128"/>
      <c r="X61" s="128"/>
      <c r="Y61" s="128"/>
      <c r="Z61" s="128"/>
      <c r="AA61" s="128"/>
    </row>
    <row r="62" spans="1:27" ht="84">
      <c r="A62" s="100" t="s">
        <v>656</v>
      </c>
      <c r="B62" s="11" t="s">
        <v>1258</v>
      </c>
      <c r="C62" s="11" t="s">
        <v>266</v>
      </c>
      <c r="D62" s="11" t="s">
        <v>1259</v>
      </c>
      <c r="E62" s="67" t="s">
        <v>260</v>
      </c>
      <c r="F62" s="11"/>
      <c r="G62" s="11"/>
      <c r="H62" s="11"/>
      <c r="I62" s="11"/>
      <c r="J62" s="13" t="s">
        <v>1260</v>
      </c>
      <c r="K62" s="11"/>
      <c r="L62" s="128"/>
      <c r="M62" s="128"/>
      <c r="N62" s="147" t="str">
        <f t="shared" si="0"/>
        <v>column(topup_type) : varchar(20)</v>
      </c>
      <c r="O62" s="182" t="s">
        <v>363</v>
      </c>
      <c r="P62" s="182" t="s">
        <v>363</v>
      </c>
      <c r="Q62" s="184" t="s">
        <v>1084</v>
      </c>
      <c r="R62" s="184" t="s">
        <v>1153</v>
      </c>
      <c r="S62" s="176" t="s">
        <v>341</v>
      </c>
      <c r="T62" s="176" t="s">
        <v>44</v>
      </c>
      <c r="U62" s="176" t="s">
        <v>1261</v>
      </c>
      <c r="V62" s="176"/>
      <c r="W62" s="128"/>
      <c r="X62" s="128"/>
      <c r="Y62" s="128"/>
      <c r="Z62" s="128"/>
      <c r="AA62" s="128"/>
    </row>
    <row r="63" spans="1:27" ht="84">
      <c r="A63" s="100" t="s">
        <v>660</v>
      </c>
      <c r="B63" s="105" t="s">
        <v>1262</v>
      </c>
      <c r="C63" s="11" t="s">
        <v>1195</v>
      </c>
      <c r="D63" s="11" t="s">
        <v>1263</v>
      </c>
      <c r="E63" s="67" t="s">
        <v>284</v>
      </c>
      <c r="F63" s="11"/>
      <c r="G63" s="11"/>
      <c r="H63" s="11"/>
      <c r="I63" s="11"/>
      <c r="J63" s="11"/>
      <c r="K63" s="11"/>
      <c r="L63" s="128"/>
      <c r="M63" s="128"/>
      <c r="N63" s="147" t="str">
        <f t="shared" si="0"/>
        <v>column(topup_premium) : decimal(12,2)</v>
      </c>
      <c r="O63" s="182" t="s">
        <v>363</v>
      </c>
      <c r="P63" s="182" t="s">
        <v>363</v>
      </c>
      <c r="Q63" s="184" t="s">
        <v>1084</v>
      </c>
      <c r="R63" s="184" t="s">
        <v>1153</v>
      </c>
      <c r="S63" s="176" t="s">
        <v>341</v>
      </c>
      <c r="T63" s="176" t="s">
        <v>44</v>
      </c>
      <c r="U63" s="176" t="s">
        <v>1264</v>
      </c>
      <c r="V63" s="176"/>
      <c r="W63" s="128"/>
      <c r="X63" s="128"/>
      <c r="Y63" s="128"/>
      <c r="Z63" s="128"/>
      <c r="AA63" s="128"/>
    </row>
    <row r="64" spans="1:27" ht="96">
      <c r="A64" s="100" t="s">
        <v>664</v>
      </c>
      <c r="B64" s="104" t="s">
        <v>1265</v>
      </c>
      <c r="C64" s="11" t="s">
        <v>1195</v>
      </c>
      <c r="D64" s="11" t="s">
        <v>1266</v>
      </c>
      <c r="E64" s="67" t="s">
        <v>260</v>
      </c>
      <c r="F64" s="11"/>
      <c r="G64" s="11"/>
      <c r="H64" s="11"/>
      <c r="I64" s="11"/>
      <c r="J64" s="11"/>
      <c r="K64" s="11"/>
      <c r="L64" s="128"/>
      <c r="M64" s="128"/>
      <c r="N64" s="147" t="str">
        <f t="shared" si="0"/>
        <v>column(total_premium) : decimal(12,2)</v>
      </c>
      <c r="O64" s="182" t="s">
        <v>363</v>
      </c>
      <c r="P64" s="182" t="s">
        <v>363</v>
      </c>
      <c r="Q64" s="184" t="s">
        <v>1084</v>
      </c>
      <c r="R64" s="184" t="s">
        <v>1267</v>
      </c>
      <c r="S64" s="176" t="s">
        <v>341</v>
      </c>
      <c r="T64" s="176" t="s">
        <v>44</v>
      </c>
      <c r="U64" s="176" t="s">
        <v>1268</v>
      </c>
      <c r="V64" s="176"/>
      <c r="W64" s="128"/>
      <c r="X64" s="128"/>
      <c r="Y64" s="128"/>
      <c r="Z64" s="128"/>
      <c r="AA64" s="128"/>
    </row>
    <row r="65" spans="1:27" ht="195">
      <c r="A65" s="100" t="s">
        <v>668</v>
      </c>
      <c r="B65" s="13" t="s">
        <v>1269</v>
      </c>
      <c r="C65" s="11" t="s">
        <v>453</v>
      </c>
      <c r="D65" s="11" t="s">
        <v>1270</v>
      </c>
      <c r="E65" s="11"/>
      <c r="F65" s="11"/>
      <c r="G65" s="11"/>
      <c r="H65" s="11"/>
      <c r="I65" s="11"/>
      <c r="J65" s="11" t="s">
        <v>1271</v>
      </c>
      <c r="K65" s="11" t="s">
        <v>1272</v>
      </c>
      <c r="L65" s="128"/>
      <c r="M65" s="128"/>
      <c r="N65" s="147" t="str">
        <f t="shared" si="0"/>
        <v>column(tax_deduction_type) : varchar(2)</v>
      </c>
      <c r="O65" s="182" t="s">
        <v>363</v>
      </c>
      <c r="P65" s="182" t="s">
        <v>363</v>
      </c>
      <c r="Q65" s="184" t="s">
        <v>1084</v>
      </c>
      <c r="R65" s="184" t="s">
        <v>1273</v>
      </c>
      <c r="S65" s="176"/>
      <c r="T65" s="176" t="s">
        <v>384</v>
      </c>
      <c r="U65" s="176"/>
      <c r="V65" s="176"/>
      <c r="W65" s="128"/>
      <c r="X65" s="128"/>
      <c r="Y65" s="128"/>
      <c r="Z65" s="128"/>
      <c r="AA65" s="128"/>
    </row>
    <row r="66" spans="1:27" ht="36">
      <c r="A66" s="100" t="s">
        <v>671</v>
      </c>
      <c r="B66" s="11" t="s">
        <v>1274</v>
      </c>
      <c r="C66" s="11" t="s">
        <v>1195</v>
      </c>
      <c r="D66" s="11" t="s">
        <v>1275</v>
      </c>
      <c r="E66" s="67" t="s">
        <v>284</v>
      </c>
      <c r="F66" s="11"/>
      <c r="G66" s="11"/>
      <c r="H66" s="11"/>
      <c r="I66" s="11"/>
      <c r="J66" s="11"/>
      <c r="K66" s="11"/>
      <c r="L66" s="128"/>
      <c r="M66" s="128"/>
      <c r="N66" s="147" t="str">
        <f t="shared" si="0"/>
        <v>column(tax) : decimal(12,2)</v>
      </c>
      <c r="O66" s="182"/>
      <c r="P66" s="182"/>
      <c r="Q66" s="182"/>
      <c r="R66" s="182"/>
      <c r="S66" s="176" t="s">
        <v>341</v>
      </c>
      <c r="T66" s="176" t="s">
        <v>44</v>
      </c>
      <c r="U66" s="176" t="s">
        <v>1274</v>
      </c>
      <c r="V66" s="176"/>
      <c r="W66" s="128"/>
      <c r="X66" s="128"/>
      <c r="Y66" s="128"/>
      <c r="Z66" s="128"/>
      <c r="AA66" s="128"/>
    </row>
    <row r="67" spans="1:27" ht="72">
      <c r="A67" s="100" t="s">
        <v>675</v>
      </c>
      <c r="B67" s="106" t="s">
        <v>1276</v>
      </c>
      <c r="C67" s="11" t="s">
        <v>266</v>
      </c>
      <c r="D67" s="11" t="s">
        <v>1277</v>
      </c>
      <c r="E67" s="67" t="s">
        <v>284</v>
      </c>
      <c r="F67" s="11"/>
      <c r="G67" s="11"/>
      <c r="H67" s="11"/>
      <c r="I67" s="11"/>
      <c r="J67" s="11" t="s">
        <v>1278</v>
      </c>
      <c r="K67" s="11"/>
      <c r="L67" s="128"/>
      <c r="M67" s="128"/>
      <c r="N67" s="147" t="str">
        <f t="shared" si="0"/>
        <v>column(discount_type) : varchar(20)</v>
      </c>
      <c r="O67" s="182" t="s">
        <v>363</v>
      </c>
      <c r="P67" s="182" t="s">
        <v>363</v>
      </c>
      <c r="Q67" s="184" t="s">
        <v>1084</v>
      </c>
      <c r="R67" s="184" t="s">
        <v>1104</v>
      </c>
      <c r="S67" s="176" t="s">
        <v>341</v>
      </c>
      <c r="T67" s="176" t="s">
        <v>44</v>
      </c>
      <c r="U67" s="176" t="s">
        <v>1279</v>
      </c>
      <c r="V67" s="176"/>
      <c r="W67" s="128"/>
      <c r="X67" s="128"/>
      <c r="Y67" s="128"/>
      <c r="Z67" s="128"/>
      <c r="AA67" s="128"/>
    </row>
    <row r="68" spans="1:27" ht="84">
      <c r="A68" s="100" t="s">
        <v>678</v>
      </c>
      <c r="B68" s="106" t="s">
        <v>1280</v>
      </c>
      <c r="C68" s="11" t="s">
        <v>1195</v>
      </c>
      <c r="D68" s="11" t="s">
        <v>1281</v>
      </c>
      <c r="E68" s="67" t="s">
        <v>284</v>
      </c>
      <c r="F68" s="11"/>
      <c r="G68" s="11"/>
      <c r="H68" s="11"/>
      <c r="I68" s="11"/>
      <c r="J68" s="11"/>
      <c r="K68" s="11"/>
      <c r="L68" s="132"/>
      <c r="M68" s="128"/>
      <c r="N68" s="147" t="str">
        <f t="shared" si="0"/>
        <v>column(first_discount) : decimal(12,2)</v>
      </c>
      <c r="O68" s="182" t="s">
        <v>363</v>
      </c>
      <c r="P68" s="182" t="s">
        <v>363</v>
      </c>
      <c r="Q68" s="184" t="s">
        <v>1084</v>
      </c>
      <c r="R68" s="184" t="s">
        <v>1108</v>
      </c>
      <c r="S68" s="176" t="s">
        <v>341</v>
      </c>
      <c r="T68" s="176" t="s">
        <v>44</v>
      </c>
      <c r="U68" s="176" t="s">
        <v>1282</v>
      </c>
      <c r="V68" s="176"/>
      <c r="W68" s="128"/>
      <c r="X68" s="128"/>
      <c r="Y68" s="128"/>
      <c r="Z68" s="128"/>
      <c r="AA68" s="128"/>
    </row>
    <row r="69" spans="1:27" ht="72">
      <c r="A69" s="100" t="s">
        <v>682</v>
      </c>
      <c r="B69" s="106" t="s">
        <v>1283</v>
      </c>
      <c r="C69" s="11" t="s">
        <v>1195</v>
      </c>
      <c r="D69" s="11" t="s">
        <v>1284</v>
      </c>
      <c r="E69" s="67" t="s">
        <v>284</v>
      </c>
      <c r="F69" s="11"/>
      <c r="G69" s="11"/>
      <c r="H69" s="11"/>
      <c r="I69" s="11"/>
      <c r="J69" s="11"/>
      <c r="K69" s="11"/>
      <c r="L69" s="132"/>
      <c r="M69" s="128"/>
      <c r="N69" s="147" t="str">
        <f t="shared" ref="N69:N95" si="1">IF(F69 = "PK", CONCATENATE("primary_key(",B69,") : ", C69), IF(F69 = "FK", CONCATENATE("foreign_key(",B69,") : ", C69),CONCATENATE("column(",B69,") : ", C69)) )</f>
        <v>column(special_discount) : decimal(12,2)</v>
      </c>
      <c r="O69" s="182" t="s">
        <v>363</v>
      </c>
      <c r="P69" s="182" t="s">
        <v>363</v>
      </c>
      <c r="Q69" s="184" t="s">
        <v>1209</v>
      </c>
      <c r="R69" s="184" t="s">
        <v>1210</v>
      </c>
      <c r="S69" s="176" t="s">
        <v>341</v>
      </c>
      <c r="T69" s="176" t="s">
        <v>44</v>
      </c>
      <c r="U69" s="176" t="s">
        <v>1285</v>
      </c>
      <c r="V69" s="176"/>
      <c r="W69" s="128"/>
      <c r="X69" s="128"/>
      <c r="Y69" s="128"/>
      <c r="Z69" s="128"/>
      <c r="AA69" s="128"/>
    </row>
    <row r="70" spans="1:27" ht="60">
      <c r="A70" s="100" t="s">
        <v>688</v>
      </c>
      <c r="B70" s="106" t="s">
        <v>1286</v>
      </c>
      <c r="C70" s="11" t="s">
        <v>1195</v>
      </c>
      <c r="D70" s="11" t="s">
        <v>1287</v>
      </c>
      <c r="E70" s="67" t="s">
        <v>284</v>
      </c>
      <c r="F70" s="11"/>
      <c r="G70" s="11"/>
      <c r="H70" s="11"/>
      <c r="I70" s="11"/>
      <c r="J70" s="11"/>
      <c r="K70" s="11"/>
      <c r="L70" s="132"/>
      <c r="M70" s="128"/>
      <c r="N70" s="147" t="str">
        <f t="shared" si="1"/>
        <v>column(premium_discount) : decimal(12,2)</v>
      </c>
      <c r="O70" s="182" t="s">
        <v>363</v>
      </c>
      <c r="P70" s="182" t="s">
        <v>363</v>
      </c>
      <c r="Q70" s="184" t="s">
        <v>1094</v>
      </c>
      <c r="R70" s="184" t="s">
        <v>1217</v>
      </c>
      <c r="S70" s="176" t="s">
        <v>341</v>
      </c>
      <c r="T70" s="176" t="s">
        <v>44</v>
      </c>
      <c r="U70" s="176" t="s">
        <v>1288</v>
      </c>
      <c r="V70" s="176"/>
      <c r="W70" s="128"/>
      <c r="X70" s="128"/>
      <c r="Y70" s="128"/>
      <c r="Z70" s="128"/>
      <c r="AA70" s="128"/>
    </row>
    <row r="71" spans="1:27" ht="84">
      <c r="A71" s="100" t="s">
        <v>692</v>
      </c>
      <c r="B71" s="106" t="s">
        <v>1289</v>
      </c>
      <c r="C71" s="11" t="s">
        <v>1195</v>
      </c>
      <c r="D71" s="11" t="s">
        <v>1290</v>
      </c>
      <c r="E71" s="67" t="s">
        <v>260</v>
      </c>
      <c r="F71" s="11"/>
      <c r="G71" s="11"/>
      <c r="H71" s="11"/>
      <c r="I71" s="11"/>
      <c r="J71" s="11"/>
      <c r="K71" s="11"/>
      <c r="L71" s="128"/>
      <c r="M71" s="128"/>
      <c r="N71" s="147" t="str">
        <f t="shared" si="1"/>
        <v>column(total_premium_after_discount) : decimal(12,2)</v>
      </c>
      <c r="O71" s="182" t="s">
        <v>363</v>
      </c>
      <c r="P71" s="182" t="s">
        <v>363</v>
      </c>
      <c r="Q71" s="184" t="s">
        <v>1084</v>
      </c>
      <c r="R71" s="184" t="s">
        <v>1108</v>
      </c>
      <c r="S71" s="176" t="s">
        <v>341</v>
      </c>
      <c r="T71" s="176" t="s">
        <v>44</v>
      </c>
      <c r="U71" s="176" t="s">
        <v>1291</v>
      </c>
      <c r="V71" s="176"/>
      <c r="W71" s="128"/>
      <c r="X71" s="128"/>
      <c r="Y71" s="128"/>
      <c r="Z71" s="128"/>
      <c r="AA71" s="128"/>
    </row>
    <row r="72" spans="1:27" ht="36">
      <c r="A72" s="100" t="s">
        <v>698</v>
      </c>
      <c r="B72" s="11" t="s">
        <v>1292</v>
      </c>
      <c r="C72" s="11" t="s">
        <v>266</v>
      </c>
      <c r="D72" s="11" t="s">
        <v>1293</v>
      </c>
      <c r="E72" s="67" t="s">
        <v>284</v>
      </c>
      <c r="F72" s="11"/>
      <c r="G72" s="11"/>
      <c r="H72" s="11"/>
      <c r="I72" s="11"/>
      <c r="J72" s="11"/>
      <c r="K72" s="11"/>
      <c r="L72" s="128"/>
      <c r="M72" s="128"/>
      <c r="N72" s="147" t="str">
        <f t="shared" si="1"/>
        <v>column(bank_code) : varchar(20)</v>
      </c>
      <c r="O72" s="182"/>
      <c r="P72" s="182"/>
      <c r="Q72" s="182"/>
      <c r="R72" s="182"/>
      <c r="S72" s="176" t="s">
        <v>341</v>
      </c>
      <c r="T72" s="176" t="s">
        <v>44</v>
      </c>
      <c r="U72" s="176" t="s">
        <v>1294</v>
      </c>
      <c r="V72" s="176"/>
      <c r="W72" s="128"/>
      <c r="X72" s="128"/>
      <c r="Y72" s="128"/>
      <c r="Z72" s="128"/>
      <c r="AA72" s="128"/>
    </row>
    <row r="73" spans="1:27" ht="96">
      <c r="A73" s="100" t="s">
        <v>702</v>
      </c>
      <c r="B73" s="11" t="s">
        <v>1295</v>
      </c>
      <c r="C73" s="11" t="s">
        <v>266</v>
      </c>
      <c r="D73" s="11" t="s">
        <v>1296</v>
      </c>
      <c r="E73" s="67" t="s">
        <v>284</v>
      </c>
      <c r="F73" s="11"/>
      <c r="G73" s="11"/>
      <c r="H73" s="11"/>
      <c r="I73" s="11"/>
      <c r="J73" s="11"/>
      <c r="K73" s="11"/>
      <c r="L73" s="132" t="s">
        <v>1297</v>
      </c>
      <c r="M73" s="128"/>
      <c r="N73" s="147" t="str">
        <f t="shared" si="1"/>
        <v>column(status_odd) : varchar(20)</v>
      </c>
      <c r="O73" s="182" t="s">
        <v>363</v>
      </c>
      <c r="P73" s="182" t="s">
        <v>363</v>
      </c>
      <c r="Q73" s="184" t="s">
        <v>1298</v>
      </c>
      <c r="R73" s="182" t="s">
        <v>1299</v>
      </c>
      <c r="S73" s="176" t="s">
        <v>341</v>
      </c>
      <c r="T73" s="176" t="s">
        <v>44</v>
      </c>
      <c r="U73" s="176" t="s">
        <v>1300</v>
      </c>
      <c r="V73" s="176"/>
      <c r="W73" s="128"/>
      <c r="X73" s="128"/>
      <c r="Y73" s="128"/>
      <c r="Z73" s="128"/>
      <c r="AA73" s="128"/>
    </row>
    <row r="74" spans="1:27" ht="72">
      <c r="A74" s="100" t="s">
        <v>706</v>
      </c>
      <c r="B74" s="11" t="s">
        <v>1301</v>
      </c>
      <c r="C74" s="11" t="s">
        <v>266</v>
      </c>
      <c r="D74" s="11" t="s">
        <v>1302</v>
      </c>
      <c r="E74" s="67" t="s">
        <v>284</v>
      </c>
      <c r="F74" s="11"/>
      <c r="G74" s="11"/>
      <c r="H74" s="11"/>
      <c r="I74" s="11"/>
      <c r="J74" s="11" t="s">
        <v>1303</v>
      </c>
      <c r="K74" s="11" t="s">
        <v>1304</v>
      </c>
      <c r="L74" s="128"/>
      <c r="M74" s="128"/>
      <c r="N74" s="147" t="str">
        <f t="shared" si="1"/>
        <v>column(check_occ_te16) : varchar(20)</v>
      </c>
      <c r="O74" s="182" t="s">
        <v>363</v>
      </c>
      <c r="P74" s="182" t="s">
        <v>363</v>
      </c>
      <c r="Q74" s="184" t="s">
        <v>1084</v>
      </c>
      <c r="R74" s="184" t="s">
        <v>1104</v>
      </c>
      <c r="S74" s="176" t="s">
        <v>341</v>
      </c>
      <c r="T74" s="176" t="s">
        <v>44</v>
      </c>
      <c r="U74" s="176" t="s">
        <v>1305</v>
      </c>
      <c r="V74" s="176"/>
      <c r="W74" s="128"/>
      <c r="X74" s="128"/>
      <c r="Y74" s="128"/>
      <c r="Z74" s="128"/>
      <c r="AA74" s="128"/>
    </row>
    <row r="75" spans="1:27" ht="48">
      <c r="A75" s="100" t="s">
        <v>1306</v>
      </c>
      <c r="B75" s="11" t="s">
        <v>1307</v>
      </c>
      <c r="C75" s="11" t="s">
        <v>445</v>
      </c>
      <c r="D75" s="11" t="s">
        <v>1308</v>
      </c>
      <c r="E75" s="67" t="s">
        <v>284</v>
      </c>
      <c r="F75" s="11"/>
      <c r="G75" s="11"/>
      <c r="H75" s="11"/>
      <c r="I75" s="11"/>
      <c r="J75" s="11"/>
      <c r="K75" s="11"/>
      <c r="L75" s="128"/>
      <c r="M75" s="128"/>
      <c r="N75" s="147" t="str">
        <f t="shared" si="1"/>
        <v>column(gen_reference_date) : date</v>
      </c>
      <c r="O75" s="182" t="s">
        <v>363</v>
      </c>
      <c r="P75" s="182" t="s">
        <v>363</v>
      </c>
      <c r="Q75" s="184" t="s">
        <v>1309</v>
      </c>
      <c r="R75" s="184" t="s">
        <v>1310</v>
      </c>
      <c r="S75" s="176" t="s">
        <v>341</v>
      </c>
      <c r="T75" s="176" t="s">
        <v>44</v>
      </c>
      <c r="U75" s="176" t="s">
        <v>1311</v>
      </c>
      <c r="V75" s="176"/>
      <c r="W75" s="128"/>
      <c r="X75" s="128"/>
      <c r="Y75" s="128"/>
      <c r="Z75" s="128"/>
      <c r="AA75" s="128"/>
    </row>
    <row r="76" spans="1:27" ht="84">
      <c r="A76" s="100" t="s">
        <v>1312</v>
      </c>
      <c r="B76" s="13" t="s">
        <v>1313</v>
      </c>
      <c r="C76" s="11" t="s">
        <v>266</v>
      </c>
      <c r="D76" s="11" t="s">
        <v>1314</v>
      </c>
      <c r="E76" s="67" t="s">
        <v>260</v>
      </c>
      <c r="F76" s="11"/>
      <c r="G76" s="11"/>
      <c r="H76" s="11"/>
      <c r="I76" s="11" t="s">
        <v>370</v>
      </c>
      <c r="J76" s="11" t="s">
        <v>1315</v>
      </c>
      <c r="K76" s="11" t="s">
        <v>1316</v>
      </c>
      <c r="L76" s="132" t="s">
        <v>1317</v>
      </c>
      <c r="M76" s="128"/>
      <c r="N76" s="147" t="str">
        <f t="shared" si="1"/>
        <v>column(publish_status) : varchar(20)</v>
      </c>
      <c r="O76" s="182" t="s">
        <v>363</v>
      </c>
      <c r="P76" s="182" t="s">
        <v>363</v>
      </c>
      <c r="Q76" s="184" t="s">
        <v>1318</v>
      </c>
      <c r="R76" s="184" t="s">
        <v>1319</v>
      </c>
      <c r="S76" s="176" t="s">
        <v>341</v>
      </c>
      <c r="T76" s="176" t="s">
        <v>44</v>
      </c>
      <c r="U76" s="176" t="s">
        <v>1320</v>
      </c>
      <c r="V76" s="176"/>
      <c r="W76" s="128"/>
      <c r="X76" s="128"/>
      <c r="Y76" s="128"/>
      <c r="Z76" s="128"/>
      <c r="AA76" s="128"/>
    </row>
    <row r="77" spans="1:27" ht="36">
      <c r="A77" s="100" t="s">
        <v>1321</v>
      </c>
      <c r="B77" s="11" t="s">
        <v>1322</v>
      </c>
      <c r="C77" s="11" t="s">
        <v>266</v>
      </c>
      <c r="D77" s="11" t="s">
        <v>1323</v>
      </c>
      <c r="E77" s="67" t="s">
        <v>284</v>
      </c>
      <c r="F77" s="11"/>
      <c r="G77" s="11"/>
      <c r="H77" s="11"/>
      <c r="I77" s="11"/>
      <c r="J77" s="11"/>
      <c r="K77" s="11"/>
      <c r="L77" s="132" t="s">
        <v>1317</v>
      </c>
      <c r="M77" s="128"/>
      <c r="N77" s="147" t="str">
        <f t="shared" si="1"/>
        <v>column(submit_core_status) : varchar(20)</v>
      </c>
      <c r="O77" s="182"/>
      <c r="P77" s="182"/>
      <c r="Q77" s="182"/>
      <c r="R77" s="182"/>
      <c r="S77" s="176" t="s">
        <v>341</v>
      </c>
      <c r="T77" s="176" t="s">
        <v>44</v>
      </c>
      <c r="U77" s="176" t="s">
        <v>1324</v>
      </c>
      <c r="V77" s="176"/>
      <c r="W77" s="128"/>
      <c r="X77" s="128"/>
      <c r="Y77" s="128"/>
      <c r="Z77" s="128"/>
      <c r="AA77" s="128"/>
    </row>
    <row r="78" spans="1:27" ht="36">
      <c r="A78" s="100" t="s">
        <v>1325</v>
      </c>
      <c r="B78" s="11" t="s">
        <v>1326</v>
      </c>
      <c r="C78" s="11" t="s">
        <v>266</v>
      </c>
      <c r="D78" s="11" t="s">
        <v>1327</v>
      </c>
      <c r="E78" s="67" t="s">
        <v>284</v>
      </c>
      <c r="F78" s="11"/>
      <c r="G78" s="11"/>
      <c r="H78" s="11"/>
      <c r="I78" s="11"/>
      <c r="J78" s="11"/>
      <c r="K78" s="11"/>
      <c r="L78" s="128"/>
      <c r="M78" s="128"/>
      <c r="N78" s="147" t="str">
        <f t="shared" si="1"/>
        <v>column(transfer_status) : varchar(20)</v>
      </c>
      <c r="O78" s="182"/>
      <c r="P78" s="182"/>
      <c r="Q78" s="182"/>
      <c r="R78" s="182"/>
      <c r="S78" s="176" t="s">
        <v>341</v>
      </c>
      <c r="T78" s="176" t="s">
        <v>44</v>
      </c>
      <c r="U78" s="176" t="s">
        <v>1328</v>
      </c>
      <c r="V78" s="176"/>
      <c r="W78" s="128"/>
      <c r="X78" s="128"/>
      <c r="Y78" s="128"/>
      <c r="Z78" s="128"/>
      <c r="AA78" s="128"/>
    </row>
    <row r="79" spans="1:27" ht="96">
      <c r="A79" s="100" t="s">
        <v>1329</v>
      </c>
      <c r="B79" s="11" t="s">
        <v>1330</v>
      </c>
      <c r="C79" s="11" t="s">
        <v>266</v>
      </c>
      <c r="D79" s="11" t="s">
        <v>1331</v>
      </c>
      <c r="E79" s="67" t="s">
        <v>284</v>
      </c>
      <c r="F79" s="11"/>
      <c r="G79" s="11"/>
      <c r="H79" s="11"/>
      <c r="I79" s="11"/>
      <c r="J79" s="11"/>
      <c r="K79" s="11" t="s">
        <v>1332</v>
      </c>
      <c r="L79" s="128"/>
      <c r="M79" s="128"/>
      <c r="N79" s="147" t="str">
        <f t="shared" si="1"/>
        <v>column(strid) : varchar(20)</v>
      </c>
      <c r="O79" s="182" t="s">
        <v>363</v>
      </c>
      <c r="P79" s="182" t="s">
        <v>363</v>
      </c>
      <c r="Q79" s="184" t="s">
        <v>1298</v>
      </c>
      <c r="R79" s="184" t="s">
        <v>1333</v>
      </c>
      <c r="S79" s="176" t="s">
        <v>341</v>
      </c>
      <c r="T79" s="176" t="s">
        <v>44</v>
      </c>
      <c r="U79" s="176" t="s">
        <v>1330</v>
      </c>
      <c r="V79" s="176"/>
      <c r="W79" s="128"/>
      <c r="X79" s="128"/>
      <c r="Y79" s="128"/>
      <c r="Z79" s="128"/>
      <c r="AA79" s="128"/>
    </row>
    <row r="80" spans="1:27" ht="381">
      <c r="A80" s="100" t="s">
        <v>1334</v>
      </c>
      <c r="B80" s="11" t="s">
        <v>350</v>
      </c>
      <c r="C80" s="11" t="s">
        <v>351</v>
      </c>
      <c r="D80" s="11" t="s">
        <v>20</v>
      </c>
      <c r="E80" s="67" t="s">
        <v>260</v>
      </c>
      <c r="F80" s="11"/>
      <c r="G80" s="11"/>
      <c r="H80" s="11"/>
      <c r="I80" s="11" t="s">
        <v>795</v>
      </c>
      <c r="J80" s="11" t="s">
        <v>1335</v>
      </c>
      <c r="K80" s="11" t="s">
        <v>1336</v>
      </c>
      <c r="L80" s="128"/>
      <c r="M80" s="128"/>
      <c r="N80" s="147" t="str">
        <f t="shared" si="1"/>
        <v>column(status) : varchar(5)</v>
      </c>
      <c r="O80" s="182" t="s">
        <v>363</v>
      </c>
      <c r="P80" s="182" t="s">
        <v>363</v>
      </c>
      <c r="Q80" s="184" t="s">
        <v>1337</v>
      </c>
      <c r="R80" s="184" t="s">
        <v>1338</v>
      </c>
      <c r="S80" s="176" t="s">
        <v>341</v>
      </c>
      <c r="T80" s="176" t="s">
        <v>44</v>
      </c>
      <c r="U80" s="176" t="s">
        <v>350</v>
      </c>
      <c r="V80" s="176"/>
      <c r="W80" s="128"/>
      <c r="X80" s="128"/>
      <c r="Y80" s="128"/>
      <c r="Z80" s="128"/>
      <c r="AA80" s="128"/>
    </row>
    <row r="81" spans="1:27" ht="53.25">
      <c r="A81" s="100" t="s">
        <v>1339</v>
      </c>
      <c r="B81" s="13" t="s">
        <v>1340</v>
      </c>
      <c r="C81" s="11" t="s">
        <v>351</v>
      </c>
      <c r="D81" s="11" t="s">
        <v>1341</v>
      </c>
      <c r="E81" s="67" t="s">
        <v>284</v>
      </c>
      <c r="F81" s="11"/>
      <c r="G81" s="11"/>
      <c r="H81" s="11"/>
      <c r="I81" s="11" t="s">
        <v>478</v>
      </c>
      <c r="J81" s="11" t="s">
        <v>1342</v>
      </c>
      <c r="K81" s="11" t="s">
        <v>1343</v>
      </c>
      <c r="L81" s="128"/>
      <c r="M81" s="128"/>
      <c r="N81" s="147" t="str">
        <f t="shared" si="1"/>
        <v>column(submit_reference_no_status) : varchar(5)</v>
      </c>
      <c r="O81" s="182"/>
      <c r="P81" s="182"/>
      <c r="Q81" s="182"/>
      <c r="R81" s="182"/>
      <c r="S81" s="176"/>
      <c r="T81" s="176" t="s">
        <v>384</v>
      </c>
      <c r="U81" s="176"/>
      <c r="V81" s="176"/>
      <c r="W81" s="128"/>
      <c r="X81" s="128"/>
      <c r="Y81" s="128"/>
      <c r="Z81" s="128"/>
      <c r="AA81" s="128"/>
    </row>
    <row r="82" spans="1:27" ht="88.5">
      <c r="A82" s="100" t="s">
        <v>1344</v>
      </c>
      <c r="B82" s="13" t="s">
        <v>1345</v>
      </c>
      <c r="C82" s="11" t="s">
        <v>351</v>
      </c>
      <c r="D82" s="13" t="s">
        <v>1346</v>
      </c>
      <c r="E82" s="67" t="s">
        <v>284</v>
      </c>
      <c r="F82" s="11"/>
      <c r="G82" s="11"/>
      <c r="H82" s="11"/>
      <c r="I82" s="11" t="s">
        <v>478</v>
      </c>
      <c r="J82" s="11" t="s">
        <v>1347</v>
      </c>
      <c r="K82" s="11" t="s">
        <v>1348</v>
      </c>
      <c r="L82" s="128"/>
      <c r="M82" s="128"/>
      <c r="N82" s="147" t="str">
        <f t="shared" si="1"/>
        <v>column(queue_status) : varchar(5)</v>
      </c>
      <c r="O82" s="182" t="s">
        <v>363</v>
      </c>
      <c r="P82" s="182" t="s">
        <v>363</v>
      </c>
      <c r="Q82" s="184" t="s">
        <v>1349</v>
      </c>
      <c r="R82" s="184" t="s">
        <v>1350</v>
      </c>
      <c r="S82" s="176"/>
      <c r="T82" s="176" t="s">
        <v>384</v>
      </c>
      <c r="U82" s="176"/>
      <c r="V82" s="176"/>
      <c r="W82" s="128"/>
      <c r="X82" s="128"/>
      <c r="Y82" s="128"/>
      <c r="Z82" s="128"/>
      <c r="AA82" s="128"/>
    </row>
    <row r="83" spans="1:27" ht="88.5">
      <c r="A83" s="100" t="s">
        <v>1351</v>
      </c>
      <c r="B83" s="13" t="s">
        <v>1352</v>
      </c>
      <c r="C83" s="11" t="s">
        <v>351</v>
      </c>
      <c r="D83" s="11" t="s">
        <v>1353</v>
      </c>
      <c r="E83" s="67" t="s">
        <v>284</v>
      </c>
      <c r="F83" s="11"/>
      <c r="G83" s="11"/>
      <c r="H83" s="11"/>
      <c r="I83" s="11" t="s">
        <v>478</v>
      </c>
      <c r="J83" s="11" t="s">
        <v>1347</v>
      </c>
      <c r="K83" s="11" t="s">
        <v>1348</v>
      </c>
      <c r="L83" s="128"/>
      <c r="M83" s="128"/>
      <c r="N83" s="147" t="str">
        <f t="shared" si="1"/>
        <v>column(e_sign_status) : varchar(5)</v>
      </c>
      <c r="O83" s="182" t="s">
        <v>363</v>
      </c>
      <c r="P83" s="182" t="s">
        <v>363</v>
      </c>
      <c r="Q83" s="184" t="s">
        <v>1176</v>
      </c>
      <c r="R83" s="184" t="s">
        <v>1354</v>
      </c>
      <c r="S83" s="176"/>
      <c r="T83" s="176" t="s">
        <v>384</v>
      </c>
      <c r="U83" s="176"/>
      <c r="V83" s="176"/>
      <c r="W83" s="128"/>
      <c r="X83" s="128"/>
      <c r="Y83" s="128"/>
      <c r="Z83" s="128"/>
      <c r="AA83" s="128"/>
    </row>
    <row r="84" spans="1:27" ht="53.25">
      <c r="A84" s="100" t="s">
        <v>1355</v>
      </c>
      <c r="B84" s="11" t="s">
        <v>1356</v>
      </c>
      <c r="C84" s="11" t="s">
        <v>503</v>
      </c>
      <c r="D84" s="11" t="s">
        <v>1357</v>
      </c>
      <c r="E84" s="67" t="s">
        <v>284</v>
      </c>
      <c r="F84" s="11"/>
      <c r="G84" s="11"/>
      <c r="H84" s="11"/>
      <c r="I84" s="11" t="s">
        <v>1358</v>
      </c>
      <c r="J84" s="11" t="s">
        <v>1237</v>
      </c>
      <c r="K84" s="11"/>
      <c r="L84" s="128"/>
      <c r="M84" s="128"/>
      <c r="N84" s="147" t="str">
        <f t="shared" si="1"/>
        <v>column(is_include_life_planning) : boolean</v>
      </c>
      <c r="O84" s="182"/>
      <c r="P84" s="182"/>
      <c r="Q84" s="182"/>
      <c r="R84" s="182"/>
      <c r="S84" s="176"/>
      <c r="T84" s="176" t="s">
        <v>384</v>
      </c>
      <c r="U84" s="176"/>
      <c r="V84" s="176"/>
      <c r="W84" s="128"/>
      <c r="X84" s="128"/>
      <c r="Y84" s="128"/>
      <c r="Z84" s="128"/>
      <c r="AA84" s="128"/>
    </row>
    <row r="85" spans="1:27" ht="17.25">
      <c r="A85" s="100" t="s">
        <v>1359</v>
      </c>
      <c r="B85" s="11" t="s">
        <v>1360</v>
      </c>
      <c r="C85" s="11" t="s">
        <v>1118</v>
      </c>
      <c r="D85" s="11" t="s">
        <v>1361</v>
      </c>
      <c r="E85" s="67" t="s">
        <v>284</v>
      </c>
      <c r="F85" s="11"/>
      <c r="G85" s="11"/>
      <c r="H85" s="11"/>
      <c r="I85" s="11" t="s">
        <v>773</v>
      </c>
      <c r="J85" s="11"/>
      <c r="K85" s="11"/>
      <c r="L85" s="128"/>
      <c r="M85" s="128"/>
      <c r="N85" s="147" t="str">
        <f t="shared" si="1"/>
        <v>column(life_planning_id) : integer</v>
      </c>
      <c r="O85" s="182"/>
      <c r="P85" s="182"/>
      <c r="Q85" s="182"/>
      <c r="R85" s="182"/>
      <c r="S85" s="176"/>
      <c r="T85" s="176" t="s">
        <v>384</v>
      </c>
      <c r="U85" s="176"/>
      <c r="V85" s="176"/>
      <c r="W85" s="128"/>
      <c r="X85" s="128"/>
      <c r="Y85" s="128"/>
      <c r="Z85" s="128"/>
      <c r="AA85" s="128"/>
    </row>
    <row r="86" spans="1:27" ht="53.25">
      <c r="A86" s="100" t="s">
        <v>1362</v>
      </c>
      <c r="B86" s="107" t="s">
        <v>1363</v>
      </c>
      <c r="C86" s="107" t="s">
        <v>1364</v>
      </c>
      <c r="D86" s="107" t="s">
        <v>1365</v>
      </c>
      <c r="E86" s="108" t="s">
        <v>284</v>
      </c>
      <c r="F86" s="107"/>
      <c r="G86" s="107"/>
      <c r="H86" s="107"/>
      <c r="I86" s="107"/>
      <c r="J86" s="107" t="s">
        <v>1366</v>
      </c>
      <c r="K86" s="15" t="s">
        <v>1367</v>
      </c>
      <c r="L86" s="128"/>
      <c r="M86" s="128"/>
      <c r="N86" s="147" t="str">
        <f t="shared" si="1"/>
        <v>column(partial_withdraw_consent_flag) : string</v>
      </c>
      <c r="O86" s="182" t="s">
        <v>363</v>
      </c>
      <c r="P86" s="182" t="s">
        <v>363</v>
      </c>
      <c r="Q86" s="182" t="s">
        <v>1368</v>
      </c>
      <c r="R86" s="184" t="s">
        <v>1369</v>
      </c>
      <c r="S86" s="176"/>
      <c r="T86" s="176" t="s">
        <v>384</v>
      </c>
      <c r="U86" s="176"/>
      <c r="V86" s="176"/>
      <c r="W86" s="128"/>
      <c r="X86" s="128"/>
      <c r="Y86" s="128"/>
      <c r="Z86" s="128"/>
      <c r="AA86" s="128"/>
    </row>
    <row r="87" spans="1:27" ht="17.25">
      <c r="A87" s="100" t="s">
        <v>1370</v>
      </c>
      <c r="B87" s="152" t="s">
        <v>1371</v>
      </c>
      <c r="C87" s="152" t="s">
        <v>1118</v>
      </c>
      <c r="D87" s="152" t="s">
        <v>1372</v>
      </c>
      <c r="E87" s="152" t="s">
        <v>1093</v>
      </c>
      <c r="F87" s="152" t="s">
        <v>1093</v>
      </c>
      <c r="G87" s="152" t="s">
        <v>1093</v>
      </c>
      <c r="H87" s="152">
        <v>1</v>
      </c>
      <c r="I87" s="15"/>
      <c r="J87" s="15"/>
      <c r="K87" s="109"/>
      <c r="L87" s="128"/>
      <c r="M87" s="128"/>
      <c r="N87" s="147" t="str">
        <f t="shared" si="1"/>
        <v>column(submit_refno_attempt) : integer</v>
      </c>
      <c r="O87" s="182"/>
      <c r="P87" s="182"/>
      <c r="Q87" s="182"/>
      <c r="R87" s="182"/>
      <c r="S87" s="176"/>
      <c r="T87" s="176" t="s">
        <v>384</v>
      </c>
      <c r="U87" s="176"/>
      <c r="V87" s="176"/>
      <c r="W87" s="128"/>
      <c r="X87" s="128"/>
      <c r="Y87" s="128"/>
      <c r="Z87" s="128"/>
      <c r="AA87" s="128"/>
    </row>
    <row r="88" spans="1:27" ht="72">
      <c r="A88" s="100" t="s">
        <v>1373</v>
      </c>
      <c r="B88" s="107" t="s">
        <v>1374</v>
      </c>
      <c r="C88" s="107" t="s">
        <v>503</v>
      </c>
      <c r="D88" s="107" t="s">
        <v>1375</v>
      </c>
      <c r="E88" s="107" t="s">
        <v>260</v>
      </c>
      <c r="F88" s="107" t="s">
        <v>1093</v>
      </c>
      <c r="G88" s="107" t="s">
        <v>1093</v>
      </c>
      <c r="H88" s="107" t="s">
        <v>1093</v>
      </c>
      <c r="I88" s="107" t="b">
        <v>0</v>
      </c>
      <c r="J88" s="107"/>
      <c r="K88" s="107" t="s">
        <v>1376</v>
      </c>
      <c r="L88" s="128"/>
      <c r="M88" s="128"/>
      <c r="N88" s="147" t="str">
        <f t="shared" si="1"/>
        <v>column(is_draft_edit) : boolean</v>
      </c>
      <c r="O88" s="182" t="s">
        <v>363</v>
      </c>
      <c r="P88" s="182" t="s">
        <v>363</v>
      </c>
      <c r="Q88" s="184" t="s">
        <v>1377</v>
      </c>
      <c r="R88" s="184" t="s">
        <v>1378</v>
      </c>
      <c r="S88" s="176"/>
      <c r="T88" s="176" t="s">
        <v>384</v>
      </c>
      <c r="U88" s="176"/>
      <c r="V88" s="176"/>
      <c r="W88" s="128"/>
      <c r="X88" s="128"/>
      <c r="Y88" s="128"/>
      <c r="Z88" s="128"/>
      <c r="AA88" s="128"/>
    </row>
    <row r="89" spans="1:27" ht="72">
      <c r="A89" s="100" t="s">
        <v>1379</v>
      </c>
      <c r="B89" s="107" t="s">
        <v>1380</v>
      </c>
      <c r="C89" s="107" t="s">
        <v>503</v>
      </c>
      <c r="D89" s="107" t="s">
        <v>1381</v>
      </c>
      <c r="E89" s="107" t="s">
        <v>284</v>
      </c>
      <c r="F89" s="107" t="s">
        <v>1093</v>
      </c>
      <c r="G89" s="107" t="s">
        <v>1093</v>
      </c>
      <c r="H89" s="107" t="s">
        <v>1093</v>
      </c>
      <c r="I89" s="107" t="s">
        <v>1093</v>
      </c>
      <c r="J89" s="107" t="s">
        <v>1237</v>
      </c>
      <c r="K89" s="107" t="s">
        <v>1382</v>
      </c>
      <c r="L89" s="128"/>
      <c r="N89" s="147" t="str">
        <f t="shared" si="1"/>
        <v>column(is_example_benefit) : boolean</v>
      </c>
      <c r="O89" s="182" t="s">
        <v>363</v>
      </c>
      <c r="P89" s="182" t="s">
        <v>363</v>
      </c>
      <c r="Q89" s="184" t="s">
        <v>1383</v>
      </c>
      <c r="R89" s="184" t="s">
        <v>1384</v>
      </c>
      <c r="S89" s="176"/>
      <c r="T89" s="176" t="s">
        <v>384</v>
      </c>
      <c r="U89" s="176"/>
      <c r="V89" s="176"/>
      <c r="W89" s="128"/>
      <c r="X89" s="128"/>
      <c r="Y89" s="128"/>
      <c r="Z89" s="128"/>
      <c r="AA89" s="128"/>
    </row>
    <row r="90" spans="1:27" ht="84">
      <c r="A90" s="100" t="s">
        <v>1385</v>
      </c>
      <c r="B90" s="107" t="s">
        <v>1386</v>
      </c>
      <c r="C90" s="107" t="s">
        <v>713</v>
      </c>
      <c r="D90" s="107" t="s">
        <v>1387</v>
      </c>
      <c r="E90" s="107" t="s">
        <v>284</v>
      </c>
      <c r="F90" s="107" t="s">
        <v>1093</v>
      </c>
      <c r="G90" s="107" t="s">
        <v>1093</v>
      </c>
      <c r="H90" s="107" t="s">
        <v>1093</v>
      </c>
      <c r="I90" s="107" t="s">
        <v>1093</v>
      </c>
      <c r="J90" s="107" t="s">
        <v>1366</v>
      </c>
      <c r="K90" s="107" t="s">
        <v>1367</v>
      </c>
      <c r="L90" s="128"/>
      <c r="N90" s="147" t="str">
        <f t="shared" si="1"/>
        <v>column(check_status_wn3) : varchar(1)</v>
      </c>
      <c r="O90" s="182" t="s">
        <v>363</v>
      </c>
      <c r="P90" s="182" t="s">
        <v>363</v>
      </c>
      <c r="Q90" s="184" t="s">
        <v>1084</v>
      </c>
      <c r="R90" s="184" t="s">
        <v>1108</v>
      </c>
      <c r="S90" s="176" t="s">
        <v>341</v>
      </c>
      <c r="T90" s="176" t="s">
        <v>44</v>
      </c>
      <c r="U90" s="176" t="s">
        <v>1388</v>
      </c>
      <c r="V90" s="176"/>
      <c r="W90" s="128"/>
      <c r="X90" s="128"/>
      <c r="Y90" s="128"/>
      <c r="Z90" s="128"/>
      <c r="AA90" s="128"/>
    </row>
    <row r="91" spans="1:27" ht="36">
      <c r="A91" s="100" t="s">
        <v>1389</v>
      </c>
      <c r="B91" s="110" t="s">
        <v>693</v>
      </c>
      <c r="C91" s="110" t="s">
        <v>378</v>
      </c>
      <c r="D91" s="110" t="s">
        <v>694</v>
      </c>
      <c r="E91" s="111" t="s">
        <v>260</v>
      </c>
      <c r="F91" s="110"/>
      <c r="G91" s="110"/>
      <c r="H91" s="110" t="s">
        <v>695</v>
      </c>
      <c r="I91" s="110"/>
      <c r="J91" s="110"/>
      <c r="K91" s="110" t="s">
        <v>696</v>
      </c>
      <c r="L91" s="128"/>
      <c r="M91" s="128"/>
      <c r="N91" s="147" t="str">
        <f t="shared" si="1"/>
        <v>column(last_update) : timestampz</v>
      </c>
      <c r="O91" s="182"/>
      <c r="P91" s="182"/>
      <c r="Q91" s="182"/>
      <c r="R91" s="182"/>
      <c r="S91" s="176"/>
      <c r="T91" s="176" t="s">
        <v>384</v>
      </c>
      <c r="U91" s="176"/>
      <c r="V91" s="176"/>
      <c r="W91" s="128"/>
      <c r="X91" s="128"/>
      <c r="Y91" s="128"/>
      <c r="Z91" s="128"/>
      <c r="AA91" s="128"/>
    </row>
    <row r="92" spans="1:27" ht="17.25">
      <c r="A92" s="100" t="s">
        <v>1390</v>
      </c>
      <c r="B92" s="110" t="s">
        <v>699</v>
      </c>
      <c r="C92" s="110" t="s">
        <v>271</v>
      </c>
      <c r="D92" s="110" t="s">
        <v>700</v>
      </c>
      <c r="E92" s="111" t="s">
        <v>260</v>
      </c>
      <c r="F92" s="110"/>
      <c r="G92" s="110"/>
      <c r="H92" s="110" t="s">
        <v>691</v>
      </c>
      <c r="I92" s="110"/>
      <c r="J92" s="110"/>
      <c r="K92" s="110"/>
      <c r="L92" s="153"/>
      <c r="M92" s="128"/>
      <c r="N92" s="147" t="str">
        <f t="shared" si="1"/>
        <v>column(update_user_code) : varchar(100)</v>
      </c>
      <c r="O92" s="182"/>
      <c r="P92" s="182"/>
      <c r="Q92" s="182"/>
      <c r="R92" s="182"/>
      <c r="S92" s="176"/>
      <c r="T92" s="176" t="s">
        <v>384</v>
      </c>
      <c r="U92" s="176"/>
      <c r="V92" s="176"/>
      <c r="W92" s="128"/>
      <c r="X92" s="128"/>
      <c r="Y92" s="128"/>
      <c r="Z92" s="128"/>
      <c r="AA92" s="128"/>
    </row>
    <row r="93" spans="1:27" ht="36">
      <c r="A93" s="100" t="s">
        <v>1391</v>
      </c>
      <c r="B93" s="110" t="s">
        <v>703</v>
      </c>
      <c r="C93" s="110" t="s">
        <v>378</v>
      </c>
      <c r="D93" s="110" t="s">
        <v>704</v>
      </c>
      <c r="E93" s="111" t="s">
        <v>284</v>
      </c>
      <c r="F93" s="110"/>
      <c r="G93" s="110"/>
      <c r="H93" s="110" t="s">
        <v>380</v>
      </c>
      <c r="I93" s="110"/>
      <c r="J93" s="110"/>
      <c r="K93" s="110" t="s">
        <v>685</v>
      </c>
      <c r="L93" s="128"/>
      <c r="M93" s="128"/>
      <c r="N93" s="147" t="str">
        <f t="shared" si="1"/>
        <v>column(delete_time) : timestampz</v>
      </c>
      <c r="O93" s="182"/>
      <c r="P93" s="182"/>
      <c r="Q93" s="182"/>
      <c r="R93" s="182"/>
      <c r="S93" s="176"/>
      <c r="T93" s="176" t="s">
        <v>384</v>
      </c>
      <c r="U93" s="176"/>
      <c r="V93" s="176"/>
      <c r="W93" s="128"/>
      <c r="X93" s="128"/>
      <c r="Y93" s="128"/>
      <c r="Z93" s="128"/>
      <c r="AA93" s="128"/>
    </row>
    <row r="94" spans="1:27" ht="17.25">
      <c r="A94" s="100" t="s">
        <v>1392</v>
      </c>
      <c r="B94" s="110" t="s">
        <v>707</v>
      </c>
      <c r="C94" s="110" t="s">
        <v>271</v>
      </c>
      <c r="D94" s="110" t="s">
        <v>1393</v>
      </c>
      <c r="E94" s="111" t="s">
        <v>284</v>
      </c>
      <c r="F94" s="110"/>
      <c r="G94" s="110"/>
      <c r="H94" s="110" t="s">
        <v>691</v>
      </c>
      <c r="I94" s="110"/>
      <c r="J94" s="110"/>
      <c r="K94" s="110"/>
      <c r="L94" s="128"/>
      <c r="M94" s="128"/>
      <c r="N94" s="147" t="str">
        <f t="shared" si="1"/>
        <v>column(delete_user_code) : varchar(100)</v>
      </c>
      <c r="O94" s="182"/>
      <c r="P94" s="182"/>
      <c r="Q94" s="182"/>
      <c r="R94" s="182"/>
      <c r="S94" s="176"/>
      <c r="T94" s="176" t="s">
        <v>384</v>
      </c>
      <c r="U94" s="176"/>
      <c r="V94" s="176"/>
      <c r="W94" s="128"/>
      <c r="X94" s="128"/>
      <c r="Y94" s="128"/>
      <c r="Z94" s="128"/>
      <c r="AA94" s="128"/>
    </row>
    <row r="95" spans="1:27">
      <c r="N95" s="147" t="str">
        <f t="shared" si="1"/>
        <v xml:space="preserve">column() : </v>
      </c>
    </row>
  </sheetData>
  <hyperlinks>
    <hyperlink ref="G5" r:id="rId1" xr:uid="{D377EAF1-2F4A-4296-8283-6BD15794F5C8}"/>
    <hyperlink ref="G13" r:id="rId2" xr:uid="{CD40380B-E10E-48B3-A12D-9379C66E2908}"/>
    <hyperlink ref="G14" r:id="rId3" xr:uid="{3B77D91D-7B1C-4890-8EC7-223681E0DEEB}"/>
    <hyperlink ref="G25" r:id="rId4" xr:uid="{707E1205-D854-4C30-A075-329746554389}"/>
    <hyperlink ref="G26" r:id="rId5" xr:uid="{5085CCC8-B0CD-4042-92C6-8F2FE5292AA4}"/>
    <hyperlink ref="G27" r:id="rId6" xr:uid="{8BBB0834-2691-4D1E-AC09-7ED64D0612BE}"/>
    <hyperlink ref="G28" r:id="rId7" xr:uid="{0C40D1A0-D279-46F9-A97B-3FA3401EB6FC}"/>
    <hyperlink ref="G29" r:id="rId8" xr:uid="{ECF7C8C2-8F5A-489D-9331-62EF0DFAFB9B}"/>
    <hyperlink ref="G30" r:id="rId9" xr:uid="{CDA76CC7-26B7-423D-8653-5B4FB9F482A2}"/>
    <hyperlink ref="G31" r:id="rId10" xr:uid="{E80C6F96-A44E-477C-93AA-26DCC0166CB8}"/>
    <hyperlink ref="G32" r:id="rId11" xr:uid="{EE0DBB81-6A21-4B7A-937C-06500B72A192}"/>
    <hyperlink ref="G33" r:id="rId12" xr:uid="{2CCDF59C-4F35-4B49-BFD9-D58869635900}"/>
    <hyperlink ref="G34" r:id="rId13" xr:uid="{686AC550-B10A-404D-A0B0-852EDF84353A}"/>
    <hyperlink ref="G35" r:id="rId14" xr:uid="{E8291200-A1B1-447B-9860-6D1A74CD8D19}"/>
    <hyperlink ref="G36" r:id="rId15" xr:uid="{96B6CD79-2705-4B88-973E-BC7AE4C2EC42}"/>
    <hyperlink ref="G37" r:id="rId16" xr:uid="{923D92FA-2E47-4951-A3BA-CE5688426258}"/>
    <hyperlink ref="G38" r:id="rId17" xr:uid="{3E24C4DD-2338-4DB6-964D-7A88C83BD8D0}"/>
    <hyperlink ref="G39" r:id="rId18" xr:uid="{4768FD8C-BE6A-44EA-830D-B03A48F2F3F1}"/>
    <hyperlink ref="G43" r:id="rId19" xr:uid="{544F368F-FC3C-4366-AF2B-752620F4539F}"/>
    <hyperlink ref="G44" r:id="rId20" xr:uid="{4859B7A0-6A6E-4234-950F-550759D10C80}"/>
    <hyperlink ref="G47" r:id="rId21" xr:uid="{EF6AD953-9FAB-477C-945B-7A8AB1204B01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18320-3E2C-4ECA-AEE4-262AE91D854B}">
  <sheetPr>
    <tabColor theme="4" tint="0.79998168889431442"/>
  </sheetPr>
  <dimension ref="A1:T27"/>
  <sheetViews>
    <sheetView topLeftCell="U1" workbookViewId="0">
      <selection activeCell="T17" sqref="T17"/>
    </sheetView>
  </sheetViews>
  <sheetFormatPr defaultRowHeight="15"/>
  <cols>
    <col min="1" max="1" width="5.140625" style="138" bestFit="1" customWidth="1"/>
    <col min="2" max="2" width="21.5703125" style="138" bestFit="1" customWidth="1"/>
    <col min="3" max="3" width="77.7109375" style="138" bestFit="1" customWidth="1"/>
    <col min="4" max="4" width="53" style="138" bestFit="1" customWidth="1"/>
    <col min="5" max="5" width="10.42578125" style="138" bestFit="1" customWidth="1"/>
    <col min="6" max="6" width="13.5703125" style="138" bestFit="1" customWidth="1"/>
    <col min="7" max="7" width="36.42578125" style="138" bestFit="1" customWidth="1"/>
    <col min="8" max="8" width="26.42578125" style="138" bestFit="1" customWidth="1"/>
    <col min="9" max="9" width="17.5703125" style="138" bestFit="1" customWidth="1"/>
    <col min="10" max="10" width="15.85546875" style="138" bestFit="1" customWidth="1"/>
    <col min="11" max="11" width="28.5703125" style="138" customWidth="1"/>
    <col min="12" max="12" width="24.28515625" style="138" bestFit="1" customWidth="1"/>
    <col min="13" max="13" width="9.140625" style="138"/>
    <col min="14" max="14" width="10.42578125" style="138" bestFit="1" customWidth="1"/>
    <col min="15" max="15" width="32.5703125" style="138" bestFit="1" customWidth="1"/>
    <col min="16" max="16" width="62" style="138" bestFit="1" customWidth="1"/>
    <col min="17" max="17" width="13.7109375" style="138" bestFit="1" customWidth="1"/>
    <col min="18" max="18" width="22.7109375" style="138" bestFit="1" customWidth="1"/>
    <col min="19" max="19" width="12.42578125" style="138" bestFit="1" customWidth="1"/>
    <col min="20" max="20" width="12" style="138" bestFit="1" customWidth="1"/>
    <col min="21" max="16384" width="9.140625" style="138"/>
  </cols>
  <sheetData>
    <row r="1" spans="1:20">
      <c r="A1" s="22"/>
      <c r="B1" s="22" t="s">
        <v>323</v>
      </c>
      <c r="C1" s="125" t="s">
        <v>37</v>
      </c>
      <c r="D1" s="126"/>
      <c r="E1" s="127" t="s">
        <v>324</v>
      </c>
      <c r="F1" s="128"/>
      <c r="G1" s="129"/>
      <c r="H1" s="130"/>
      <c r="I1" s="128"/>
      <c r="J1" s="128"/>
      <c r="K1" s="129"/>
      <c r="L1" s="128"/>
    </row>
    <row r="2" spans="1:20">
      <c r="A2" s="22"/>
      <c r="B2" s="22" t="s">
        <v>325</v>
      </c>
      <c r="C2" s="125" t="s">
        <v>1394</v>
      </c>
      <c r="D2" s="126"/>
      <c r="E2" s="128"/>
      <c r="F2" s="128"/>
      <c r="G2" s="129"/>
      <c r="H2" s="129"/>
      <c r="I2" s="128"/>
      <c r="J2" s="128"/>
      <c r="K2" s="129"/>
      <c r="L2" s="128"/>
    </row>
    <row r="3" spans="1:20">
      <c r="A3" s="22"/>
      <c r="B3" s="22" t="s">
        <v>327</v>
      </c>
      <c r="C3" s="131" t="s">
        <v>1395</v>
      </c>
      <c r="D3" s="126"/>
      <c r="E3" s="128"/>
      <c r="F3" s="128"/>
      <c r="G3" s="129"/>
      <c r="H3" s="129"/>
      <c r="I3" s="128"/>
      <c r="J3" s="128"/>
      <c r="K3" s="129"/>
      <c r="L3" s="128"/>
    </row>
    <row r="4" spans="1:20" ht="36">
      <c r="A4" s="6" t="s">
        <v>247</v>
      </c>
      <c r="B4" s="7" t="s">
        <v>248</v>
      </c>
      <c r="C4" s="7" t="s">
        <v>17</v>
      </c>
      <c r="D4" s="7" t="s">
        <v>249</v>
      </c>
      <c r="E4" s="7" t="s">
        <v>250</v>
      </c>
      <c r="F4" s="7" t="s">
        <v>251</v>
      </c>
      <c r="G4" s="12" t="s">
        <v>252</v>
      </c>
      <c r="H4" s="12" t="s">
        <v>253</v>
      </c>
      <c r="I4" s="7" t="s">
        <v>254</v>
      </c>
      <c r="J4" s="7" t="s">
        <v>255</v>
      </c>
      <c r="K4" s="12" t="s">
        <v>256</v>
      </c>
      <c r="L4" s="128"/>
      <c r="M4" s="66" t="s">
        <v>331</v>
      </c>
      <c r="N4" s="66" t="s">
        <v>332</v>
      </c>
      <c r="O4" s="175" t="s">
        <v>333</v>
      </c>
      <c r="P4" s="175" t="s">
        <v>334</v>
      </c>
      <c r="Q4" s="175" t="s">
        <v>335</v>
      </c>
      <c r="R4" s="175" t="s">
        <v>319</v>
      </c>
      <c r="S4" s="177" t="s">
        <v>336</v>
      </c>
      <c r="T4" s="175" t="s">
        <v>337</v>
      </c>
    </row>
    <row r="5" spans="1:20" ht="88.5">
      <c r="A5" s="27" t="s">
        <v>338</v>
      </c>
      <c r="B5" s="9" t="s">
        <v>764</v>
      </c>
      <c r="C5" s="8" t="s">
        <v>258</v>
      </c>
      <c r="D5" s="8" t="s">
        <v>765</v>
      </c>
      <c r="E5" s="18" t="s">
        <v>260</v>
      </c>
      <c r="F5" s="8" t="s">
        <v>261</v>
      </c>
      <c r="G5" s="8"/>
      <c r="H5" s="11" t="s">
        <v>263</v>
      </c>
      <c r="I5" s="8"/>
      <c r="J5" s="8"/>
      <c r="K5" s="14" t="s">
        <v>766</v>
      </c>
      <c r="L5" s="128"/>
      <c r="M5" s="67"/>
      <c r="N5" s="68"/>
      <c r="O5" s="140"/>
      <c r="P5" s="140"/>
      <c r="Q5" s="140"/>
      <c r="R5" s="140" t="s">
        <v>384</v>
      </c>
      <c r="S5" s="178"/>
      <c r="T5" s="140"/>
    </row>
    <row r="6" spans="1:20" ht="36">
      <c r="A6" s="27" t="s">
        <v>343</v>
      </c>
      <c r="B6" s="9" t="s">
        <v>709</v>
      </c>
      <c r="C6" s="8" t="s">
        <v>258</v>
      </c>
      <c r="D6" s="8" t="s">
        <v>767</v>
      </c>
      <c r="E6" s="18" t="s">
        <v>260</v>
      </c>
      <c r="F6" s="8" t="s">
        <v>768</v>
      </c>
      <c r="G6" s="17" t="s">
        <v>711</v>
      </c>
      <c r="H6" s="11" t="s">
        <v>263</v>
      </c>
      <c r="I6" s="8"/>
      <c r="J6" s="8"/>
      <c r="K6" s="11"/>
      <c r="L6" s="128"/>
      <c r="M6" s="67"/>
      <c r="N6" s="68"/>
      <c r="O6" s="140"/>
      <c r="P6" s="140"/>
      <c r="Q6" s="140" t="s">
        <v>341</v>
      </c>
      <c r="R6" s="140" t="s">
        <v>55</v>
      </c>
      <c r="S6" s="178" t="s">
        <v>342</v>
      </c>
      <c r="T6" s="140" t="s">
        <v>1396</v>
      </c>
    </row>
    <row r="7" spans="1:20">
      <c r="A7" s="27" t="s">
        <v>349</v>
      </c>
      <c r="B7" s="30" t="s">
        <v>769</v>
      </c>
      <c r="C7" s="30" t="s">
        <v>770</v>
      </c>
      <c r="D7" s="30" t="s">
        <v>771</v>
      </c>
      <c r="E7" s="31" t="s">
        <v>284</v>
      </c>
      <c r="F7" s="30"/>
      <c r="G7" s="17" t="s">
        <v>772</v>
      </c>
      <c r="H7" s="30" t="s">
        <v>773</v>
      </c>
      <c r="I7" s="30"/>
      <c r="J7" s="30"/>
      <c r="K7" s="30"/>
      <c r="L7" s="132"/>
      <c r="M7" s="67"/>
      <c r="N7" s="67"/>
      <c r="O7" s="140"/>
      <c r="P7" s="140"/>
      <c r="Q7" s="140" t="s">
        <v>341</v>
      </c>
      <c r="R7" s="140" t="s">
        <v>55</v>
      </c>
      <c r="S7" s="178" t="s">
        <v>1397</v>
      </c>
      <c r="T7" s="140" t="s">
        <v>1396</v>
      </c>
    </row>
    <row r="8" spans="1:20" ht="60.75">
      <c r="A8" s="27"/>
      <c r="B8" s="32" t="s">
        <v>774</v>
      </c>
      <c r="C8" s="30" t="s">
        <v>387</v>
      </c>
      <c r="D8" s="30" t="s">
        <v>775</v>
      </c>
      <c r="E8" s="31" t="s">
        <v>284</v>
      </c>
      <c r="F8" s="30"/>
      <c r="G8" s="17" t="s">
        <v>776</v>
      </c>
      <c r="H8" s="30"/>
      <c r="I8" s="30"/>
      <c r="J8" s="30"/>
      <c r="K8" s="30"/>
      <c r="L8" s="132"/>
      <c r="M8" s="67" t="s">
        <v>363</v>
      </c>
      <c r="N8" s="67" t="s">
        <v>363</v>
      </c>
      <c r="O8" s="176" t="s">
        <v>1398</v>
      </c>
      <c r="P8" s="176" t="s">
        <v>1399</v>
      </c>
      <c r="Q8" s="140"/>
      <c r="R8" s="140" t="s">
        <v>55</v>
      </c>
      <c r="S8" s="178" t="s">
        <v>1400</v>
      </c>
      <c r="T8" s="140"/>
    </row>
    <row r="9" spans="1:20" ht="30.75">
      <c r="A9" s="27" t="s">
        <v>357</v>
      </c>
      <c r="B9" s="9" t="s">
        <v>777</v>
      </c>
      <c r="C9" s="8" t="s">
        <v>453</v>
      </c>
      <c r="D9" s="8" t="s">
        <v>778</v>
      </c>
      <c r="E9" s="18" t="s">
        <v>260</v>
      </c>
      <c r="F9" s="8"/>
      <c r="G9" s="8"/>
      <c r="H9" s="13" t="s">
        <v>360</v>
      </c>
      <c r="I9" s="8"/>
      <c r="J9" s="124" t="s">
        <v>779</v>
      </c>
      <c r="K9" s="33" t="s">
        <v>780</v>
      </c>
      <c r="L9" s="132"/>
      <c r="M9" s="67" t="s">
        <v>363</v>
      </c>
      <c r="N9" s="67" t="s">
        <v>363</v>
      </c>
      <c r="O9" s="176" t="s">
        <v>1401</v>
      </c>
      <c r="P9" s="140" t="s">
        <v>1402</v>
      </c>
      <c r="Q9" s="140"/>
      <c r="R9" s="140" t="s">
        <v>384</v>
      </c>
      <c r="S9" s="178"/>
      <c r="T9" s="140"/>
    </row>
    <row r="10" spans="1:20" ht="88.5">
      <c r="A10" s="27" t="s">
        <v>367</v>
      </c>
      <c r="B10" s="8" t="s">
        <v>781</v>
      </c>
      <c r="C10" s="8" t="s">
        <v>782</v>
      </c>
      <c r="D10" s="8" t="s">
        <v>783</v>
      </c>
      <c r="E10" s="18" t="s">
        <v>260</v>
      </c>
      <c r="F10" s="8"/>
      <c r="G10" s="8"/>
      <c r="H10" s="14" t="s">
        <v>784</v>
      </c>
      <c r="I10" s="8"/>
      <c r="J10" s="8"/>
      <c r="K10" s="11"/>
      <c r="L10" s="128"/>
      <c r="M10" s="67" t="s">
        <v>363</v>
      </c>
      <c r="N10" s="67" t="s">
        <v>363</v>
      </c>
      <c r="O10" s="176" t="s">
        <v>1398</v>
      </c>
      <c r="P10" s="140" t="s">
        <v>1403</v>
      </c>
      <c r="Q10" s="140"/>
      <c r="R10" s="140" t="s">
        <v>384</v>
      </c>
      <c r="S10" s="178"/>
      <c r="T10" s="140"/>
    </row>
    <row r="11" spans="1:20" ht="45.75">
      <c r="A11" s="27" t="s">
        <v>385</v>
      </c>
      <c r="B11" s="9" t="s">
        <v>785</v>
      </c>
      <c r="C11" s="8" t="s">
        <v>786</v>
      </c>
      <c r="D11" s="9" t="s">
        <v>787</v>
      </c>
      <c r="E11" s="18" t="s">
        <v>260</v>
      </c>
      <c r="F11" s="8"/>
      <c r="G11" s="8"/>
      <c r="H11" s="11" t="s">
        <v>380</v>
      </c>
      <c r="I11" s="8"/>
      <c r="J11" s="8"/>
      <c r="K11" s="11"/>
      <c r="L11" s="128"/>
      <c r="M11" s="67" t="s">
        <v>363</v>
      </c>
      <c r="N11" s="67" t="s">
        <v>363</v>
      </c>
      <c r="O11" s="176" t="s">
        <v>1404</v>
      </c>
      <c r="P11" s="176" t="s">
        <v>1405</v>
      </c>
      <c r="Q11" s="140"/>
      <c r="R11" s="140" t="s">
        <v>384</v>
      </c>
      <c r="S11" s="178"/>
      <c r="T11" s="140"/>
    </row>
    <row r="12" spans="1:20" ht="70.5">
      <c r="A12" s="27" t="s">
        <v>395</v>
      </c>
      <c r="B12" s="9" t="s">
        <v>788</v>
      </c>
      <c r="C12" s="8" t="s">
        <v>786</v>
      </c>
      <c r="D12" s="13" t="s">
        <v>789</v>
      </c>
      <c r="E12" s="18" t="s">
        <v>260</v>
      </c>
      <c r="F12" s="8"/>
      <c r="G12" s="8"/>
      <c r="H12" s="8" t="s">
        <v>790</v>
      </c>
      <c r="I12" s="8" t="s">
        <v>791</v>
      </c>
      <c r="J12" s="8"/>
      <c r="K12" s="11" t="s">
        <v>792</v>
      </c>
      <c r="L12" s="128"/>
      <c r="M12" s="67" t="s">
        <v>363</v>
      </c>
      <c r="N12" s="67" t="s">
        <v>363</v>
      </c>
      <c r="O12" s="176" t="s">
        <v>1398</v>
      </c>
      <c r="P12" s="176" t="s">
        <v>1399</v>
      </c>
      <c r="Q12" s="140"/>
      <c r="R12" s="140" t="s">
        <v>384</v>
      </c>
      <c r="S12" s="178"/>
      <c r="T12" s="140"/>
    </row>
    <row r="13" spans="1:20" ht="30.75">
      <c r="A13" s="27" t="s">
        <v>402</v>
      </c>
      <c r="B13" s="9" t="s">
        <v>793</v>
      </c>
      <c r="C13" s="8" t="s">
        <v>453</v>
      </c>
      <c r="D13" s="8" t="s">
        <v>794</v>
      </c>
      <c r="E13" s="18" t="s">
        <v>284</v>
      </c>
      <c r="F13" s="8"/>
      <c r="G13" s="8"/>
      <c r="H13" s="11" t="s">
        <v>795</v>
      </c>
      <c r="I13" s="9" t="s">
        <v>795</v>
      </c>
      <c r="J13" s="9" t="s">
        <v>796</v>
      </c>
      <c r="K13" s="13" t="s">
        <v>797</v>
      </c>
      <c r="L13" s="128"/>
      <c r="M13" s="135"/>
      <c r="N13" s="135"/>
      <c r="O13" s="140"/>
      <c r="P13" s="140"/>
      <c r="Q13" s="140"/>
      <c r="R13" s="140" t="s">
        <v>384</v>
      </c>
      <c r="S13" s="178"/>
      <c r="T13" s="140"/>
    </row>
    <row r="14" spans="1:20" ht="70.5">
      <c r="A14" s="27" t="s">
        <v>412</v>
      </c>
      <c r="B14" s="10" t="s">
        <v>683</v>
      </c>
      <c r="C14" s="10" t="s">
        <v>378</v>
      </c>
      <c r="D14" s="10" t="s">
        <v>684</v>
      </c>
      <c r="E14" s="20" t="s">
        <v>260</v>
      </c>
      <c r="F14" s="10"/>
      <c r="G14" s="10"/>
      <c r="H14" s="15" t="s">
        <v>380</v>
      </c>
      <c r="I14" s="10"/>
      <c r="J14" s="10"/>
      <c r="K14" s="15" t="s">
        <v>685</v>
      </c>
      <c r="L14" s="128"/>
      <c r="M14" s="68"/>
      <c r="N14" s="135"/>
      <c r="O14" s="140"/>
      <c r="P14" s="140"/>
      <c r="Q14" s="140" t="s">
        <v>341</v>
      </c>
      <c r="R14" s="140" t="s">
        <v>55</v>
      </c>
      <c r="S14" s="178" t="s">
        <v>1406</v>
      </c>
      <c r="T14" s="140" t="s">
        <v>1396</v>
      </c>
    </row>
    <row r="15" spans="1:20" ht="17.25">
      <c r="A15" s="27" t="s">
        <v>419</v>
      </c>
      <c r="B15" s="10" t="s">
        <v>689</v>
      </c>
      <c r="C15" s="10" t="s">
        <v>271</v>
      </c>
      <c r="D15" s="10" t="s">
        <v>690</v>
      </c>
      <c r="E15" s="20" t="s">
        <v>260</v>
      </c>
      <c r="F15" s="10"/>
      <c r="G15" s="10"/>
      <c r="H15" s="15" t="s">
        <v>691</v>
      </c>
      <c r="I15" s="10"/>
      <c r="J15" s="10"/>
      <c r="K15" s="15"/>
      <c r="L15" s="128"/>
      <c r="M15" s="68"/>
      <c r="N15" s="135"/>
      <c r="O15" s="140"/>
      <c r="P15" s="140"/>
      <c r="Q15" s="140" t="s">
        <v>341</v>
      </c>
      <c r="R15" s="140" t="s">
        <v>55</v>
      </c>
      <c r="S15" s="178" t="s">
        <v>1407</v>
      </c>
      <c r="T15" s="140" t="s">
        <v>1396</v>
      </c>
    </row>
    <row r="16" spans="1:20" ht="88.5">
      <c r="A16" s="27" t="s">
        <v>425</v>
      </c>
      <c r="B16" s="19" t="s">
        <v>693</v>
      </c>
      <c r="C16" s="10" t="s">
        <v>378</v>
      </c>
      <c r="D16" s="10" t="s">
        <v>694</v>
      </c>
      <c r="E16" s="20" t="s">
        <v>284</v>
      </c>
      <c r="F16" s="10"/>
      <c r="G16" s="10"/>
      <c r="H16" s="15" t="s">
        <v>695</v>
      </c>
      <c r="I16" s="10"/>
      <c r="J16" s="10"/>
      <c r="K16" s="15" t="s">
        <v>696</v>
      </c>
      <c r="L16" s="128"/>
      <c r="M16" s="68"/>
      <c r="N16" s="135"/>
      <c r="O16" s="140"/>
      <c r="P16" s="140"/>
      <c r="Q16" s="140" t="s">
        <v>341</v>
      </c>
      <c r="R16" s="140" t="s">
        <v>55</v>
      </c>
      <c r="S16" s="178" t="s">
        <v>1408</v>
      </c>
      <c r="T16" s="140" t="s">
        <v>1396</v>
      </c>
    </row>
    <row r="17" spans="1:20" ht="45.75">
      <c r="A17" s="27" t="s">
        <v>431</v>
      </c>
      <c r="B17" s="19" t="s">
        <v>699</v>
      </c>
      <c r="C17" s="10" t="s">
        <v>271</v>
      </c>
      <c r="D17" s="10" t="s">
        <v>700</v>
      </c>
      <c r="E17" s="20" t="s">
        <v>284</v>
      </c>
      <c r="F17" s="10"/>
      <c r="G17" s="10"/>
      <c r="H17" s="15" t="s">
        <v>691</v>
      </c>
      <c r="I17" s="10"/>
      <c r="J17" s="10"/>
      <c r="K17" s="15"/>
      <c r="L17" s="128"/>
      <c r="M17" s="68" t="s">
        <v>363</v>
      </c>
      <c r="N17" s="135" t="s">
        <v>363</v>
      </c>
      <c r="O17" s="176" t="s">
        <v>515</v>
      </c>
      <c r="P17" s="176" t="s">
        <v>516</v>
      </c>
      <c r="Q17" s="140" t="s">
        <v>341</v>
      </c>
      <c r="R17" s="140" t="s">
        <v>29</v>
      </c>
      <c r="S17" s="178" t="s">
        <v>747</v>
      </c>
      <c r="T17" s="140" t="s">
        <v>1396</v>
      </c>
    </row>
    <row r="18" spans="1:20" ht="30.75">
      <c r="A18" s="27" t="s">
        <v>443</v>
      </c>
      <c r="B18" s="8" t="s">
        <v>747</v>
      </c>
      <c r="C18" s="8" t="s">
        <v>271</v>
      </c>
      <c r="D18" s="8" t="s">
        <v>748</v>
      </c>
      <c r="E18" s="18" t="s">
        <v>284</v>
      </c>
      <c r="F18" s="8"/>
      <c r="G18" s="11"/>
      <c r="H18" s="11" t="s">
        <v>749</v>
      </c>
      <c r="I18" s="8"/>
      <c r="J18" s="8"/>
      <c r="K18" s="11"/>
      <c r="L18" s="133" t="s">
        <v>1034</v>
      </c>
      <c r="M18" s="68" t="s">
        <v>363</v>
      </c>
      <c r="N18" s="68" t="s">
        <v>363</v>
      </c>
      <c r="O18" s="140" t="s">
        <v>458</v>
      </c>
      <c r="P18" s="176" t="s">
        <v>459</v>
      </c>
      <c r="Q18" s="140" t="s">
        <v>341</v>
      </c>
      <c r="R18" s="140" t="s">
        <v>29</v>
      </c>
      <c r="S18" s="178" t="s">
        <v>750</v>
      </c>
      <c r="T18" s="140" t="s">
        <v>1396</v>
      </c>
    </row>
    <row r="19" spans="1:20" ht="30.75">
      <c r="A19" s="27" t="s">
        <v>451</v>
      </c>
      <c r="B19" s="8" t="s">
        <v>750</v>
      </c>
      <c r="C19" s="8" t="s">
        <v>266</v>
      </c>
      <c r="D19" s="8" t="s">
        <v>751</v>
      </c>
      <c r="E19" s="18" t="s">
        <v>284</v>
      </c>
      <c r="F19" s="8"/>
      <c r="G19" s="11"/>
      <c r="H19" s="11" t="s">
        <v>752</v>
      </c>
      <c r="I19" s="8"/>
      <c r="J19" s="8"/>
      <c r="K19" s="11"/>
      <c r="L19" s="128"/>
      <c r="M19" s="68" t="s">
        <v>363</v>
      </c>
      <c r="N19" s="68" t="s">
        <v>363</v>
      </c>
      <c r="O19" s="140" t="s">
        <v>458</v>
      </c>
      <c r="P19" s="176" t="s">
        <v>459</v>
      </c>
      <c r="Q19" s="140" t="s">
        <v>341</v>
      </c>
      <c r="R19" s="140" t="s">
        <v>29</v>
      </c>
      <c r="S19" s="178" t="s">
        <v>753</v>
      </c>
      <c r="T19" s="140" t="s">
        <v>1396</v>
      </c>
    </row>
    <row r="20" spans="1:20" ht="30.75">
      <c r="A20" s="27" t="s">
        <v>460</v>
      </c>
      <c r="B20" s="8" t="s">
        <v>753</v>
      </c>
      <c r="C20" s="8" t="s">
        <v>266</v>
      </c>
      <c r="D20" s="8" t="s">
        <v>754</v>
      </c>
      <c r="E20" s="18" t="s">
        <v>284</v>
      </c>
      <c r="F20" s="8"/>
      <c r="G20" s="11"/>
      <c r="H20" s="11" t="s">
        <v>755</v>
      </c>
      <c r="I20" s="8"/>
      <c r="J20" s="8"/>
      <c r="K20" s="11"/>
      <c r="L20" s="128"/>
      <c r="M20" s="68" t="s">
        <v>363</v>
      </c>
      <c r="N20" s="68" t="s">
        <v>363</v>
      </c>
      <c r="O20" s="140" t="s">
        <v>458</v>
      </c>
      <c r="P20" s="176" t="s">
        <v>459</v>
      </c>
      <c r="Q20" s="140" t="s">
        <v>341</v>
      </c>
      <c r="R20" s="140" t="s">
        <v>29</v>
      </c>
      <c r="S20" s="178" t="s">
        <v>756</v>
      </c>
      <c r="T20" s="140" t="s">
        <v>1396</v>
      </c>
    </row>
    <row r="21" spans="1:20" ht="30.75">
      <c r="A21" s="27" t="s">
        <v>467</v>
      </c>
      <c r="B21" s="8" t="s">
        <v>756</v>
      </c>
      <c r="C21" s="8" t="s">
        <v>266</v>
      </c>
      <c r="D21" s="8" t="s">
        <v>757</v>
      </c>
      <c r="E21" s="18" t="s">
        <v>284</v>
      </c>
      <c r="F21" s="8"/>
      <c r="G21" s="11"/>
      <c r="H21" s="11" t="s">
        <v>758</v>
      </c>
      <c r="I21" s="8"/>
      <c r="J21" s="8"/>
      <c r="K21" s="11"/>
      <c r="L21" s="128"/>
      <c r="M21" s="68" t="s">
        <v>363</v>
      </c>
      <c r="N21" s="68" t="s">
        <v>363</v>
      </c>
      <c r="O21" s="140" t="s">
        <v>458</v>
      </c>
      <c r="P21" s="176" t="s">
        <v>459</v>
      </c>
      <c r="Q21" s="140" t="s">
        <v>341</v>
      </c>
      <c r="R21" s="140" t="s">
        <v>29</v>
      </c>
      <c r="S21" s="178" t="s">
        <v>759</v>
      </c>
      <c r="T21" s="140" t="s">
        <v>1396</v>
      </c>
    </row>
    <row r="22" spans="1:20" ht="17.25">
      <c r="A22" s="27" t="s">
        <v>472</v>
      </c>
      <c r="B22" s="8" t="s">
        <v>759</v>
      </c>
      <c r="C22" s="8" t="s">
        <v>387</v>
      </c>
      <c r="D22" s="8" t="s">
        <v>760</v>
      </c>
      <c r="E22" s="18" t="s">
        <v>284</v>
      </c>
      <c r="F22" s="8"/>
      <c r="G22" s="11"/>
      <c r="H22" s="11" t="s">
        <v>761</v>
      </c>
      <c r="I22" s="8"/>
      <c r="J22" s="8"/>
      <c r="K22" s="11"/>
      <c r="L22" s="128"/>
      <c r="M22" s="68"/>
      <c r="N22" s="68"/>
      <c r="O22" s="140"/>
      <c r="P22" s="140"/>
      <c r="Q22" s="140"/>
      <c r="R22" s="140" t="s">
        <v>384</v>
      </c>
      <c r="S22" s="178"/>
      <c r="T22" s="140"/>
    </row>
    <row r="23" spans="1:20" ht="36">
      <c r="A23" s="27" t="s">
        <v>475</v>
      </c>
      <c r="B23" s="8" t="s">
        <v>762</v>
      </c>
      <c r="C23" s="8" t="s">
        <v>291</v>
      </c>
      <c r="D23" s="8" t="s">
        <v>763</v>
      </c>
      <c r="E23" s="18" t="s">
        <v>284</v>
      </c>
      <c r="F23" s="8"/>
      <c r="G23" s="11"/>
      <c r="H23" s="11"/>
      <c r="I23" s="8"/>
      <c r="J23" s="8"/>
      <c r="K23" s="11" t="s">
        <v>354</v>
      </c>
      <c r="L23" s="128"/>
      <c r="M23" s="68"/>
      <c r="N23" s="68"/>
      <c r="O23" s="140"/>
      <c r="P23" s="140"/>
      <c r="Q23" s="140"/>
      <c r="R23" s="140" t="s">
        <v>384</v>
      </c>
      <c r="S23" s="178"/>
      <c r="T23" s="140"/>
    </row>
    <row r="24" spans="1:20" ht="70.5">
      <c r="A24" s="27" t="s">
        <v>483</v>
      </c>
      <c r="B24" s="10" t="s">
        <v>683</v>
      </c>
      <c r="C24" s="10" t="s">
        <v>378</v>
      </c>
      <c r="D24" s="10" t="s">
        <v>684</v>
      </c>
      <c r="E24" s="20" t="s">
        <v>260</v>
      </c>
      <c r="F24" s="10"/>
      <c r="G24" s="15"/>
      <c r="H24" s="15" t="s">
        <v>380</v>
      </c>
      <c r="I24" s="10"/>
      <c r="J24" s="10"/>
      <c r="K24" s="15" t="s">
        <v>685</v>
      </c>
      <c r="L24" s="128"/>
      <c r="M24" s="68"/>
      <c r="N24" s="68"/>
      <c r="O24" s="140"/>
      <c r="P24" s="140"/>
      <c r="Q24" s="140" t="s">
        <v>341</v>
      </c>
      <c r="R24" s="140" t="s">
        <v>55</v>
      </c>
      <c r="S24" s="178" t="s">
        <v>1406</v>
      </c>
      <c r="T24" s="140" t="s">
        <v>1396</v>
      </c>
    </row>
    <row r="25" spans="1:20" ht="17.25">
      <c r="A25" s="27" t="s">
        <v>487</v>
      </c>
      <c r="B25" s="10" t="s">
        <v>689</v>
      </c>
      <c r="C25" s="10" t="s">
        <v>271</v>
      </c>
      <c r="D25" s="10" t="s">
        <v>690</v>
      </c>
      <c r="E25" s="20" t="s">
        <v>260</v>
      </c>
      <c r="F25" s="10"/>
      <c r="G25" s="15"/>
      <c r="H25" s="15" t="s">
        <v>691</v>
      </c>
      <c r="I25" s="10"/>
      <c r="J25" s="10"/>
      <c r="K25" s="15"/>
      <c r="L25" s="128"/>
      <c r="M25" s="68"/>
      <c r="N25" s="68"/>
      <c r="O25" s="140"/>
      <c r="P25" s="140"/>
      <c r="Q25" s="140" t="s">
        <v>341</v>
      </c>
      <c r="R25" s="140" t="s">
        <v>55</v>
      </c>
      <c r="S25" s="178" t="s">
        <v>1407</v>
      </c>
      <c r="T25" s="140" t="s">
        <v>1396</v>
      </c>
    </row>
    <row r="26" spans="1:20" ht="88.5">
      <c r="A26" s="27" t="s">
        <v>490</v>
      </c>
      <c r="B26" s="10" t="s">
        <v>693</v>
      </c>
      <c r="C26" s="10" t="s">
        <v>378</v>
      </c>
      <c r="D26" s="10" t="s">
        <v>694</v>
      </c>
      <c r="E26" s="20" t="s">
        <v>284</v>
      </c>
      <c r="F26" s="10"/>
      <c r="G26" s="15"/>
      <c r="H26" s="15" t="s">
        <v>695</v>
      </c>
      <c r="I26" s="10"/>
      <c r="J26" s="10"/>
      <c r="K26" s="15" t="s">
        <v>696</v>
      </c>
      <c r="L26" s="128"/>
      <c r="M26" s="68"/>
      <c r="N26" s="68"/>
      <c r="O26" s="140"/>
      <c r="P26" s="140"/>
      <c r="Q26" s="140" t="s">
        <v>341</v>
      </c>
      <c r="R26" s="140" t="s">
        <v>55</v>
      </c>
      <c r="S26" s="178" t="s">
        <v>1408</v>
      </c>
      <c r="T26" s="140" t="s">
        <v>1396</v>
      </c>
    </row>
    <row r="27" spans="1:20" ht="17.25">
      <c r="A27" s="27" t="s">
        <v>496</v>
      </c>
      <c r="B27" s="10" t="s">
        <v>699</v>
      </c>
      <c r="C27" s="10" t="s">
        <v>271</v>
      </c>
      <c r="D27" s="10" t="s">
        <v>700</v>
      </c>
      <c r="E27" s="20" t="s">
        <v>284</v>
      </c>
      <c r="F27" s="10"/>
      <c r="G27" s="15"/>
      <c r="H27" s="15" t="s">
        <v>691</v>
      </c>
      <c r="I27" s="10"/>
      <c r="J27" s="10"/>
      <c r="K27" s="15"/>
      <c r="L27" s="128"/>
      <c r="M27" s="68"/>
      <c r="N27" s="68"/>
      <c r="O27" s="140"/>
      <c r="P27" s="140"/>
      <c r="Q27" s="140"/>
      <c r="R27" s="140"/>
      <c r="S27" s="178"/>
      <c r="T27" s="140"/>
    </row>
  </sheetData>
  <hyperlinks>
    <hyperlink ref="C3" r:id="rId1" xr:uid="{DDFCED8E-3E51-4D56-818B-971F68F5886B}"/>
    <hyperlink ref="K5" r:id="rId2" xr:uid="{34975989-12C1-4FCF-9AD6-72F671125AEC}"/>
    <hyperlink ref="G6" r:id="rId3" xr:uid="{71137B0F-AF15-408F-A914-1E6A1EF49BA5}"/>
    <hyperlink ref="G7" r:id="rId4" xr:uid="{AA340EE4-161D-4FB5-A668-046A57EA1A2A}"/>
    <hyperlink ref="G8" r:id="rId5" xr:uid="{A0EDFCC5-116A-45BC-9678-C8843C1D7620}"/>
    <hyperlink ref="H10" r:id="rId6" xr:uid="{8D93101F-7663-468A-9246-44ACF228EFD7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FCC34-2530-492A-9A5E-9189BD59F70B}">
  <sheetPr>
    <tabColor theme="4" tint="0.59999389629810485"/>
  </sheetPr>
  <dimension ref="A2:O21"/>
  <sheetViews>
    <sheetView workbookViewId="0">
      <selection activeCell="L5" sqref="L5"/>
    </sheetView>
  </sheetViews>
  <sheetFormatPr defaultRowHeight="15"/>
  <cols>
    <col min="1" max="1" width="5.140625" bestFit="1" customWidth="1"/>
    <col min="2" max="2" width="19.7109375" bestFit="1" customWidth="1"/>
    <col min="3" max="3" width="85.85546875" bestFit="1" customWidth="1"/>
    <col min="4" max="4" width="53" bestFit="1" customWidth="1"/>
    <col min="5" max="5" width="10.42578125" bestFit="1" customWidth="1"/>
    <col min="6" max="6" width="13.5703125" bestFit="1" customWidth="1"/>
    <col min="7" max="7" width="19.7109375" bestFit="1" customWidth="1"/>
    <col min="8" max="8" width="46.7109375" bestFit="1" customWidth="1"/>
    <col min="9" max="9" width="16" bestFit="1" customWidth="1"/>
    <col min="10" max="10" width="38.85546875" bestFit="1" customWidth="1"/>
    <col min="11" max="11" width="54.5703125" bestFit="1" customWidth="1"/>
    <col min="12" max="12" width="8.28515625" bestFit="1" customWidth="1"/>
    <col min="13" max="13" width="8.5703125" bestFit="1" customWidth="1"/>
    <col min="14" max="14" width="27.85546875" customWidth="1"/>
    <col min="15" max="15" width="48.7109375" customWidth="1"/>
  </cols>
  <sheetData>
    <row r="2" spans="1:15">
      <c r="A2" s="21"/>
      <c r="B2" s="22" t="s">
        <v>323</v>
      </c>
      <c r="C2" s="23" t="s">
        <v>115</v>
      </c>
      <c r="D2" s="24"/>
      <c r="E2" s="141" t="s">
        <v>1409</v>
      </c>
      <c r="F2" s="16"/>
      <c r="G2" s="25"/>
      <c r="H2" s="25"/>
      <c r="I2" s="16"/>
      <c r="J2" s="16"/>
      <c r="K2" s="25"/>
    </row>
    <row r="3" spans="1:15">
      <c r="A3" s="21"/>
      <c r="B3" s="22" t="s">
        <v>325</v>
      </c>
      <c r="C3" s="23" t="s">
        <v>1410</v>
      </c>
      <c r="D3" s="24"/>
      <c r="E3" s="16"/>
      <c r="F3" s="16"/>
      <c r="G3" s="25"/>
      <c r="H3" s="25"/>
      <c r="I3" s="16"/>
      <c r="J3" s="16"/>
      <c r="K3" s="25"/>
    </row>
    <row r="4" spans="1:15">
      <c r="A4" s="21"/>
      <c r="B4" s="22" t="s">
        <v>327</v>
      </c>
      <c r="C4" s="154" t="s">
        <v>1411</v>
      </c>
      <c r="D4" s="24"/>
      <c r="E4" s="16"/>
      <c r="F4" s="16"/>
      <c r="G4" s="25"/>
      <c r="H4" s="25"/>
      <c r="I4" s="16"/>
      <c r="J4" s="16"/>
      <c r="K4" s="25"/>
    </row>
    <row r="5" spans="1:15" ht="17.25">
      <c r="A5" s="112" t="s">
        <v>247</v>
      </c>
      <c r="B5" s="113" t="s">
        <v>248</v>
      </c>
      <c r="C5" s="113" t="s">
        <v>17</v>
      </c>
      <c r="D5" s="113" t="s">
        <v>249</v>
      </c>
      <c r="E5" s="113" t="s">
        <v>250</v>
      </c>
      <c r="F5" s="113" t="s">
        <v>251</v>
      </c>
      <c r="G5" s="114" t="s">
        <v>252</v>
      </c>
      <c r="H5" s="114" t="s">
        <v>253</v>
      </c>
      <c r="I5" s="113" t="s">
        <v>254</v>
      </c>
      <c r="J5" s="113" t="s">
        <v>255</v>
      </c>
      <c r="K5" s="200" t="s">
        <v>256</v>
      </c>
      <c r="L5" s="193" t="s">
        <v>331</v>
      </c>
      <c r="M5" s="193" t="s">
        <v>332</v>
      </c>
      <c r="N5" s="193" t="s">
        <v>333</v>
      </c>
      <c r="O5" s="193" t="s">
        <v>334</v>
      </c>
    </row>
    <row r="6" spans="1:15">
      <c r="A6" s="27" t="s">
        <v>338</v>
      </c>
      <c r="B6" s="8" t="s">
        <v>257</v>
      </c>
      <c r="C6" s="8" t="s">
        <v>258</v>
      </c>
      <c r="D6" s="8" t="s">
        <v>1412</v>
      </c>
      <c r="E6" s="18" t="s">
        <v>260</v>
      </c>
      <c r="F6" s="8" t="s">
        <v>261</v>
      </c>
      <c r="G6" s="8"/>
      <c r="H6" s="8" t="s">
        <v>263</v>
      </c>
      <c r="I6" s="8"/>
      <c r="J6" s="8"/>
      <c r="K6" s="65"/>
      <c r="L6" s="194"/>
      <c r="M6" s="195"/>
      <c r="N6" s="196"/>
      <c r="O6" s="197"/>
    </row>
    <row r="7" spans="1:15">
      <c r="A7" s="27" t="s">
        <v>343</v>
      </c>
      <c r="B7" s="8" t="s">
        <v>344</v>
      </c>
      <c r="C7" s="8" t="s">
        <v>387</v>
      </c>
      <c r="D7" s="8" t="s">
        <v>1413</v>
      </c>
      <c r="E7" s="18" t="s">
        <v>284</v>
      </c>
      <c r="F7" s="8"/>
      <c r="G7" s="8"/>
      <c r="H7" s="8" t="s">
        <v>1414</v>
      </c>
      <c r="I7" s="8"/>
      <c r="J7" s="8"/>
      <c r="K7" s="65"/>
      <c r="L7" s="194"/>
      <c r="M7" s="195"/>
      <c r="N7" s="196"/>
      <c r="O7" s="197"/>
    </row>
    <row r="8" spans="1:15">
      <c r="A8" s="27" t="s">
        <v>349</v>
      </c>
      <c r="B8" s="8" t="s">
        <v>709</v>
      </c>
      <c r="C8" s="8" t="s">
        <v>258</v>
      </c>
      <c r="D8" s="8" t="s">
        <v>1415</v>
      </c>
      <c r="E8" s="18" t="s">
        <v>284</v>
      </c>
      <c r="F8" s="8" t="s">
        <v>768</v>
      </c>
      <c r="G8" s="8"/>
      <c r="H8" s="8" t="s">
        <v>263</v>
      </c>
      <c r="I8" s="8"/>
      <c r="J8" s="8"/>
      <c r="K8" s="65"/>
      <c r="L8" s="194"/>
      <c r="M8" s="195"/>
      <c r="N8" s="196"/>
      <c r="O8" s="197"/>
    </row>
    <row r="9" spans="1:15">
      <c r="A9" s="27" t="s">
        <v>357</v>
      </c>
      <c r="B9" s="8" t="s">
        <v>1416</v>
      </c>
      <c r="C9" s="8" t="s">
        <v>258</v>
      </c>
      <c r="D9" s="8" t="s">
        <v>1417</v>
      </c>
      <c r="E9" s="18" t="s">
        <v>284</v>
      </c>
      <c r="F9" s="8" t="s">
        <v>768</v>
      </c>
      <c r="G9" s="17" t="s">
        <v>1418</v>
      </c>
      <c r="H9" s="8" t="s">
        <v>263</v>
      </c>
      <c r="I9" s="8"/>
      <c r="J9" s="8"/>
      <c r="K9" s="65"/>
      <c r="L9" s="194"/>
      <c r="M9" s="195"/>
      <c r="N9" s="196"/>
      <c r="O9" s="197"/>
    </row>
    <row r="10" spans="1:15">
      <c r="A10" s="27" t="s">
        <v>367</v>
      </c>
      <c r="B10" s="8" t="s">
        <v>769</v>
      </c>
      <c r="C10" s="155" t="s">
        <v>770</v>
      </c>
      <c r="D10" s="8" t="s">
        <v>1419</v>
      </c>
      <c r="E10" s="18" t="s">
        <v>284</v>
      </c>
      <c r="F10" s="8" t="s">
        <v>768</v>
      </c>
      <c r="G10" s="8"/>
      <c r="H10" s="8" t="s">
        <v>1420</v>
      </c>
      <c r="I10" s="8"/>
      <c r="J10" s="8"/>
      <c r="K10" s="65"/>
      <c r="L10" s="194"/>
      <c r="M10" s="195"/>
      <c r="N10" s="196"/>
      <c r="O10" s="197"/>
    </row>
    <row r="11" spans="1:15" ht="30.75">
      <c r="A11" s="27" t="s">
        <v>385</v>
      </c>
      <c r="B11" s="9" t="s">
        <v>1421</v>
      </c>
      <c r="C11" s="9" t="s">
        <v>291</v>
      </c>
      <c r="D11" s="9" t="s">
        <v>1422</v>
      </c>
      <c r="E11" s="156" t="s">
        <v>260</v>
      </c>
      <c r="F11" s="8"/>
      <c r="G11" s="8"/>
      <c r="H11" s="9" t="s">
        <v>1423</v>
      </c>
      <c r="I11" s="8"/>
      <c r="J11" s="17" t="s">
        <v>1424</v>
      </c>
      <c r="K11" s="65"/>
      <c r="L11" s="198" t="s">
        <v>363</v>
      </c>
      <c r="M11" s="195" t="s">
        <v>363</v>
      </c>
      <c r="N11" s="196" t="s">
        <v>1425</v>
      </c>
      <c r="O11" s="197" t="s">
        <v>1426</v>
      </c>
    </row>
    <row r="12" spans="1:15" ht="30.75">
      <c r="A12" s="27" t="s">
        <v>395</v>
      </c>
      <c r="B12" s="143" t="s">
        <v>1427</v>
      </c>
      <c r="C12" s="143" t="s">
        <v>291</v>
      </c>
      <c r="D12" s="143" t="s">
        <v>1428</v>
      </c>
      <c r="E12" s="144" t="s">
        <v>284</v>
      </c>
      <c r="F12" s="143"/>
      <c r="G12" s="143"/>
      <c r="H12" s="157" t="s">
        <v>1429</v>
      </c>
      <c r="I12" s="143"/>
      <c r="J12" s="17" t="s">
        <v>1430</v>
      </c>
      <c r="K12" s="201"/>
      <c r="L12" s="198" t="s">
        <v>363</v>
      </c>
      <c r="M12" s="195" t="s">
        <v>363</v>
      </c>
      <c r="N12" s="196" t="s">
        <v>1425</v>
      </c>
      <c r="O12" s="197" t="s">
        <v>1431</v>
      </c>
    </row>
    <row r="13" spans="1:15" ht="30.75">
      <c r="A13" s="158" t="s">
        <v>402</v>
      </c>
      <c r="B13" s="159" t="s">
        <v>1432</v>
      </c>
      <c r="C13" s="160" t="s">
        <v>1433</v>
      </c>
      <c r="D13" s="161" t="s">
        <v>1434</v>
      </c>
      <c r="E13" s="162" t="s">
        <v>260</v>
      </c>
      <c r="F13" s="161"/>
      <c r="G13" s="161"/>
      <c r="H13" s="163" t="s">
        <v>1435</v>
      </c>
      <c r="I13" s="161"/>
      <c r="J13" s="161"/>
      <c r="K13" s="202"/>
      <c r="L13" s="198" t="s">
        <v>363</v>
      </c>
      <c r="M13" s="195" t="s">
        <v>363</v>
      </c>
      <c r="N13" s="196" t="s">
        <v>1425</v>
      </c>
      <c r="O13" s="197" t="s">
        <v>1426</v>
      </c>
    </row>
    <row r="14" spans="1:15" ht="53.25">
      <c r="A14" s="164">
        <v>9</v>
      </c>
      <c r="B14" s="165" t="s">
        <v>350</v>
      </c>
      <c r="C14" s="165" t="s">
        <v>387</v>
      </c>
      <c r="D14" s="165" t="s">
        <v>350</v>
      </c>
      <c r="E14" s="165" t="s">
        <v>284</v>
      </c>
      <c r="F14" s="165" t="s">
        <v>1093</v>
      </c>
      <c r="G14" s="165" t="s">
        <v>1093</v>
      </c>
      <c r="H14" s="165" t="s">
        <v>1093</v>
      </c>
      <c r="I14" s="165" t="s">
        <v>1093</v>
      </c>
      <c r="J14" s="166" t="s">
        <v>1436</v>
      </c>
      <c r="K14" s="203" t="s">
        <v>1093</v>
      </c>
      <c r="L14" s="198"/>
      <c r="M14" s="199"/>
      <c r="N14" s="196"/>
      <c r="O14" s="197"/>
    </row>
    <row r="15" spans="1:15" ht="30.75">
      <c r="A15" s="164">
        <v>10</v>
      </c>
      <c r="B15" s="116" t="s">
        <v>1437</v>
      </c>
      <c r="C15" s="116" t="s">
        <v>770</v>
      </c>
      <c r="D15" s="116" t="s">
        <v>1438</v>
      </c>
      <c r="E15" s="116" t="s">
        <v>284</v>
      </c>
      <c r="F15" s="116" t="s">
        <v>1093</v>
      </c>
      <c r="G15" s="116" t="s">
        <v>1093</v>
      </c>
      <c r="H15" s="116">
        <v>1</v>
      </c>
      <c r="I15" s="116" t="s">
        <v>1093</v>
      </c>
      <c r="J15" s="167"/>
      <c r="K15" s="204" t="s">
        <v>1093</v>
      </c>
      <c r="L15" s="198" t="s">
        <v>363</v>
      </c>
      <c r="M15" s="195" t="s">
        <v>363</v>
      </c>
      <c r="N15" s="196" t="s">
        <v>1425</v>
      </c>
      <c r="O15" s="197" t="s">
        <v>1431</v>
      </c>
    </row>
    <row r="16" spans="1:15" ht="15.75">
      <c r="A16" s="164">
        <v>11</v>
      </c>
      <c r="B16" s="116" t="s">
        <v>1439</v>
      </c>
      <c r="C16" s="116" t="s">
        <v>1440</v>
      </c>
      <c r="D16" s="116" t="s">
        <v>1441</v>
      </c>
      <c r="E16" s="116" t="s">
        <v>284</v>
      </c>
      <c r="F16" s="116" t="s">
        <v>1093</v>
      </c>
      <c r="G16" s="116" t="s">
        <v>1093</v>
      </c>
      <c r="H16" s="116" t="s">
        <v>1442</v>
      </c>
      <c r="I16" s="116" t="s">
        <v>1093</v>
      </c>
      <c r="J16" s="167"/>
      <c r="K16" s="204" t="s">
        <v>1443</v>
      </c>
      <c r="L16" s="194"/>
      <c r="M16" s="194"/>
      <c r="N16" s="196"/>
      <c r="O16" s="197"/>
    </row>
    <row r="17" spans="1:15" ht="53.25">
      <c r="A17" s="164">
        <v>12</v>
      </c>
      <c r="B17" s="168" t="s">
        <v>683</v>
      </c>
      <c r="C17" s="168" t="s">
        <v>378</v>
      </c>
      <c r="D17" s="168" t="s">
        <v>684</v>
      </c>
      <c r="E17" s="168" t="s">
        <v>260</v>
      </c>
      <c r="F17" s="168" t="s">
        <v>1093</v>
      </c>
      <c r="G17" s="168" t="s">
        <v>1093</v>
      </c>
      <c r="H17" s="168" t="s">
        <v>380</v>
      </c>
      <c r="I17" s="168" t="s">
        <v>1093</v>
      </c>
      <c r="J17" s="169"/>
      <c r="K17" s="205" t="s">
        <v>1444</v>
      </c>
      <c r="L17" s="194"/>
      <c r="M17" s="194"/>
      <c r="N17" s="196"/>
      <c r="O17" s="197"/>
    </row>
    <row r="18" spans="1:15" ht="15.75">
      <c r="A18" s="164">
        <v>13</v>
      </c>
      <c r="B18" s="168" t="s">
        <v>689</v>
      </c>
      <c r="C18" s="168" t="s">
        <v>271</v>
      </c>
      <c r="D18" s="168" t="s">
        <v>690</v>
      </c>
      <c r="E18" s="168" t="s">
        <v>260</v>
      </c>
      <c r="F18" s="168" t="s">
        <v>1093</v>
      </c>
      <c r="G18" s="168" t="s">
        <v>1093</v>
      </c>
      <c r="H18" s="168">
        <v>2901215</v>
      </c>
      <c r="I18" s="168" t="s">
        <v>1093</v>
      </c>
      <c r="J18" s="169"/>
      <c r="K18" s="206" t="s">
        <v>1093</v>
      </c>
      <c r="L18" s="194"/>
      <c r="M18" s="194"/>
      <c r="N18" s="196"/>
      <c r="O18" s="197"/>
    </row>
    <row r="19" spans="1:15" ht="53.25">
      <c r="A19" s="164">
        <v>14</v>
      </c>
      <c r="B19" s="168" t="s">
        <v>693</v>
      </c>
      <c r="C19" s="168" t="s">
        <v>378</v>
      </c>
      <c r="D19" s="168" t="s">
        <v>694</v>
      </c>
      <c r="E19" s="168" t="s">
        <v>260</v>
      </c>
      <c r="F19" s="168" t="s">
        <v>1093</v>
      </c>
      <c r="G19" s="168" t="s">
        <v>1093</v>
      </c>
      <c r="H19" s="168" t="s">
        <v>695</v>
      </c>
      <c r="I19" s="168" t="s">
        <v>1093</v>
      </c>
      <c r="J19" s="169"/>
      <c r="K19" s="205" t="s">
        <v>696</v>
      </c>
      <c r="L19" s="194"/>
      <c r="M19" s="194"/>
      <c r="N19" s="196"/>
      <c r="O19" s="197"/>
    </row>
    <row r="20" spans="1:15" ht="15.75">
      <c r="A20" s="164">
        <v>15</v>
      </c>
      <c r="B20" s="168" t="s">
        <v>699</v>
      </c>
      <c r="C20" s="168" t="s">
        <v>271</v>
      </c>
      <c r="D20" s="168" t="s">
        <v>700</v>
      </c>
      <c r="E20" s="168" t="s">
        <v>260</v>
      </c>
      <c r="F20" s="168" t="s">
        <v>1093</v>
      </c>
      <c r="G20" s="168" t="s">
        <v>1093</v>
      </c>
      <c r="H20" s="168">
        <v>2901215</v>
      </c>
      <c r="I20" s="168" t="s">
        <v>1093</v>
      </c>
      <c r="J20" s="169"/>
      <c r="K20" s="206" t="s">
        <v>1093</v>
      </c>
      <c r="L20" s="194"/>
      <c r="M20" s="194"/>
      <c r="N20" s="196"/>
      <c r="O20" s="197"/>
    </row>
    <row r="21" spans="1:15">
      <c r="L21" s="170"/>
      <c r="M21" s="170"/>
      <c r="N21" s="171"/>
      <c r="O21" s="172"/>
    </row>
  </sheetData>
  <hyperlinks>
    <hyperlink ref="C4" r:id="rId1" xr:uid="{0A443A6B-130E-46AC-8DC4-609D369E3B49}"/>
    <hyperlink ref="G9" r:id="rId2" xr:uid="{366B8854-7F18-410F-A3E7-A7B342DB3A1B}"/>
    <hyperlink ref="J11" r:id="rId3" xr:uid="{1F94BB2C-679A-4BAD-950A-13EB6F21DCFF}"/>
    <hyperlink ref="J12" r:id="rId4" xr:uid="{0F9F8F35-91E3-4E3A-B429-167DBCCEB738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148DC-A220-4088-93E5-A14903E69284}">
  <sheetPr>
    <tabColor theme="4" tint="0.59999389629810485"/>
  </sheetPr>
  <dimension ref="A2:AA99"/>
  <sheetViews>
    <sheetView workbookViewId="0">
      <selection activeCell="K6" sqref="K6"/>
    </sheetView>
  </sheetViews>
  <sheetFormatPr defaultRowHeight="15"/>
  <cols>
    <col min="1" max="1" width="5.140625" bestFit="1" customWidth="1"/>
    <col min="2" max="2" width="28.42578125" bestFit="1" customWidth="1"/>
    <col min="3" max="3" width="13.85546875" bestFit="1" customWidth="1"/>
    <col min="4" max="4" width="87.28515625" bestFit="1" customWidth="1"/>
    <col min="5" max="5" width="10.42578125" bestFit="1" customWidth="1"/>
    <col min="6" max="6" width="13.5703125" bestFit="1" customWidth="1"/>
    <col min="7" max="7" width="33" bestFit="1" customWidth="1"/>
    <col min="8" max="8" width="82.85546875" bestFit="1" customWidth="1"/>
    <col min="9" max="9" width="17.28515625" bestFit="1" customWidth="1"/>
    <col min="10" max="10" width="241.7109375" bestFit="1" customWidth="1"/>
    <col min="11" max="11" width="153.85546875" bestFit="1" customWidth="1"/>
    <col min="12" max="12" width="30.7109375" bestFit="1" customWidth="1"/>
    <col min="13" max="13" width="8" bestFit="1" customWidth="1"/>
    <col min="14" max="14" width="8.5703125" bestFit="1" customWidth="1"/>
    <col min="15" max="15" width="32.5703125" bestFit="1" customWidth="1"/>
    <col min="16" max="16" width="52.5703125" bestFit="1" customWidth="1"/>
    <col min="17" max="17" width="12.85546875" bestFit="1" customWidth="1"/>
    <col min="18" max="18" width="22.7109375" bestFit="1" customWidth="1"/>
    <col min="19" max="19" width="17.7109375" bestFit="1" customWidth="1"/>
    <col min="20" max="20" width="5.5703125" bestFit="1" customWidth="1"/>
  </cols>
  <sheetData>
    <row r="2" spans="1:27" ht="21">
      <c r="B2" s="56" t="s">
        <v>1062</v>
      </c>
    </row>
    <row r="3" spans="1:27" ht="17.25">
      <c r="A3" s="112" t="s">
        <v>247</v>
      </c>
      <c r="B3" s="113" t="s">
        <v>248</v>
      </c>
      <c r="C3" s="113" t="s">
        <v>17</v>
      </c>
      <c r="D3" s="113" t="s">
        <v>249</v>
      </c>
      <c r="E3" s="113" t="s">
        <v>250</v>
      </c>
      <c r="F3" s="113" t="s">
        <v>251</v>
      </c>
      <c r="G3" s="114" t="s">
        <v>252</v>
      </c>
      <c r="H3" s="114" t="s">
        <v>253</v>
      </c>
      <c r="I3" s="113" t="s">
        <v>254</v>
      </c>
      <c r="J3" s="113" t="s">
        <v>255</v>
      </c>
      <c r="K3" s="114" t="s">
        <v>256</v>
      </c>
      <c r="L3" s="16"/>
      <c r="M3" s="182" t="s">
        <v>331</v>
      </c>
      <c r="N3" s="182" t="s">
        <v>332</v>
      </c>
      <c r="O3" s="182" t="s">
        <v>333</v>
      </c>
      <c r="P3" s="182" t="s">
        <v>334</v>
      </c>
      <c r="Q3" s="182" t="s">
        <v>335</v>
      </c>
      <c r="R3" s="182" t="s">
        <v>319</v>
      </c>
      <c r="S3" s="182" t="s">
        <v>336</v>
      </c>
      <c r="T3" s="182" t="s">
        <v>337</v>
      </c>
      <c r="U3" s="16"/>
      <c r="V3" s="16"/>
      <c r="W3" s="16"/>
      <c r="X3" s="16"/>
      <c r="Y3" s="16"/>
      <c r="Z3" s="16"/>
      <c r="AA3" s="16"/>
    </row>
    <row r="4" spans="1:27" ht="15.75">
      <c r="A4" s="115">
        <v>1</v>
      </c>
      <c r="B4" s="116" t="s">
        <v>257</v>
      </c>
      <c r="C4" s="116" t="s">
        <v>770</v>
      </c>
      <c r="D4" s="116" t="s">
        <v>1445</v>
      </c>
      <c r="E4" s="116" t="s">
        <v>260</v>
      </c>
      <c r="F4" s="116" t="s">
        <v>261</v>
      </c>
      <c r="G4" s="116" t="s">
        <v>1093</v>
      </c>
      <c r="H4" s="116">
        <v>96292</v>
      </c>
      <c r="I4" s="116" t="s">
        <v>1446</v>
      </c>
      <c r="J4" s="116" t="s">
        <v>1093</v>
      </c>
      <c r="K4" s="116" t="s">
        <v>1447</v>
      </c>
      <c r="L4" s="16"/>
      <c r="M4" s="182"/>
      <c r="N4" s="182"/>
      <c r="O4" s="182"/>
      <c r="P4" s="182"/>
      <c r="Q4" s="182"/>
      <c r="R4" s="182" t="s">
        <v>384</v>
      </c>
      <c r="S4" s="182"/>
      <c r="T4" s="182"/>
      <c r="U4" s="16"/>
      <c r="V4" s="16"/>
      <c r="W4" s="16"/>
      <c r="X4" s="16"/>
      <c r="Y4" s="16"/>
      <c r="Z4" s="16"/>
      <c r="AA4" s="16"/>
    </row>
    <row r="5" spans="1:27" ht="15.75">
      <c r="A5" s="115">
        <v>2</v>
      </c>
      <c r="B5" s="116" t="s">
        <v>709</v>
      </c>
      <c r="C5" s="116" t="s">
        <v>258</v>
      </c>
      <c r="D5" s="116" t="s">
        <v>1448</v>
      </c>
      <c r="E5" s="116" t="s">
        <v>260</v>
      </c>
      <c r="F5" s="116" t="s">
        <v>1093</v>
      </c>
      <c r="G5" s="116" t="s">
        <v>1449</v>
      </c>
      <c r="H5" s="116" t="s">
        <v>1450</v>
      </c>
      <c r="I5" s="116" t="s">
        <v>1093</v>
      </c>
      <c r="J5" s="116" t="s">
        <v>1093</v>
      </c>
      <c r="K5" s="116" t="s">
        <v>1451</v>
      </c>
      <c r="L5" s="16"/>
      <c r="M5" s="182"/>
      <c r="N5" s="182"/>
      <c r="O5" s="182"/>
      <c r="P5" s="182"/>
      <c r="Q5" s="182" t="s">
        <v>341</v>
      </c>
      <c r="R5" s="182" t="s">
        <v>55</v>
      </c>
      <c r="S5" s="182" t="s">
        <v>342</v>
      </c>
      <c r="T5" s="182"/>
      <c r="U5" s="16"/>
      <c r="V5" s="16"/>
      <c r="W5" s="16"/>
      <c r="X5" s="16"/>
      <c r="Y5" s="16"/>
      <c r="Z5" s="16"/>
      <c r="AA5" s="16"/>
    </row>
    <row r="6" spans="1:27" ht="118.5">
      <c r="A6" s="115">
        <v>3</v>
      </c>
      <c r="B6" s="116" t="s">
        <v>1452</v>
      </c>
      <c r="C6" s="116" t="s">
        <v>291</v>
      </c>
      <c r="D6" s="116" t="s">
        <v>1453</v>
      </c>
      <c r="E6" s="116" t="s">
        <v>260</v>
      </c>
      <c r="F6" s="116" t="s">
        <v>1093</v>
      </c>
      <c r="G6" s="116" t="s">
        <v>1454</v>
      </c>
      <c r="H6" s="116">
        <v>256890028160</v>
      </c>
      <c r="I6" s="116" t="s">
        <v>1093</v>
      </c>
      <c r="J6" s="116" t="s">
        <v>1093</v>
      </c>
      <c r="K6" s="116" t="s">
        <v>1455</v>
      </c>
      <c r="L6" s="16"/>
      <c r="M6" s="182" t="s">
        <v>363</v>
      </c>
      <c r="N6" s="182" t="s">
        <v>363</v>
      </c>
      <c r="O6" s="184" t="s">
        <v>1456</v>
      </c>
      <c r="P6" s="184" t="s">
        <v>1457</v>
      </c>
      <c r="Q6" s="182" t="s">
        <v>341</v>
      </c>
      <c r="R6" s="182" t="s">
        <v>55</v>
      </c>
      <c r="S6" s="182" t="s">
        <v>1458</v>
      </c>
      <c r="T6" s="182"/>
      <c r="U6" s="16"/>
      <c r="V6" s="16"/>
      <c r="W6" s="16"/>
      <c r="X6" s="16"/>
      <c r="Y6" s="16"/>
      <c r="Z6" s="16"/>
      <c r="AA6" s="16"/>
    </row>
    <row r="7" spans="1:27" ht="15.75">
      <c r="A7" s="115">
        <v>4</v>
      </c>
      <c r="B7" s="116" t="s">
        <v>1416</v>
      </c>
      <c r="C7" s="116" t="s">
        <v>258</v>
      </c>
      <c r="D7" s="116" t="s">
        <v>1459</v>
      </c>
      <c r="E7" s="116" t="s">
        <v>260</v>
      </c>
      <c r="F7" s="116" t="s">
        <v>1093</v>
      </c>
      <c r="G7" s="116" t="s">
        <v>1460</v>
      </c>
      <c r="H7" s="116" t="s">
        <v>1450</v>
      </c>
      <c r="I7" s="116" t="s">
        <v>1093</v>
      </c>
      <c r="J7" s="116" t="s">
        <v>1093</v>
      </c>
      <c r="K7" s="116" t="s">
        <v>1461</v>
      </c>
      <c r="L7" s="16"/>
      <c r="M7" s="182"/>
      <c r="N7" s="182"/>
      <c r="O7" s="182"/>
      <c r="P7" s="182"/>
      <c r="Q7" s="182" t="s">
        <v>341</v>
      </c>
      <c r="R7" s="182" t="s">
        <v>55</v>
      </c>
      <c r="S7" s="182" t="s">
        <v>1462</v>
      </c>
      <c r="T7" s="182"/>
      <c r="U7" s="16"/>
      <c r="V7" s="16"/>
      <c r="W7" s="16"/>
      <c r="X7" s="16"/>
      <c r="Y7" s="16"/>
      <c r="Z7" s="16"/>
      <c r="AA7" s="16"/>
    </row>
    <row r="8" spans="1:27" ht="130.5">
      <c r="A8" s="115">
        <v>5</v>
      </c>
      <c r="B8" s="116" t="s">
        <v>1079</v>
      </c>
      <c r="C8" s="116" t="s">
        <v>453</v>
      </c>
      <c r="D8" s="116" t="s">
        <v>1080</v>
      </c>
      <c r="E8" s="116" t="s">
        <v>260</v>
      </c>
      <c r="F8" s="116" t="s">
        <v>1093</v>
      </c>
      <c r="G8" s="116" t="s">
        <v>1093</v>
      </c>
      <c r="H8" s="116" t="s">
        <v>1081</v>
      </c>
      <c r="I8" s="116" t="s">
        <v>1093</v>
      </c>
      <c r="J8" s="116" t="s">
        <v>1463</v>
      </c>
      <c r="K8" s="116" t="s">
        <v>1093</v>
      </c>
      <c r="L8" s="16"/>
      <c r="M8" s="182" t="s">
        <v>363</v>
      </c>
      <c r="N8" s="182" t="s">
        <v>363</v>
      </c>
      <c r="O8" s="184" t="s">
        <v>1464</v>
      </c>
      <c r="P8" s="184" t="s">
        <v>1465</v>
      </c>
      <c r="Q8" s="182"/>
      <c r="R8" s="182" t="s">
        <v>384</v>
      </c>
      <c r="S8" s="182"/>
      <c r="T8" s="182"/>
      <c r="U8" s="16"/>
      <c r="V8" s="16"/>
      <c r="W8" s="16"/>
      <c r="X8" s="16"/>
      <c r="Y8" s="16"/>
      <c r="Z8" s="16"/>
      <c r="AA8" s="16"/>
    </row>
    <row r="9" spans="1:27" ht="142.5">
      <c r="A9" s="115">
        <v>6</v>
      </c>
      <c r="B9" s="116" t="s">
        <v>1073</v>
      </c>
      <c r="C9" s="116" t="s">
        <v>387</v>
      </c>
      <c r="D9" s="116" t="s">
        <v>1466</v>
      </c>
      <c r="E9" s="116" t="s">
        <v>260</v>
      </c>
      <c r="F9" s="116" t="s">
        <v>1093</v>
      </c>
      <c r="G9" s="116" t="s">
        <v>1093</v>
      </c>
      <c r="H9" s="116" t="s">
        <v>1467</v>
      </c>
      <c r="I9" s="116" t="s">
        <v>1093</v>
      </c>
      <c r="J9" s="116" t="s">
        <v>1093</v>
      </c>
      <c r="K9" s="116" t="s">
        <v>1093</v>
      </c>
      <c r="L9" s="16"/>
      <c r="M9" s="182" t="s">
        <v>363</v>
      </c>
      <c r="N9" s="182" t="s">
        <v>363</v>
      </c>
      <c r="O9" s="184" t="s">
        <v>1468</v>
      </c>
      <c r="P9" s="184" t="s">
        <v>1469</v>
      </c>
      <c r="Q9" s="182"/>
      <c r="R9" s="182" t="s">
        <v>384</v>
      </c>
      <c r="S9" s="182"/>
      <c r="T9" s="182"/>
      <c r="U9" s="16"/>
      <c r="V9" s="16"/>
      <c r="W9" s="16"/>
      <c r="X9" s="16"/>
      <c r="Y9" s="16"/>
      <c r="Z9" s="16"/>
      <c r="AA9" s="16"/>
    </row>
    <row r="10" spans="1:27" ht="130.5">
      <c r="A10" s="115">
        <v>7</v>
      </c>
      <c r="B10" s="116" t="s">
        <v>1086</v>
      </c>
      <c r="C10" s="116" t="s">
        <v>782</v>
      </c>
      <c r="D10" s="116" t="s">
        <v>1470</v>
      </c>
      <c r="E10" s="116" t="s">
        <v>260</v>
      </c>
      <c r="F10" s="116" t="s">
        <v>1093</v>
      </c>
      <c r="G10" s="116" t="s">
        <v>1093</v>
      </c>
      <c r="H10" s="116" t="s">
        <v>1471</v>
      </c>
      <c r="I10" s="116" t="s">
        <v>1093</v>
      </c>
      <c r="J10" s="116" t="s">
        <v>1093</v>
      </c>
      <c r="K10" s="116" t="s">
        <v>1093</v>
      </c>
      <c r="L10" s="16"/>
      <c r="M10" s="182" t="s">
        <v>363</v>
      </c>
      <c r="N10" s="182" t="s">
        <v>363</v>
      </c>
      <c r="O10" s="184" t="s">
        <v>1464</v>
      </c>
      <c r="P10" s="184" t="s">
        <v>1465</v>
      </c>
      <c r="Q10" s="182"/>
      <c r="R10" s="182" t="s">
        <v>384</v>
      </c>
      <c r="S10" s="182"/>
      <c r="T10" s="182"/>
      <c r="U10" s="16"/>
      <c r="V10" s="16"/>
      <c r="W10" s="16"/>
      <c r="X10" s="16"/>
      <c r="Y10" s="16"/>
      <c r="Z10" s="16"/>
      <c r="AA10" s="16"/>
    </row>
    <row r="11" spans="1:27" ht="96">
      <c r="A11" s="115">
        <v>8</v>
      </c>
      <c r="B11" s="116" t="s">
        <v>1091</v>
      </c>
      <c r="C11" s="116" t="s">
        <v>782</v>
      </c>
      <c r="D11" s="116" t="s">
        <v>1472</v>
      </c>
      <c r="E11" s="116" t="s">
        <v>260</v>
      </c>
      <c r="F11" s="116" t="s">
        <v>1093</v>
      </c>
      <c r="G11" s="116" t="s">
        <v>1093</v>
      </c>
      <c r="H11" s="116" t="s">
        <v>1473</v>
      </c>
      <c r="I11" s="116" t="s">
        <v>1093</v>
      </c>
      <c r="J11" s="116" t="s">
        <v>1093</v>
      </c>
      <c r="K11" s="116" t="s">
        <v>1093</v>
      </c>
      <c r="L11" s="16"/>
      <c r="M11" s="182" t="s">
        <v>363</v>
      </c>
      <c r="N11" s="182" t="s">
        <v>363</v>
      </c>
      <c r="O11" s="184" t="s">
        <v>1298</v>
      </c>
      <c r="P11" s="182" t="s">
        <v>1299</v>
      </c>
      <c r="Q11" s="182"/>
      <c r="R11" s="182" t="s">
        <v>384</v>
      </c>
      <c r="S11" s="182"/>
      <c r="T11" s="182"/>
      <c r="U11" s="16"/>
      <c r="V11" s="16"/>
      <c r="W11" s="16"/>
      <c r="X11" s="16"/>
      <c r="Y11" s="16"/>
      <c r="Z11" s="16"/>
      <c r="AA11" s="16"/>
    </row>
    <row r="12" spans="1:27" ht="118.5">
      <c r="A12" s="115">
        <v>9</v>
      </c>
      <c r="B12" s="116" t="s">
        <v>1096</v>
      </c>
      <c r="C12" s="116" t="s">
        <v>387</v>
      </c>
      <c r="D12" s="116" t="s">
        <v>1474</v>
      </c>
      <c r="E12" s="116" t="s">
        <v>260</v>
      </c>
      <c r="F12" s="116" t="s">
        <v>1093</v>
      </c>
      <c r="G12" s="116" t="s">
        <v>1093</v>
      </c>
      <c r="H12" s="116" t="s">
        <v>1081</v>
      </c>
      <c r="I12" s="116" t="s">
        <v>1093</v>
      </c>
      <c r="J12" s="116" t="s">
        <v>1475</v>
      </c>
      <c r="K12" s="116" t="s">
        <v>1093</v>
      </c>
      <c r="L12" s="16"/>
      <c r="M12" s="182" t="s">
        <v>363</v>
      </c>
      <c r="N12" s="182" t="s">
        <v>363</v>
      </c>
      <c r="O12" s="184" t="s">
        <v>1456</v>
      </c>
      <c r="P12" s="184" t="s">
        <v>1457</v>
      </c>
      <c r="Q12" s="182"/>
      <c r="R12" s="182" t="s">
        <v>384</v>
      </c>
      <c r="S12" s="182"/>
      <c r="T12" s="182"/>
      <c r="U12" s="16"/>
      <c r="V12" s="16"/>
      <c r="W12" s="16"/>
      <c r="X12" s="16"/>
      <c r="Y12" s="16"/>
      <c r="Z12" s="16"/>
      <c r="AA12" s="16"/>
    </row>
    <row r="13" spans="1:27" ht="15.75">
      <c r="A13" s="115">
        <v>10</v>
      </c>
      <c r="B13" s="116" t="s">
        <v>344</v>
      </c>
      <c r="C13" s="116" t="s">
        <v>266</v>
      </c>
      <c r="D13" s="116" t="s">
        <v>1476</v>
      </c>
      <c r="E13" s="116" t="s">
        <v>260</v>
      </c>
      <c r="F13" s="116" t="s">
        <v>1093</v>
      </c>
      <c r="G13" s="116" t="s">
        <v>1093</v>
      </c>
      <c r="H13" s="116">
        <v>652521</v>
      </c>
      <c r="I13" s="116" t="s">
        <v>1093</v>
      </c>
      <c r="J13" s="116" t="s">
        <v>1093</v>
      </c>
      <c r="K13" s="116" t="s">
        <v>1477</v>
      </c>
      <c r="L13" s="16"/>
      <c r="M13" s="182"/>
      <c r="N13" s="182"/>
      <c r="O13" s="182"/>
      <c r="P13" s="182"/>
      <c r="Q13" s="182" t="s">
        <v>341</v>
      </c>
      <c r="R13" s="182" t="s">
        <v>55</v>
      </c>
      <c r="S13" s="182" t="s">
        <v>348</v>
      </c>
      <c r="T13" s="182"/>
      <c r="U13" s="16"/>
      <c r="V13" s="16"/>
      <c r="W13" s="16"/>
      <c r="X13" s="16"/>
      <c r="Y13" s="16"/>
      <c r="Z13" s="16"/>
      <c r="AA13" s="16"/>
    </row>
    <row r="14" spans="1:27" ht="96">
      <c r="A14" s="115">
        <v>11</v>
      </c>
      <c r="B14" s="116" t="s">
        <v>1478</v>
      </c>
      <c r="C14" s="116" t="s">
        <v>271</v>
      </c>
      <c r="D14" s="116" t="s">
        <v>1479</v>
      </c>
      <c r="E14" s="116" t="s">
        <v>260</v>
      </c>
      <c r="F14" s="116" t="s">
        <v>1093</v>
      </c>
      <c r="G14" s="116" t="s">
        <v>1093</v>
      </c>
      <c r="H14" s="116" t="s">
        <v>417</v>
      </c>
      <c r="I14" s="116" t="s">
        <v>1093</v>
      </c>
      <c r="J14" s="116" t="s">
        <v>1093</v>
      </c>
      <c r="K14" s="116" t="s">
        <v>1093</v>
      </c>
      <c r="L14" s="16"/>
      <c r="M14" s="182" t="s">
        <v>363</v>
      </c>
      <c r="N14" s="182" t="s">
        <v>363</v>
      </c>
      <c r="O14" s="184" t="s">
        <v>1298</v>
      </c>
      <c r="P14" s="182" t="s">
        <v>1299</v>
      </c>
      <c r="Q14" s="182"/>
      <c r="R14" s="182" t="s">
        <v>384</v>
      </c>
      <c r="S14" s="182"/>
      <c r="T14" s="182"/>
      <c r="U14" s="16"/>
      <c r="V14" s="16"/>
      <c r="W14" s="16"/>
      <c r="X14" s="16"/>
      <c r="Y14" s="16"/>
      <c r="Z14" s="16"/>
      <c r="AA14" s="16"/>
    </row>
    <row r="15" spans="1:27" ht="96">
      <c r="A15" s="115">
        <v>12</v>
      </c>
      <c r="B15" s="116" t="s">
        <v>1480</v>
      </c>
      <c r="C15" s="116" t="s">
        <v>271</v>
      </c>
      <c r="D15" s="116" t="s">
        <v>1481</v>
      </c>
      <c r="E15" s="116" t="s">
        <v>260</v>
      </c>
      <c r="F15" s="116" t="s">
        <v>1093</v>
      </c>
      <c r="G15" s="116" t="s">
        <v>1093</v>
      </c>
      <c r="H15" s="116" t="s">
        <v>1482</v>
      </c>
      <c r="I15" s="116" t="s">
        <v>1093</v>
      </c>
      <c r="J15" s="116" t="s">
        <v>1093</v>
      </c>
      <c r="K15" s="116" t="s">
        <v>1483</v>
      </c>
      <c r="L15" s="16"/>
      <c r="M15" s="182" t="s">
        <v>363</v>
      </c>
      <c r="N15" s="182" t="s">
        <v>363</v>
      </c>
      <c r="O15" s="184" t="s">
        <v>1298</v>
      </c>
      <c r="P15" s="182" t="s">
        <v>1299</v>
      </c>
      <c r="Q15" s="182" t="s">
        <v>341</v>
      </c>
      <c r="R15" s="182" t="s">
        <v>55</v>
      </c>
      <c r="S15" s="182" t="s">
        <v>1484</v>
      </c>
      <c r="T15" s="182"/>
      <c r="U15" s="16"/>
      <c r="V15" s="16"/>
      <c r="W15" s="16"/>
      <c r="X15" s="16"/>
      <c r="Y15" s="16"/>
      <c r="Z15" s="16"/>
      <c r="AA15" s="16"/>
    </row>
    <row r="16" spans="1:27" ht="15.75">
      <c r="A16" s="115">
        <v>13</v>
      </c>
      <c r="B16" s="116" t="s">
        <v>1485</v>
      </c>
      <c r="C16" s="116" t="s">
        <v>266</v>
      </c>
      <c r="D16" s="116" t="s">
        <v>1486</v>
      </c>
      <c r="E16" s="116" t="s">
        <v>284</v>
      </c>
      <c r="F16" s="116" t="s">
        <v>1093</v>
      </c>
      <c r="G16" s="116" t="s">
        <v>1093</v>
      </c>
      <c r="H16" s="116" t="s">
        <v>1487</v>
      </c>
      <c r="I16" s="116" t="s">
        <v>1093</v>
      </c>
      <c r="J16" s="116" t="s">
        <v>1093</v>
      </c>
      <c r="K16" s="116" t="s">
        <v>1093</v>
      </c>
      <c r="L16" s="16"/>
      <c r="M16" s="182"/>
      <c r="N16" s="182"/>
      <c r="O16" s="182"/>
      <c r="P16" s="182"/>
      <c r="Q16" s="182" t="s">
        <v>341</v>
      </c>
      <c r="R16" s="182" t="s">
        <v>55</v>
      </c>
      <c r="S16" s="182" t="s">
        <v>348</v>
      </c>
      <c r="T16" s="182"/>
      <c r="U16" s="16"/>
      <c r="V16" s="16"/>
      <c r="W16" s="16"/>
      <c r="X16" s="16"/>
      <c r="Y16" s="16"/>
      <c r="Z16" s="16"/>
      <c r="AA16" s="16"/>
    </row>
    <row r="17" spans="1:27" ht="96">
      <c r="A17" s="115">
        <v>14</v>
      </c>
      <c r="B17" s="116" t="s">
        <v>1488</v>
      </c>
      <c r="C17" s="116" t="s">
        <v>266</v>
      </c>
      <c r="D17" s="116" t="s">
        <v>1489</v>
      </c>
      <c r="E17" s="116" t="s">
        <v>284</v>
      </c>
      <c r="F17" s="116" t="s">
        <v>1093</v>
      </c>
      <c r="G17" s="116" t="s">
        <v>1093</v>
      </c>
      <c r="H17" s="116">
        <v>12345</v>
      </c>
      <c r="I17" s="116" t="s">
        <v>1093</v>
      </c>
      <c r="J17" s="116" t="s">
        <v>1093</v>
      </c>
      <c r="K17" s="116" t="s">
        <v>1093</v>
      </c>
      <c r="L17" s="16"/>
      <c r="M17" s="182" t="s">
        <v>363</v>
      </c>
      <c r="N17" s="182" t="s">
        <v>363</v>
      </c>
      <c r="O17" s="184" t="s">
        <v>1298</v>
      </c>
      <c r="P17" s="182" t="s">
        <v>1299</v>
      </c>
      <c r="Q17" s="182"/>
      <c r="R17" s="182" t="s">
        <v>384</v>
      </c>
      <c r="S17" s="182"/>
      <c r="T17" s="182"/>
      <c r="U17" s="16"/>
      <c r="V17" s="16"/>
      <c r="W17" s="16"/>
      <c r="X17" s="16"/>
      <c r="Y17" s="16"/>
      <c r="Z17" s="16"/>
      <c r="AA17" s="16"/>
    </row>
    <row r="18" spans="1:27" ht="96">
      <c r="A18" s="115">
        <v>15</v>
      </c>
      <c r="B18" s="116" t="s">
        <v>1490</v>
      </c>
      <c r="C18" s="116" t="s">
        <v>266</v>
      </c>
      <c r="D18" s="116" t="s">
        <v>1491</v>
      </c>
      <c r="E18" s="116" t="s">
        <v>284</v>
      </c>
      <c r="F18" s="116" t="s">
        <v>1093</v>
      </c>
      <c r="G18" s="116" t="s">
        <v>1093</v>
      </c>
      <c r="H18" s="116">
        <v>5123213245</v>
      </c>
      <c r="I18" s="116" t="s">
        <v>1093</v>
      </c>
      <c r="J18" s="116" t="s">
        <v>1093</v>
      </c>
      <c r="K18" s="116" t="s">
        <v>1093</v>
      </c>
      <c r="L18" s="16"/>
      <c r="M18" s="182" t="s">
        <v>363</v>
      </c>
      <c r="N18" s="182" t="s">
        <v>363</v>
      </c>
      <c r="O18" s="184" t="s">
        <v>1298</v>
      </c>
      <c r="P18" s="182" t="s">
        <v>1299</v>
      </c>
      <c r="Q18" s="182"/>
      <c r="R18" s="182" t="s">
        <v>384</v>
      </c>
      <c r="S18" s="182"/>
      <c r="T18" s="182"/>
      <c r="U18" s="16"/>
      <c r="V18" s="16"/>
      <c r="W18" s="16"/>
      <c r="X18" s="16"/>
      <c r="Y18" s="16"/>
      <c r="Z18" s="16"/>
      <c r="AA18" s="16"/>
    </row>
    <row r="19" spans="1:27" ht="96">
      <c r="A19" s="115">
        <v>16</v>
      </c>
      <c r="B19" s="116" t="s">
        <v>1492</v>
      </c>
      <c r="C19" s="116" t="s">
        <v>266</v>
      </c>
      <c r="D19" s="116" t="s">
        <v>1493</v>
      </c>
      <c r="E19" s="116" t="s">
        <v>284</v>
      </c>
      <c r="F19" s="116" t="s">
        <v>1093</v>
      </c>
      <c r="G19" s="116" t="s">
        <v>1093</v>
      </c>
      <c r="H19" s="116">
        <v>571</v>
      </c>
      <c r="I19" s="116" t="s">
        <v>1093</v>
      </c>
      <c r="J19" s="116" t="s">
        <v>1093</v>
      </c>
      <c r="K19" s="116" t="s">
        <v>1093</v>
      </c>
      <c r="L19" s="16"/>
      <c r="M19" s="182" t="s">
        <v>363</v>
      </c>
      <c r="N19" s="182" t="s">
        <v>363</v>
      </c>
      <c r="O19" s="184" t="s">
        <v>1298</v>
      </c>
      <c r="P19" s="182" t="s">
        <v>1299</v>
      </c>
      <c r="Q19" s="182"/>
      <c r="R19" s="182" t="s">
        <v>384</v>
      </c>
      <c r="S19" s="182"/>
      <c r="T19" s="182"/>
      <c r="U19" s="16"/>
      <c r="V19" s="16"/>
      <c r="W19" s="16"/>
      <c r="X19" s="16"/>
      <c r="Y19" s="16"/>
      <c r="Z19" s="16"/>
      <c r="AA19" s="16"/>
    </row>
    <row r="20" spans="1:27" ht="96">
      <c r="A20" s="115">
        <v>17</v>
      </c>
      <c r="B20" s="116" t="s">
        <v>1494</v>
      </c>
      <c r="C20" s="116" t="s">
        <v>271</v>
      </c>
      <c r="D20" s="116" t="s">
        <v>1495</v>
      </c>
      <c r="E20" s="116" t="s">
        <v>284</v>
      </c>
      <c r="F20" s="116" t="s">
        <v>1093</v>
      </c>
      <c r="G20" s="116" t="s">
        <v>1093</v>
      </c>
      <c r="H20" s="116" t="s">
        <v>1496</v>
      </c>
      <c r="I20" s="116" t="s">
        <v>1093</v>
      </c>
      <c r="J20" s="116" t="s">
        <v>1093</v>
      </c>
      <c r="K20" s="116" t="s">
        <v>1093</v>
      </c>
      <c r="L20" s="16"/>
      <c r="M20" s="182" t="s">
        <v>363</v>
      </c>
      <c r="N20" s="182" t="s">
        <v>363</v>
      </c>
      <c r="O20" s="184" t="s">
        <v>1298</v>
      </c>
      <c r="P20" s="182" t="s">
        <v>1299</v>
      </c>
      <c r="Q20" s="182"/>
      <c r="R20" s="182" t="s">
        <v>384</v>
      </c>
      <c r="S20" s="182"/>
      <c r="T20" s="182"/>
      <c r="U20" s="16"/>
      <c r="V20" s="16"/>
      <c r="W20" s="16"/>
      <c r="X20" s="16"/>
      <c r="Y20" s="16"/>
      <c r="Z20" s="16"/>
      <c r="AA20" s="16"/>
    </row>
    <row r="21" spans="1:27" ht="15.75">
      <c r="A21" s="115">
        <v>18</v>
      </c>
      <c r="B21" s="116" t="s">
        <v>1497</v>
      </c>
      <c r="C21" s="116" t="s">
        <v>266</v>
      </c>
      <c r="D21" s="116" t="s">
        <v>1498</v>
      </c>
      <c r="E21" s="116" t="s">
        <v>284</v>
      </c>
      <c r="F21" s="116" t="s">
        <v>1093</v>
      </c>
      <c r="G21" s="116" t="s">
        <v>1093</v>
      </c>
      <c r="H21" s="116">
        <v>652521</v>
      </c>
      <c r="I21" s="116" t="s">
        <v>1093</v>
      </c>
      <c r="J21" s="116" t="s">
        <v>1093</v>
      </c>
      <c r="K21" s="116" t="s">
        <v>1093</v>
      </c>
      <c r="L21" s="16"/>
      <c r="M21" s="182"/>
      <c r="N21" s="182"/>
      <c r="O21" s="182"/>
      <c r="P21" s="182"/>
      <c r="Q21" s="182" t="s">
        <v>341</v>
      </c>
      <c r="R21" s="182" t="s">
        <v>55</v>
      </c>
      <c r="S21" s="182" t="s">
        <v>348</v>
      </c>
      <c r="T21" s="182"/>
      <c r="U21" s="16"/>
      <c r="V21" s="16"/>
      <c r="W21" s="16"/>
      <c r="X21" s="16"/>
      <c r="Y21" s="16"/>
      <c r="Z21" s="16"/>
      <c r="AA21" s="16"/>
    </row>
    <row r="22" spans="1:27" ht="15.75">
      <c r="A22" s="115">
        <v>19</v>
      </c>
      <c r="B22" s="116" t="s">
        <v>1499</v>
      </c>
      <c r="C22" s="116" t="s">
        <v>266</v>
      </c>
      <c r="D22" s="116" t="s">
        <v>1500</v>
      </c>
      <c r="E22" s="116" t="s">
        <v>284</v>
      </c>
      <c r="F22" s="116" t="s">
        <v>1093</v>
      </c>
      <c r="G22" s="116" t="s">
        <v>1093</v>
      </c>
      <c r="H22" s="116" t="s">
        <v>1501</v>
      </c>
      <c r="I22" s="116" t="s">
        <v>1093</v>
      </c>
      <c r="J22" s="116" t="s">
        <v>1093</v>
      </c>
      <c r="K22" s="116" t="s">
        <v>1093</v>
      </c>
      <c r="L22" s="16"/>
      <c r="M22" s="182"/>
      <c r="N22" s="182"/>
      <c r="O22" s="182"/>
      <c r="P22" s="182"/>
      <c r="Q22" s="182"/>
      <c r="R22" s="182" t="s">
        <v>384</v>
      </c>
      <c r="S22" s="182"/>
      <c r="T22" s="182"/>
      <c r="U22" s="16"/>
      <c r="V22" s="16"/>
      <c r="W22" s="16"/>
      <c r="X22" s="16"/>
      <c r="Y22" s="16"/>
      <c r="Z22" s="16"/>
      <c r="AA22" s="16"/>
    </row>
    <row r="23" spans="1:27" ht="96">
      <c r="A23" s="115">
        <v>20</v>
      </c>
      <c r="B23" s="116" t="s">
        <v>1502</v>
      </c>
      <c r="C23" s="116" t="s">
        <v>271</v>
      </c>
      <c r="D23" s="116" t="s">
        <v>1503</v>
      </c>
      <c r="E23" s="116" t="s">
        <v>284</v>
      </c>
      <c r="F23" s="116" t="s">
        <v>1093</v>
      </c>
      <c r="G23" s="116" t="s">
        <v>1093</v>
      </c>
      <c r="H23" s="116" t="s">
        <v>1504</v>
      </c>
      <c r="I23" s="116" t="s">
        <v>1093</v>
      </c>
      <c r="J23" s="116" t="s">
        <v>1093</v>
      </c>
      <c r="K23" s="116" t="s">
        <v>1093</v>
      </c>
      <c r="L23" s="16"/>
      <c r="M23" s="182" t="s">
        <v>363</v>
      </c>
      <c r="N23" s="182" t="s">
        <v>363</v>
      </c>
      <c r="O23" s="184" t="s">
        <v>1298</v>
      </c>
      <c r="P23" s="182" t="s">
        <v>1299</v>
      </c>
      <c r="Q23" s="182"/>
      <c r="R23" s="182" t="s">
        <v>384</v>
      </c>
      <c r="S23" s="182"/>
      <c r="T23" s="182"/>
      <c r="U23" s="16"/>
      <c r="V23" s="16"/>
      <c r="W23" s="16"/>
      <c r="X23" s="16"/>
      <c r="Y23" s="16"/>
      <c r="Z23" s="16"/>
      <c r="AA23" s="16"/>
    </row>
    <row r="24" spans="1:27" ht="15.75">
      <c r="A24" s="115">
        <v>21</v>
      </c>
      <c r="B24" s="116" t="s">
        <v>1505</v>
      </c>
      <c r="C24" s="116" t="s">
        <v>266</v>
      </c>
      <c r="D24" s="116" t="s">
        <v>1506</v>
      </c>
      <c r="E24" s="116" t="s">
        <v>284</v>
      </c>
      <c r="F24" s="116" t="s">
        <v>1093</v>
      </c>
      <c r="G24" s="116" t="s">
        <v>1093</v>
      </c>
      <c r="H24" s="116">
        <v>652521</v>
      </c>
      <c r="I24" s="116" t="s">
        <v>1093</v>
      </c>
      <c r="J24" s="116" t="s">
        <v>1093</v>
      </c>
      <c r="K24" s="116" t="s">
        <v>1093</v>
      </c>
      <c r="L24" s="16"/>
      <c r="M24" s="182"/>
      <c r="N24" s="182"/>
      <c r="O24" s="182"/>
      <c r="P24" s="182"/>
      <c r="Q24" s="182"/>
      <c r="R24" s="182" t="s">
        <v>384</v>
      </c>
      <c r="S24" s="182"/>
      <c r="T24" s="182"/>
      <c r="U24" s="16"/>
      <c r="V24" s="16"/>
      <c r="W24" s="16"/>
      <c r="X24" s="16"/>
      <c r="Y24" s="16"/>
      <c r="Z24" s="16"/>
      <c r="AA24" s="16"/>
    </row>
    <row r="25" spans="1:27" ht="15.75">
      <c r="A25" s="115">
        <v>22</v>
      </c>
      <c r="B25" s="116" t="s">
        <v>1507</v>
      </c>
      <c r="C25" s="116" t="s">
        <v>266</v>
      </c>
      <c r="D25" s="116" t="s">
        <v>1508</v>
      </c>
      <c r="E25" s="116" t="s">
        <v>284</v>
      </c>
      <c r="F25" s="116" t="s">
        <v>1093</v>
      </c>
      <c r="G25" s="116" t="s">
        <v>1093</v>
      </c>
      <c r="H25" s="116" t="s">
        <v>1509</v>
      </c>
      <c r="I25" s="116" t="s">
        <v>1093</v>
      </c>
      <c r="J25" s="116" t="s">
        <v>1093</v>
      </c>
      <c r="K25" s="116" t="s">
        <v>1093</v>
      </c>
      <c r="L25" s="16"/>
      <c r="M25" s="182"/>
      <c r="N25" s="182"/>
      <c r="O25" s="182"/>
      <c r="P25" s="182"/>
      <c r="Q25" s="182"/>
      <c r="R25" s="182" t="s">
        <v>384</v>
      </c>
      <c r="S25" s="182"/>
      <c r="T25" s="182"/>
      <c r="U25" s="16"/>
      <c r="V25" s="16"/>
      <c r="W25" s="16"/>
      <c r="X25" s="16"/>
      <c r="Y25" s="16"/>
      <c r="Z25" s="16"/>
      <c r="AA25" s="16"/>
    </row>
    <row r="26" spans="1:27" ht="96">
      <c r="A26" s="115">
        <v>23</v>
      </c>
      <c r="B26" s="116" t="s">
        <v>1510</v>
      </c>
      <c r="C26" s="116" t="s">
        <v>271</v>
      </c>
      <c r="D26" s="116" t="s">
        <v>1506</v>
      </c>
      <c r="E26" s="116" t="s">
        <v>284</v>
      </c>
      <c r="F26" s="116" t="s">
        <v>1093</v>
      </c>
      <c r="G26" s="116" t="s">
        <v>1093</v>
      </c>
      <c r="H26" s="116" t="s">
        <v>1504</v>
      </c>
      <c r="I26" s="116" t="s">
        <v>1093</v>
      </c>
      <c r="J26" s="116" t="s">
        <v>1093</v>
      </c>
      <c r="K26" s="116" t="s">
        <v>1093</v>
      </c>
      <c r="L26" s="16"/>
      <c r="M26" s="182" t="s">
        <v>363</v>
      </c>
      <c r="N26" s="182" t="s">
        <v>363</v>
      </c>
      <c r="O26" s="184" t="s">
        <v>1298</v>
      </c>
      <c r="P26" s="182" t="s">
        <v>1299</v>
      </c>
      <c r="Q26" s="182"/>
      <c r="R26" s="182" t="s">
        <v>384</v>
      </c>
      <c r="S26" s="182"/>
      <c r="T26" s="182"/>
      <c r="U26" s="16"/>
      <c r="V26" s="16"/>
      <c r="W26" s="16"/>
      <c r="X26" s="16"/>
      <c r="Y26" s="16"/>
      <c r="Z26" s="16"/>
      <c r="AA26" s="16"/>
    </row>
    <row r="27" spans="1:27" ht="96">
      <c r="A27" s="115">
        <v>24</v>
      </c>
      <c r="B27" s="116" t="s">
        <v>1511</v>
      </c>
      <c r="C27" s="116" t="s">
        <v>378</v>
      </c>
      <c r="D27" s="116" t="s">
        <v>1512</v>
      </c>
      <c r="E27" s="116" t="s">
        <v>284</v>
      </c>
      <c r="F27" s="116" t="s">
        <v>1093</v>
      </c>
      <c r="G27" s="116" t="s">
        <v>1093</v>
      </c>
      <c r="H27" s="116" t="s">
        <v>380</v>
      </c>
      <c r="I27" s="116" t="s">
        <v>1093</v>
      </c>
      <c r="J27" s="116" t="s">
        <v>1093</v>
      </c>
      <c r="K27" s="116" t="s">
        <v>1093</v>
      </c>
      <c r="L27" s="16"/>
      <c r="M27" s="182" t="s">
        <v>363</v>
      </c>
      <c r="N27" s="182" t="s">
        <v>363</v>
      </c>
      <c r="O27" s="184" t="s">
        <v>1298</v>
      </c>
      <c r="P27" s="182" t="s">
        <v>1299</v>
      </c>
      <c r="Q27" s="182"/>
      <c r="R27" s="182" t="s">
        <v>384</v>
      </c>
      <c r="S27" s="182"/>
      <c r="T27" s="182"/>
      <c r="U27" s="16"/>
      <c r="V27" s="16"/>
      <c r="W27" s="16"/>
      <c r="X27" s="16"/>
      <c r="Y27" s="16"/>
      <c r="Z27" s="16"/>
      <c r="AA27" s="16"/>
    </row>
    <row r="28" spans="1:27" ht="96">
      <c r="A28" s="115">
        <v>25</v>
      </c>
      <c r="B28" s="116" t="s">
        <v>1513</v>
      </c>
      <c r="C28" s="116" t="s">
        <v>271</v>
      </c>
      <c r="D28" s="116" t="s">
        <v>1514</v>
      </c>
      <c r="E28" s="116" t="s">
        <v>260</v>
      </c>
      <c r="F28" s="116" t="s">
        <v>1093</v>
      </c>
      <c r="G28" s="116" t="s">
        <v>1093</v>
      </c>
      <c r="H28" s="116" t="s">
        <v>417</v>
      </c>
      <c r="I28" s="116" t="s">
        <v>1093</v>
      </c>
      <c r="J28" s="116" t="s">
        <v>1093</v>
      </c>
      <c r="K28" s="116" t="s">
        <v>1515</v>
      </c>
      <c r="L28" s="16"/>
      <c r="M28" s="182" t="s">
        <v>363</v>
      </c>
      <c r="N28" s="182" t="s">
        <v>363</v>
      </c>
      <c r="O28" s="184" t="s">
        <v>1298</v>
      </c>
      <c r="P28" s="182" t="s">
        <v>1299</v>
      </c>
      <c r="Q28" s="182" t="s">
        <v>341</v>
      </c>
      <c r="R28" s="182" t="s">
        <v>55</v>
      </c>
      <c r="S28" s="182" t="s">
        <v>1516</v>
      </c>
      <c r="T28" s="182"/>
      <c r="U28" s="16"/>
      <c r="V28" s="16"/>
      <c r="W28" s="16"/>
      <c r="X28" s="16"/>
      <c r="Y28" s="16"/>
      <c r="Z28" s="16"/>
      <c r="AA28" s="16"/>
    </row>
    <row r="29" spans="1:27" ht="107.25">
      <c r="A29" s="115">
        <v>26</v>
      </c>
      <c r="B29" s="116" t="s">
        <v>1517</v>
      </c>
      <c r="C29" s="116" t="s">
        <v>271</v>
      </c>
      <c r="D29" s="116" t="s">
        <v>1518</v>
      </c>
      <c r="E29" s="116" t="s">
        <v>260</v>
      </c>
      <c r="F29" s="116" t="s">
        <v>1093</v>
      </c>
      <c r="G29" s="116" t="s">
        <v>1093</v>
      </c>
      <c r="H29" s="116" t="s">
        <v>1519</v>
      </c>
      <c r="I29" s="116" t="s">
        <v>1093</v>
      </c>
      <c r="J29" s="116" t="s">
        <v>1093</v>
      </c>
      <c r="K29" s="116" t="s">
        <v>1520</v>
      </c>
      <c r="L29" s="16"/>
      <c r="M29" s="182" t="s">
        <v>363</v>
      </c>
      <c r="N29" s="182" t="s">
        <v>363</v>
      </c>
      <c r="O29" s="184" t="s">
        <v>1521</v>
      </c>
      <c r="P29" s="184" t="s">
        <v>1522</v>
      </c>
      <c r="Q29" s="182" t="s">
        <v>341</v>
      </c>
      <c r="R29" s="182" t="s">
        <v>55</v>
      </c>
      <c r="S29" s="182" t="s">
        <v>1523</v>
      </c>
      <c r="T29" s="182"/>
      <c r="U29" s="16"/>
      <c r="V29" s="16"/>
      <c r="W29" s="16"/>
      <c r="X29" s="16"/>
      <c r="Y29" s="16"/>
      <c r="Z29" s="16"/>
      <c r="AA29" s="16"/>
    </row>
    <row r="30" spans="1:27" ht="107.25">
      <c r="A30" s="115">
        <v>27</v>
      </c>
      <c r="B30" s="116" t="s">
        <v>1524</v>
      </c>
      <c r="C30" s="116" t="s">
        <v>271</v>
      </c>
      <c r="D30" s="116" t="s">
        <v>1525</v>
      </c>
      <c r="E30" s="116" t="s">
        <v>284</v>
      </c>
      <c r="F30" s="116" t="s">
        <v>1093</v>
      </c>
      <c r="G30" s="116" t="s">
        <v>1093</v>
      </c>
      <c r="H30" s="116" t="s">
        <v>1519</v>
      </c>
      <c r="I30" s="116" t="s">
        <v>1093</v>
      </c>
      <c r="J30" s="116" t="s">
        <v>1093</v>
      </c>
      <c r="K30" s="116" t="s">
        <v>1526</v>
      </c>
      <c r="L30" s="16"/>
      <c r="M30" s="182" t="s">
        <v>363</v>
      </c>
      <c r="N30" s="182" t="s">
        <v>363</v>
      </c>
      <c r="O30" s="184" t="s">
        <v>1521</v>
      </c>
      <c r="P30" s="184" t="s">
        <v>1522</v>
      </c>
      <c r="Q30" s="182" t="s">
        <v>341</v>
      </c>
      <c r="R30" s="182" t="s">
        <v>55</v>
      </c>
      <c r="S30" s="182" t="s">
        <v>1527</v>
      </c>
      <c r="T30" s="182"/>
      <c r="U30" s="16"/>
      <c r="V30" s="16"/>
      <c r="W30" s="16"/>
      <c r="X30" s="16"/>
      <c r="Y30" s="16"/>
      <c r="Z30" s="16"/>
      <c r="AA30" s="16"/>
    </row>
    <row r="31" spans="1:27" ht="15.75">
      <c r="A31" s="115">
        <v>28</v>
      </c>
      <c r="B31" s="116" t="s">
        <v>1528</v>
      </c>
      <c r="C31" s="116" t="s">
        <v>271</v>
      </c>
      <c r="D31" s="116" t="s">
        <v>1529</v>
      </c>
      <c r="E31" s="116" t="s">
        <v>284</v>
      </c>
      <c r="F31" s="116" t="s">
        <v>1093</v>
      </c>
      <c r="G31" s="116" t="s">
        <v>1093</v>
      </c>
      <c r="H31" s="116">
        <v>1</v>
      </c>
      <c r="I31" s="116" t="s">
        <v>1093</v>
      </c>
      <c r="J31" s="116" t="s">
        <v>1093</v>
      </c>
      <c r="K31" s="116" t="s">
        <v>1093</v>
      </c>
      <c r="L31" s="16"/>
      <c r="M31" s="182"/>
      <c r="N31" s="182"/>
      <c r="O31" s="182"/>
      <c r="P31" s="182"/>
      <c r="Q31" s="182"/>
      <c r="R31" s="182" t="s">
        <v>384</v>
      </c>
      <c r="S31" s="182"/>
      <c r="T31" s="182"/>
      <c r="U31" s="16"/>
      <c r="V31" s="16"/>
      <c r="W31" s="16"/>
      <c r="X31" s="16"/>
      <c r="Y31" s="16"/>
      <c r="Z31" s="16"/>
      <c r="AA31" s="16"/>
    </row>
    <row r="32" spans="1:27" ht="15.75">
      <c r="A32" s="115">
        <v>29</v>
      </c>
      <c r="B32" s="116" t="s">
        <v>1530</v>
      </c>
      <c r="C32" s="116" t="s">
        <v>271</v>
      </c>
      <c r="D32" s="116" t="s">
        <v>1531</v>
      </c>
      <c r="E32" s="116" t="s">
        <v>284</v>
      </c>
      <c r="F32" s="116" t="s">
        <v>1093</v>
      </c>
      <c r="G32" s="116" t="s">
        <v>1093</v>
      </c>
      <c r="H32" s="116" t="s">
        <v>417</v>
      </c>
      <c r="I32" s="116" t="s">
        <v>1093</v>
      </c>
      <c r="J32" s="116" t="s">
        <v>1093</v>
      </c>
      <c r="K32" s="116" t="s">
        <v>1532</v>
      </c>
      <c r="L32" s="16"/>
      <c r="M32" s="182"/>
      <c r="N32" s="182"/>
      <c r="O32" s="182"/>
      <c r="P32" s="182"/>
      <c r="Q32" s="182" t="s">
        <v>341</v>
      </c>
      <c r="R32" s="182" t="s">
        <v>55</v>
      </c>
      <c r="S32" s="182" t="s">
        <v>1533</v>
      </c>
      <c r="T32" s="182"/>
      <c r="U32" s="16"/>
      <c r="V32" s="16"/>
      <c r="W32" s="16"/>
      <c r="X32" s="16"/>
      <c r="Y32" s="16"/>
      <c r="Z32" s="16"/>
      <c r="AA32" s="16"/>
    </row>
    <row r="33" spans="1:27" ht="15.75">
      <c r="A33" s="115">
        <v>30</v>
      </c>
      <c r="B33" s="116" t="s">
        <v>1534</v>
      </c>
      <c r="C33" s="116" t="s">
        <v>271</v>
      </c>
      <c r="D33" s="116" t="s">
        <v>1535</v>
      </c>
      <c r="E33" s="116" t="s">
        <v>284</v>
      </c>
      <c r="F33" s="116" t="s">
        <v>1093</v>
      </c>
      <c r="G33" s="116" t="s">
        <v>1093</v>
      </c>
      <c r="H33" s="116" t="s">
        <v>1519</v>
      </c>
      <c r="I33" s="116" t="s">
        <v>1093</v>
      </c>
      <c r="J33" s="116" t="s">
        <v>1093</v>
      </c>
      <c r="K33" s="116" t="s">
        <v>1536</v>
      </c>
      <c r="L33" s="16"/>
      <c r="M33" s="182"/>
      <c r="N33" s="182"/>
      <c r="O33" s="182"/>
      <c r="P33" s="182"/>
      <c r="Q33" s="182" t="s">
        <v>341</v>
      </c>
      <c r="R33" s="182" t="s">
        <v>55</v>
      </c>
      <c r="S33" s="182" t="s">
        <v>1537</v>
      </c>
      <c r="T33" s="182"/>
      <c r="U33" s="16"/>
      <c r="V33" s="16"/>
      <c r="W33" s="16"/>
      <c r="X33" s="16"/>
      <c r="Y33" s="16"/>
      <c r="Z33" s="16"/>
      <c r="AA33" s="16"/>
    </row>
    <row r="34" spans="1:27" ht="15.75">
      <c r="A34" s="115">
        <v>31</v>
      </c>
      <c r="B34" s="116" t="s">
        <v>1538</v>
      </c>
      <c r="C34" s="116" t="s">
        <v>271</v>
      </c>
      <c r="D34" s="116" t="s">
        <v>1539</v>
      </c>
      <c r="E34" s="116" t="s">
        <v>284</v>
      </c>
      <c r="F34" s="116" t="s">
        <v>1093</v>
      </c>
      <c r="G34" s="116" t="s">
        <v>1093</v>
      </c>
      <c r="H34" s="116" t="s">
        <v>1519</v>
      </c>
      <c r="I34" s="116" t="s">
        <v>1093</v>
      </c>
      <c r="J34" s="116" t="s">
        <v>1093</v>
      </c>
      <c r="K34" s="116" t="s">
        <v>1540</v>
      </c>
      <c r="L34" s="16"/>
      <c r="M34" s="182"/>
      <c r="N34" s="182"/>
      <c r="O34" s="182"/>
      <c r="P34" s="182"/>
      <c r="Q34" s="182" t="s">
        <v>341</v>
      </c>
      <c r="R34" s="182" t="s">
        <v>55</v>
      </c>
      <c r="S34" s="182" t="s">
        <v>1541</v>
      </c>
      <c r="T34" s="182"/>
      <c r="U34" s="16"/>
      <c r="V34" s="16"/>
      <c r="W34" s="16"/>
      <c r="X34" s="16"/>
      <c r="Y34" s="16"/>
      <c r="Z34" s="16"/>
      <c r="AA34" s="16"/>
    </row>
    <row r="35" spans="1:27" ht="15.75">
      <c r="A35" s="115">
        <v>32</v>
      </c>
      <c r="B35" s="116" t="s">
        <v>1542</v>
      </c>
      <c r="C35" s="116" t="s">
        <v>271</v>
      </c>
      <c r="D35" s="116" t="s">
        <v>1543</v>
      </c>
      <c r="E35" s="116" t="s">
        <v>284</v>
      </c>
      <c r="F35" s="116" t="s">
        <v>1093</v>
      </c>
      <c r="G35" s="116" t="s">
        <v>1093</v>
      </c>
      <c r="H35" s="116">
        <v>1</v>
      </c>
      <c r="I35" s="116" t="s">
        <v>1093</v>
      </c>
      <c r="J35" s="116" t="s">
        <v>1093</v>
      </c>
      <c r="K35" s="116" t="s">
        <v>1093</v>
      </c>
      <c r="L35" s="16"/>
      <c r="M35" s="182"/>
      <c r="N35" s="182"/>
      <c r="O35" s="182"/>
      <c r="P35" s="182"/>
      <c r="Q35" s="182"/>
      <c r="R35" s="182" t="s">
        <v>384</v>
      </c>
      <c r="S35" s="182"/>
      <c r="T35" s="182"/>
      <c r="U35" s="16"/>
      <c r="V35" s="16"/>
      <c r="W35" s="16"/>
      <c r="X35" s="16"/>
      <c r="Y35" s="16"/>
      <c r="Z35" s="16"/>
      <c r="AA35" s="16"/>
    </row>
    <row r="36" spans="1:27" ht="15.75">
      <c r="A36" s="115">
        <v>33</v>
      </c>
      <c r="B36" s="116" t="s">
        <v>1544</v>
      </c>
      <c r="C36" s="116" t="s">
        <v>271</v>
      </c>
      <c r="D36" s="116" t="s">
        <v>1545</v>
      </c>
      <c r="E36" s="116" t="s">
        <v>284</v>
      </c>
      <c r="F36" s="116" t="s">
        <v>1093</v>
      </c>
      <c r="G36" s="116" t="s">
        <v>1093</v>
      </c>
      <c r="H36" s="116" t="s">
        <v>417</v>
      </c>
      <c r="I36" s="116" t="s">
        <v>1093</v>
      </c>
      <c r="J36" s="116" t="s">
        <v>1093</v>
      </c>
      <c r="K36" s="116" t="s">
        <v>1546</v>
      </c>
      <c r="L36" s="16"/>
      <c r="M36" s="182"/>
      <c r="N36" s="182"/>
      <c r="O36" s="182"/>
      <c r="P36" s="182"/>
      <c r="Q36" s="182" t="s">
        <v>341</v>
      </c>
      <c r="R36" s="182" t="s">
        <v>55</v>
      </c>
      <c r="S36" s="182" t="s">
        <v>1547</v>
      </c>
      <c r="T36" s="182"/>
      <c r="U36" s="16"/>
      <c r="V36" s="16"/>
      <c r="W36" s="16"/>
      <c r="X36" s="16"/>
      <c r="Y36" s="16"/>
      <c r="Z36" s="16"/>
      <c r="AA36" s="16"/>
    </row>
    <row r="37" spans="1:27" ht="15.75">
      <c r="A37" s="115">
        <v>34</v>
      </c>
      <c r="B37" s="116" t="s">
        <v>1548</v>
      </c>
      <c r="C37" s="116" t="s">
        <v>271</v>
      </c>
      <c r="D37" s="116" t="s">
        <v>1549</v>
      </c>
      <c r="E37" s="116" t="s">
        <v>284</v>
      </c>
      <c r="F37" s="116" t="s">
        <v>1093</v>
      </c>
      <c r="G37" s="116" t="s">
        <v>1093</v>
      </c>
      <c r="H37" s="116" t="s">
        <v>1519</v>
      </c>
      <c r="I37" s="116" t="s">
        <v>1093</v>
      </c>
      <c r="J37" s="116" t="s">
        <v>1093</v>
      </c>
      <c r="K37" s="116" t="s">
        <v>1550</v>
      </c>
      <c r="L37" s="16"/>
      <c r="M37" s="182"/>
      <c r="N37" s="182"/>
      <c r="O37" s="182"/>
      <c r="P37" s="182"/>
      <c r="Q37" s="182" t="s">
        <v>341</v>
      </c>
      <c r="R37" s="182" t="s">
        <v>55</v>
      </c>
      <c r="S37" s="182" t="s">
        <v>1551</v>
      </c>
      <c r="T37" s="182"/>
      <c r="U37" s="16"/>
      <c r="V37" s="16"/>
      <c r="W37" s="16"/>
      <c r="X37" s="16"/>
      <c r="Y37" s="16"/>
      <c r="Z37" s="16"/>
      <c r="AA37" s="16"/>
    </row>
    <row r="38" spans="1:27" ht="15.75">
      <c r="A38" s="115">
        <v>35</v>
      </c>
      <c r="B38" s="116" t="s">
        <v>1552</v>
      </c>
      <c r="C38" s="116" t="s">
        <v>271</v>
      </c>
      <c r="D38" s="116" t="s">
        <v>1553</v>
      </c>
      <c r="E38" s="116" t="s">
        <v>284</v>
      </c>
      <c r="F38" s="116" t="s">
        <v>1093</v>
      </c>
      <c r="G38" s="116" t="s">
        <v>1093</v>
      </c>
      <c r="H38" s="116" t="s">
        <v>1519</v>
      </c>
      <c r="I38" s="116" t="s">
        <v>1093</v>
      </c>
      <c r="J38" s="116" t="s">
        <v>1093</v>
      </c>
      <c r="K38" s="116" t="s">
        <v>1554</v>
      </c>
      <c r="L38" s="16"/>
      <c r="M38" s="182"/>
      <c r="N38" s="182"/>
      <c r="O38" s="182"/>
      <c r="P38" s="182"/>
      <c r="Q38" s="182" t="s">
        <v>341</v>
      </c>
      <c r="R38" s="182" t="s">
        <v>55</v>
      </c>
      <c r="S38" s="182" t="s">
        <v>1555</v>
      </c>
      <c r="T38" s="182"/>
      <c r="U38" s="16"/>
      <c r="V38" s="16"/>
      <c r="W38" s="16"/>
      <c r="X38" s="16"/>
      <c r="Y38" s="16"/>
      <c r="Z38" s="16"/>
      <c r="AA38" s="16"/>
    </row>
    <row r="39" spans="1:27" ht="96">
      <c r="A39" s="115">
        <v>36</v>
      </c>
      <c r="B39" s="116" t="s">
        <v>1556</v>
      </c>
      <c r="C39" s="116" t="s">
        <v>387</v>
      </c>
      <c r="D39" s="116" t="s">
        <v>1557</v>
      </c>
      <c r="E39" s="116" t="s">
        <v>260</v>
      </c>
      <c r="F39" s="116" t="s">
        <v>1093</v>
      </c>
      <c r="G39" s="116" t="s">
        <v>1093</v>
      </c>
      <c r="H39" s="116" t="s">
        <v>1558</v>
      </c>
      <c r="I39" s="116" t="s">
        <v>1558</v>
      </c>
      <c r="J39" s="116" t="s">
        <v>1559</v>
      </c>
      <c r="K39" s="116" t="s">
        <v>1560</v>
      </c>
      <c r="L39" s="16"/>
      <c r="M39" s="182" t="s">
        <v>363</v>
      </c>
      <c r="N39" s="182" t="s">
        <v>363</v>
      </c>
      <c r="O39" s="184" t="s">
        <v>1298</v>
      </c>
      <c r="P39" s="182" t="s">
        <v>1299</v>
      </c>
      <c r="Q39" s="182" t="s">
        <v>341</v>
      </c>
      <c r="R39" s="182" t="s">
        <v>55</v>
      </c>
      <c r="S39" s="182" t="s">
        <v>1561</v>
      </c>
      <c r="T39" s="182"/>
      <c r="U39" s="16"/>
      <c r="V39" s="16"/>
      <c r="W39" s="16"/>
      <c r="X39" s="16"/>
      <c r="Y39" s="16"/>
      <c r="Z39" s="16"/>
      <c r="AA39" s="16"/>
    </row>
    <row r="40" spans="1:27" ht="130.5">
      <c r="A40" s="115">
        <v>37</v>
      </c>
      <c r="B40" s="116" t="s">
        <v>1562</v>
      </c>
      <c r="C40" s="116" t="s">
        <v>387</v>
      </c>
      <c r="D40" s="116" t="s">
        <v>1563</v>
      </c>
      <c r="E40" s="116" t="s">
        <v>260</v>
      </c>
      <c r="F40" s="116" t="s">
        <v>1093</v>
      </c>
      <c r="G40" s="116" t="s">
        <v>1564</v>
      </c>
      <c r="H40" s="116">
        <v>1</v>
      </c>
      <c r="I40" s="116">
        <v>1</v>
      </c>
      <c r="J40" s="116" t="s">
        <v>1565</v>
      </c>
      <c r="K40" s="116" t="s">
        <v>1566</v>
      </c>
      <c r="L40" s="16"/>
      <c r="M40" s="182" t="s">
        <v>363</v>
      </c>
      <c r="N40" s="182" t="s">
        <v>363</v>
      </c>
      <c r="O40" s="184" t="s">
        <v>1464</v>
      </c>
      <c r="P40" s="184" t="s">
        <v>1465</v>
      </c>
      <c r="Q40" s="182" t="s">
        <v>341</v>
      </c>
      <c r="R40" s="182" t="s">
        <v>55</v>
      </c>
      <c r="S40" s="182" t="s">
        <v>1567</v>
      </c>
      <c r="T40" s="182"/>
      <c r="U40" s="16"/>
      <c r="V40" s="16"/>
      <c r="W40" s="16"/>
      <c r="X40" s="16"/>
      <c r="Y40" s="16"/>
      <c r="Z40" s="16"/>
      <c r="AA40" s="16"/>
    </row>
    <row r="41" spans="1:27" ht="96">
      <c r="A41" s="115">
        <v>38</v>
      </c>
      <c r="B41" s="116" t="s">
        <v>1313</v>
      </c>
      <c r="C41" s="116" t="s">
        <v>713</v>
      </c>
      <c r="D41" s="116" t="s">
        <v>1568</v>
      </c>
      <c r="E41" s="116" t="s">
        <v>260</v>
      </c>
      <c r="F41" s="116" t="s">
        <v>1093</v>
      </c>
      <c r="G41" s="116" t="s">
        <v>1093</v>
      </c>
      <c r="H41" s="116" t="s">
        <v>405</v>
      </c>
      <c r="I41" s="116" t="s">
        <v>405</v>
      </c>
      <c r="J41" s="116" t="s">
        <v>1569</v>
      </c>
      <c r="K41" s="116" t="s">
        <v>1570</v>
      </c>
      <c r="L41" s="16"/>
      <c r="M41" s="182" t="s">
        <v>363</v>
      </c>
      <c r="N41" s="182" t="s">
        <v>363</v>
      </c>
      <c r="O41" s="184" t="s">
        <v>1298</v>
      </c>
      <c r="P41" s="182" t="s">
        <v>1299</v>
      </c>
      <c r="Q41" s="182" t="s">
        <v>341</v>
      </c>
      <c r="R41" s="182" t="s">
        <v>55</v>
      </c>
      <c r="S41" s="182" t="s">
        <v>1320</v>
      </c>
      <c r="T41" s="182"/>
      <c r="U41" s="16"/>
      <c r="V41" s="16"/>
      <c r="W41" s="16"/>
      <c r="X41" s="16"/>
      <c r="Y41" s="16"/>
      <c r="Z41" s="16"/>
      <c r="AA41" s="16"/>
    </row>
    <row r="42" spans="1:27" ht="15.75">
      <c r="A42" s="115">
        <v>39</v>
      </c>
      <c r="B42" s="116" t="s">
        <v>1571</v>
      </c>
      <c r="C42" s="116" t="s">
        <v>271</v>
      </c>
      <c r="D42" s="116" t="s">
        <v>1572</v>
      </c>
      <c r="E42" s="116" t="s">
        <v>284</v>
      </c>
      <c r="F42" s="116" t="s">
        <v>1093</v>
      </c>
      <c r="G42" s="116" t="s">
        <v>1093</v>
      </c>
      <c r="H42" s="116" t="s">
        <v>1573</v>
      </c>
      <c r="I42" s="116" t="s">
        <v>1573</v>
      </c>
      <c r="J42" s="116" t="s">
        <v>1093</v>
      </c>
      <c r="K42" s="116" t="s">
        <v>1574</v>
      </c>
      <c r="L42" s="16"/>
      <c r="M42" s="182"/>
      <c r="N42" s="182"/>
      <c r="O42" s="182"/>
      <c r="P42" s="182"/>
      <c r="Q42" s="182" t="s">
        <v>341</v>
      </c>
      <c r="R42" s="182" t="s">
        <v>55</v>
      </c>
      <c r="S42" s="182" t="s">
        <v>1571</v>
      </c>
      <c r="T42" s="182"/>
      <c r="U42" s="16"/>
      <c r="V42" s="16"/>
      <c r="W42" s="16"/>
      <c r="X42" s="16"/>
      <c r="Y42" s="16"/>
      <c r="Z42" s="16"/>
      <c r="AA42" s="16"/>
    </row>
    <row r="43" spans="1:27" ht="15.75">
      <c r="A43" s="115">
        <v>40</v>
      </c>
      <c r="B43" s="116" t="s">
        <v>1575</v>
      </c>
      <c r="C43" s="116" t="s">
        <v>1576</v>
      </c>
      <c r="D43" s="116" t="s">
        <v>1577</v>
      </c>
      <c r="E43" s="116" t="s">
        <v>284</v>
      </c>
      <c r="F43" s="116" t="s">
        <v>1093</v>
      </c>
      <c r="G43" s="116" t="s">
        <v>1093</v>
      </c>
      <c r="H43" s="116">
        <v>6805</v>
      </c>
      <c r="I43" s="116" t="s">
        <v>1093</v>
      </c>
      <c r="J43" s="116" t="s">
        <v>1093</v>
      </c>
      <c r="K43" s="116" t="s">
        <v>1578</v>
      </c>
      <c r="L43" s="16"/>
      <c r="M43" s="182"/>
      <c r="N43" s="182"/>
      <c r="O43" s="182"/>
      <c r="P43" s="182"/>
      <c r="Q43" s="182" t="s">
        <v>341</v>
      </c>
      <c r="R43" s="182" t="s">
        <v>55</v>
      </c>
      <c r="S43" s="182" t="s">
        <v>1579</v>
      </c>
      <c r="T43" s="182"/>
      <c r="U43" s="16"/>
      <c r="V43" s="16"/>
      <c r="W43" s="16"/>
      <c r="X43" s="16"/>
      <c r="Y43" s="16"/>
      <c r="Z43" s="16"/>
      <c r="AA43" s="16"/>
    </row>
    <row r="44" spans="1:27" ht="15.75">
      <c r="A44" s="115">
        <v>41</v>
      </c>
      <c r="B44" s="116" t="s">
        <v>1580</v>
      </c>
      <c r="C44" s="116" t="s">
        <v>266</v>
      </c>
      <c r="D44" s="116" t="s">
        <v>1581</v>
      </c>
      <c r="E44" s="116" t="s">
        <v>284</v>
      </c>
      <c r="F44" s="116" t="s">
        <v>1093</v>
      </c>
      <c r="G44" s="116" t="s">
        <v>1093</v>
      </c>
      <c r="H44" s="116" t="s">
        <v>1582</v>
      </c>
      <c r="I44" s="116" t="s">
        <v>1093</v>
      </c>
      <c r="J44" s="116" t="s">
        <v>1093</v>
      </c>
      <c r="K44" s="116" t="s">
        <v>1583</v>
      </c>
      <c r="L44" s="16"/>
      <c r="M44" s="182"/>
      <c r="N44" s="182"/>
      <c r="O44" s="182"/>
      <c r="P44" s="182"/>
      <c r="Q44" s="182" t="s">
        <v>341</v>
      </c>
      <c r="R44" s="182" t="s">
        <v>55</v>
      </c>
      <c r="S44" s="182" t="s">
        <v>1584</v>
      </c>
      <c r="T44" s="182"/>
      <c r="U44" s="16"/>
      <c r="V44" s="16"/>
      <c r="W44" s="16"/>
      <c r="X44" s="16"/>
      <c r="Y44" s="16"/>
      <c r="Z44" s="16"/>
      <c r="AA44" s="16"/>
    </row>
    <row r="45" spans="1:27" ht="72">
      <c r="A45" s="115">
        <v>42</v>
      </c>
      <c r="B45" s="116" t="s">
        <v>368</v>
      </c>
      <c r="C45" s="116" t="s">
        <v>351</v>
      </c>
      <c r="D45" s="116" t="s">
        <v>1585</v>
      </c>
      <c r="E45" s="116" t="s">
        <v>284</v>
      </c>
      <c r="F45" s="116" t="s">
        <v>1093</v>
      </c>
      <c r="G45" s="116" t="s">
        <v>1093</v>
      </c>
      <c r="H45" s="116" t="s">
        <v>795</v>
      </c>
      <c r="I45" s="116" t="s">
        <v>1093</v>
      </c>
      <c r="J45" s="116" t="s">
        <v>1586</v>
      </c>
      <c r="K45" s="116" t="s">
        <v>1587</v>
      </c>
      <c r="L45" s="16"/>
      <c r="M45" s="182" t="s">
        <v>363</v>
      </c>
      <c r="N45" s="182" t="s">
        <v>363</v>
      </c>
      <c r="O45" s="184" t="s">
        <v>1588</v>
      </c>
      <c r="P45" s="184" t="s">
        <v>1589</v>
      </c>
      <c r="Q45" s="182" t="s">
        <v>341</v>
      </c>
      <c r="R45" s="182" t="s">
        <v>55</v>
      </c>
      <c r="S45" s="182" t="s">
        <v>375</v>
      </c>
      <c r="T45" s="182"/>
      <c r="U45" s="16"/>
      <c r="V45" s="16"/>
      <c r="W45" s="16"/>
      <c r="X45" s="16"/>
      <c r="Y45" s="16"/>
      <c r="Z45" s="16"/>
      <c r="AA45" s="16"/>
    </row>
    <row r="46" spans="1:27" ht="15.75">
      <c r="A46" s="115">
        <v>43</v>
      </c>
      <c r="B46" s="116" t="s">
        <v>1590</v>
      </c>
      <c r="C46" s="116" t="s">
        <v>503</v>
      </c>
      <c r="D46" s="116" t="s">
        <v>1591</v>
      </c>
      <c r="E46" s="116" t="s">
        <v>284</v>
      </c>
      <c r="F46" s="116" t="s">
        <v>1093</v>
      </c>
      <c r="G46" s="116" t="s">
        <v>1093</v>
      </c>
      <c r="H46" s="116" t="b">
        <v>0</v>
      </c>
      <c r="I46" s="116" t="s">
        <v>1093</v>
      </c>
      <c r="J46" s="116" t="s">
        <v>1592</v>
      </c>
      <c r="K46" s="116" t="s">
        <v>1593</v>
      </c>
      <c r="L46" s="16"/>
      <c r="M46" s="182"/>
      <c r="N46" s="182"/>
      <c r="O46" s="182"/>
      <c r="P46" s="182"/>
      <c r="Q46" s="182" t="s">
        <v>341</v>
      </c>
      <c r="R46" s="182" t="s">
        <v>55</v>
      </c>
      <c r="S46" s="182" t="s">
        <v>1594</v>
      </c>
      <c r="T46" s="182"/>
      <c r="U46" s="16"/>
      <c r="V46" s="16"/>
      <c r="W46" s="16"/>
      <c r="X46" s="16"/>
      <c r="Y46" s="16"/>
      <c r="Z46" s="16"/>
      <c r="AA46" s="16"/>
    </row>
    <row r="47" spans="1:27" ht="15.75">
      <c r="A47" s="115">
        <v>44</v>
      </c>
      <c r="B47" s="116" t="s">
        <v>1595</v>
      </c>
      <c r="C47" s="116" t="s">
        <v>387</v>
      </c>
      <c r="D47" s="116" t="s">
        <v>1596</v>
      </c>
      <c r="E47" s="116" t="s">
        <v>284</v>
      </c>
      <c r="F47" s="116" t="s">
        <v>1093</v>
      </c>
      <c r="G47" s="116" t="s">
        <v>1093</v>
      </c>
      <c r="H47" s="116" t="s">
        <v>1597</v>
      </c>
      <c r="I47" s="116" t="s">
        <v>1093</v>
      </c>
      <c r="J47" s="116" t="s">
        <v>1598</v>
      </c>
      <c r="K47" s="116" t="s">
        <v>1599</v>
      </c>
      <c r="L47" s="16"/>
      <c r="M47" s="182"/>
      <c r="N47" s="182"/>
      <c r="O47" s="182"/>
      <c r="P47" s="182"/>
      <c r="Q47" s="182" t="s">
        <v>341</v>
      </c>
      <c r="R47" s="182" t="s">
        <v>55</v>
      </c>
      <c r="S47" s="182" t="s">
        <v>1600</v>
      </c>
      <c r="T47" s="182"/>
      <c r="U47" s="16"/>
      <c r="V47" s="16"/>
      <c r="W47" s="16"/>
      <c r="X47" s="16"/>
      <c r="Y47" s="16"/>
      <c r="Z47" s="16"/>
      <c r="AA47" s="16"/>
    </row>
    <row r="48" spans="1:27" ht="15.75">
      <c r="A48" s="115">
        <v>45</v>
      </c>
      <c r="B48" s="116" t="s">
        <v>1601</v>
      </c>
      <c r="C48" s="116" t="s">
        <v>503</v>
      </c>
      <c r="D48" s="116" t="s">
        <v>1602</v>
      </c>
      <c r="E48" s="116" t="s">
        <v>284</v>
      </c>
      <c r="F48" s="116" t="s">
        <v>1093</v>
      </c>
      <c r="G48" s="116" t="s">
        <v>1093</v>
      </c>
      <c r="H48" s="116" t="b">
        <v>0</v>
      </c>
      <c r="I48" s="116" t="s">
        <v>1093</v>
      </c>
      <c r="J48" s="116" t="s">
        <v>1603</v>
      </c>
      <c r="K48" s="116" t="s">
        <v>1604</v>
      </c>
      <c r="L48" s="16"/>
      <c r="M48" s="182"/>
      <c r="N48" s="182"/>
      <c r="O48" s="182"/>
      <c r="P48" s="182"/>
      <c r="Q48" s="182" t="s">
        <v>341</v>
      </c>
      <c r="R48" s="182" t="s">
        <v>55</v>
      </c>
      <c r="S48" s="182" t="s">
        <v>1601</v>
      </c>
      <c r="T48" s="182"/>
      <c r="U48" s="16"/>
      <c r="V48" s="16"/>
      <c r="W48" s="16"/>
      <c r="X48" s="16"/>
      <c r="Y48" s="16"/>
      <c r="Z48" s="16"/>
      <c r="AA48" s="16"/>
    </row>
    <row r="49" spans="1:27" ht="15.75">
      <c r="A49" s="115">
        <v>46</v>
      </c>
      <c r="B49" s="116" t="s">
        <v>1605</v>
      </c>
      <c r="C49" s="116" t="s">
        <v>713</v>
      </c>
      <c r="D49" s="116" t="s">
        <v>1606</v>
      </c>
      <c r="E49" s="116" t="s">
        <v>284</v>
      </c>
      <c r="F49" s="116" t="s">
        <v>1093</v>
      </c>
      <c r="G49" s="116" t="s">
        <v>1093</v>
      </c>
      <c r="H49" s="116" t="s">
        <v>795</v>
      </c>
      <c r="I49" s="116" t="s">
        <v>1093</v>
      </c>
      <c r="J49" s="116" t="s">
        <v>1607</v>
      </c>
      <c r="K49" s="116" t="s">
        <v>1608</v>
      </c>
      <c r="L49" s="16"/>
      <c r="M49" s="182"/>
      <c r="N49" s="182"/>
      <c r="O49" s="182"/>
      <c r="P49" s="182"/>
      <c r="Q49" s="182" t="s">
        <v>341</v>
      </c>
      <c r="R49" s="182" t="s">
        <v>55</v>
      </c>
      <c r="S49" s="182" t="s">
        <v>1609</v>
      </c>
      <c r="T49" s="182"/>
      <c r="U49" s="16"/>
      <c r="V49" s="16"/>
      <c r="W49" s="16"/>
      <c r="X49" s="16"/>
      <c r="Y49" s="16"/>
      <c r="Z49" s="16"/>
      <c r="AA49" s="16"/>
    </row>
    <row r="50" spans="1:27" ht="15.75">
      <c r="A50" s="115">
        <v>47</v>
      </c>
      <c r="B50" s="116" t="s">
        <v>1610</v>
      </c>
      <c r="C50" s="116" t="s">
        <v>713</v>
      </c>
      <c r="D50" s="116" t="s">
        <v>1611</v>
      </c>
      <c r="E50" s="116" t="s">
        <v>284</v>
      </c>
      <c r="F50" s="116" t="s">
        <v>1093</v>
      </c>
      <c r="G50" s="116" t="s">
        <v>1093</v>
      </c>
      <c r="H50" s="116" t="s">
        <v>795</v>
      </c>
      <c r="I50" s="116" t="s">
        <v>1093</v>
      </c>
      <c r="J50" s="116" t="s">
        <v>1612</v>
      </c>
      <c r="K50" s="116" t="s">
        <v>1613</v>
      </c>
      <c r="L50" s="16"/>
      <c r="M50" s="182"/>
      <c r="N50" s="182"/>
      <c r="O50" s="182"/>
      <c r="P50" s="182"/>
      <c r="Q50" s="182" t="s">
        <v>341</v>
      </c>
      <c r="R50" s="182" t="s">
        <v>55</v>
      </c>
      <c r="S50" s="182" t="s">
        <v>1614</v>
      </c>
      <c r="T50" s="182"/>
      <c r="U50" s="16"/>
      <c r="V50" s="16"/>
      <c r="W50" s="16"/>
      <c r="X50" s="16"/>
      <c r="Y50" s="16"/>
      <c r="Z50" s="16"/>
      <c r="AA50" s="16"/>
    </row>
    <row r="51" spans="1:27" ht="15.75">
      <c r="A51" s="115">
        <v>48</v>
      </c>
      <c r="B51" s="116" t="s">
        <v>1615</v>
      </c>
      <c r="C51" s="116" t="s">
        <v>713</v>
      </c>
      <c r="D51" s="116" t="s">
        <v>1616</v>
      </c>
      <c r="E51" s="116" t="s">
        <v>284</v>
      </c>
      <c r="F51" s="116" t="s">
        <v>1093</v>
      </c>
      <c r="G51" s="116" t="s">
        <v>1093</v>
      </c>
      <c r="H51" s="116" t="s">
        <v>795</v>
      </c>
      <c r="I51" s="116" t="s">
        <v>1093</v>
      </c>
      <c r="J51" s="116" t="s">
        <v>1617</v>
      </c>
      <c r="K51" s="116" t="s">
        <v>1618</v>
      </c>
      <c r="L51" s="16"/>
      <c r="M51" s="182"/>
      <c r="N51" s="182"/>
      <c r="O51" s="182"/>
      <c r="P51" s="182"/>
      <c r="Q51" s="182" t="s">
        <v>341</v>
      </c>
      <c r="R51" s="182" t="s">
        <v>55</v>
      </c>
      <c r="S51" s="182" t="s">
        <v>1619</v>
      </c>
      <c r="T51" s="182"/>
      <c r="U51" s="16"/>
      <c r="V51" s="16"/>
      <c r="W51" s="16"/>
      <c r="X51" s="16"/>
      <c r="Y51" s="16"/>
      <c r="Z51" s="16"/>
      <c r="AA51" s="16"/>
    </row>
    <row r="52" spans="1:27" ht="96">
      <c r="A52" s="115">
        <v>49</v>
      </c>
      <c r="B52" s="116" t="s">
        <v>1295</v>
      </c>
      <c r="C52" s="116" t="s">
        <v>713</v>
      </c>
      <c r="D52" s="116" t="s">
        <v>1620</v>
      </c>
      <c r="E52" s="116" t="s">
        <v>260</v>
      </c>
      <c r="F52" s="116" t="s">
        <v>1093</v>
      </c>
      <c r="G52" s="116" t="s">
        <v>1093</v>
      </c>
      <c r="H52" s="116" t="s">
        <v>795</v>
      </c>
      <c r="I52" s="116" t="s">
        <v>795</v>
      </c>
      <c r="J52" s="116" t="s">
        <v>1621</v>
      </c>
      <c r="K52" s="116" t="s">
        <v>1622</v>
      </c>
      <c r="L52" s="16"/>
      <c r="M52" s="182" t="s">
        <v>363</v>
      </c>
      <c r="N52" s="182" t="s">
        <v>363</v>
      </c>
      <c r="O52" s="184" t="s">
        <v>1298</v>
      </c>
      <c r="P52" s="182" t="s">
        <v>1299</v>
      </c>
      <c r="Q52" s="182" t="s">
        <v>341</v>
      </c>
      <c r="R52" s="182" t="s">
        <v>55</v>
      </c>
      <c r="S52" s="182" t="s">
        <v>1300</v>
      </c>
      <c r="T52" s="182"/>
      <c r="U52" s="16"/>
      <c r="V52" s="16"/>
      <c r="W52" s="16"/>
      <c r="X52" s="16"/>
      <c r="Y52" s="16"/>
      <c r="Z52" s="16"/>
      <c r="AA52" s="16"/>
    </row>
    <row r="53" spans="1:27" ht="15.75">
      <c r="A53" s="115">
        <v>50</v>
      </c>
      <c r="B53" s="116" t="s">
        <v>1623</v>
      </c>
      <c r="C53" s="116" t="s">
        <v>713</v>
      </c>
      <c r="D53" s="116" t="s">
        <v>1624</v>
      </c>
      <c r="E53" s="116" t="s">
        <v>284</v>
      </c>
      <c r="F53" s="116" t="s">
        <v>1093</v>
      </c>
      <c r="G53" s="116" t="s">
        <v>1093</v>
      </c>
      <c r="H53" s="116" t="s">
        <v>795</v>
      </c>
      <c r="I53" s="116" t="s">
        <v>1093</v>
      </c>
      <c r="J53" s="116" t="s">
        <v>1625</v>
      </c>
      <c r="K53" s="116" t="s">
        <v>1626</v>
      </c>
      <c r="L53" s="16"/>
      <c r="M53" s="182"/>
      <c r="N53" s="182"/>
      <c r="O53" s="182"/>
      <c r="P53" s="182"/>
      <c r="Q53" s="182" t="s">
        <v>341</v>
      </c>
      <c r="R53" s="182" t="s">
        <v>55</v>
      </c>
      <c r="S53" s="182" t="s">
        <v>1627</v>
      </c>
      <c r="T53" s="182"/>
      <c r="U53" s="16"/>
      <c r="V53" s="16"/>
      <c r="W53" s="16"/>
      <c r="X53" s="16"/>
      <c r="Y53" s="16"/>
      <c r="Z53" s="16"/>
      <c r="AA53" s="16"/>
    </row>
    <row r="54" spans="1:27" ht="15.75">
      <c r="A54" s="115">
        <v>51</v>
      </c>
      <c r="B54" s="116" t="s">
        <v>1628</v>
      </c>
      <c r="C54" s="116" t="s">
        <v>713</v>
      </c>
      <c r="D54" s="116" t="s">
        <v>1629</v>
      </c>
      <c r="E54" s="116" t="s">
        <v>284</v>
      </c>
      <c r="F54" s="116" t="s">
        <v>1093</v>
      </c>
      <c r="G54" s="116" t="s">
        <v>1093</v>
      </c>
      <c r="H54" s="116" t="s">
        <v>795</v>
      </c>
      <c r="I54" s="116" t="s">
        <v>1093</v>
      </c>
      <c r="J54" s="116" t="s">
        <v>1625</v>
      </c>
      <c r="K54" s="116" t="s">
        <v>1630</v>
      </c>
      <c r="L54" s="16"/>
      <c r="M54" s="182"/>
      <c r="N54" s="182"/>
      <c r="O54" s="182"/>
      <c r="P54" s="182"/>
      <c r="Q54" s="182" t="s">
        <v>341</v>
      </c>
      <c r="R54" s="182" t="s">
        <v>55</v>
      </c>
      <c r="S54" s="182" t="s">
        <v>1631</v>
      </c>
      <c r="T54" s="182"/>
      <c r="U54" s="16"/>
      <c r="V54" s="16"/>
      <c r="W54" s="16"/>
      <c r="X54" s="16"/>
      <c r="Y54" s="16"/>
      <c r="Z54" s="16"/>
      <c r="AA54" s="16"/>
    </row>
    <row r="55" spans="1:27" ht="15.75">
      <c r="A55" s="115">
        <v>52</v>
      </c>
      <c r="B55" s="116" t="s">
        <v>1632</v>
      </c>
      <c r="C55" s="116" t="s">
        <v>1633</v>
      </c>
      <c r="D55" s="116" t="s">
        <v>1634</v>
      </c>
      <c r="E55" s="116" t="s">
        <v>284</v>
      </c>
      <c r="F55" s="116" t="s">
        <v>1093</v>
      </c>
      <c r="G55" s="116" t="s">
        <v>1093</v>
      </c>
      <c r="H55" s="116" t="s">
        <v>1635</v>
      </c>
      <c r="I55" s="116" t="s">
        <v>1093</v>
      </c>
      <c r="J55" s="116" t="s">
        <v>1636</v>
      </c>
      <c r="K55" s="116" t="s">
        <v>1637</v>
      </c>
      <c r="L55" s="16"/>
      <c r="M55" s="182"/>
      <c r="N55" s="182"/>
      <c r="O55" s="182"/>
      <c r="P55" s="182"/>
      <c r="Q55" s="182" t="s">
        <v>341</v>
      </c>
      <c r="R55" s="182" t="s">
        <v>55</v>
      </c>
      <c r="S55" s="182" t="s">
        <v>1638</v>
      </c>
      <c r="T55" s="182"/>
      <c r="U55" s="16"/>
      <c r="V55" s="16"/>
      <c r="W55" s="16"/>
      <c r="X55" s="16"/>
      <c r="Y55" s="16"/>
      <c r="Z55" s="16"/>
      <c r="AA55" s="16"/>
    </row>
    <row r="56" spans="1:27" ht="15.75">
      <c r="A56" s="115">
        <v>53</v>
      </c>
      <c r="B56" s="116" t="s">
        <v>1639</v>
      </c>
      <c r="C56" s="116" t="s">
        <v>1633</v>
      </c>
      <c r="D56" s="116" t="s">
        <v>1640</v>
      </c>
      <c r="E56" s="116" t="s">
        <v>284</v>
      </c>
      <c r="F56" s="116" t="s">
        <v>1093</v>
      </c>
      <c r="G56" s="116" t="s">
        <v>1093</v>
      </c>
      <c r="H56" s="116" t="s">
        <v>1635</v>
      </c>
      <c r="I56" s="116" t="s">
        <v>1093</v>
      </c>
      <c r="J56" s="116" t="s">
        <v>1636</v>
      </c>
      <c r="K56" s="116" t="s">
        <v>1641</v>
      </c>
      <c r="L56" s="16"/>
      <c r="M56" s="182"/>
      <c r="N56" s="182"/>
      <c r="O56" s="182"/>
      <c r="P56" s="182"/>
      <c r="Q56" s="182" t="s">
        <v>341</v>
      </c>
      <c r="R56" s="182" t="s">
        <v>55</v>
      </c>
      <c r="S56" s="182" t="s">
        <v>1642</v>
      </c>
      <c r="T56" s="182"/>
      <c r="U56" s="16"/>
      <c r="V56" s="16"/>
      <c r="W56" s="16"/>
      <c r="X56" s="16"/>
      <c r="Y56" s="16"/>
      <c r="Z56" s="16"/>
      <c r="AA56" s="16"/>
    </row>
    <row r="57" spans="1:27" ht="107.25">
      <c r="A57" s="115">
        <v>54</v>
      </c>
      <c r="B57" s="116" t="s">
        <v>1643</v>
      </c>
      <c r="C57" s="116" t="s">
        <v>387</v>
      </c>
      <c r="D57" s="116" t="s">
        <v>1644</v>
      </c>
      <c r="E57" s="116" t="s">
        <v>284</v>
      </c>
      <c r="F57" s="116" t="s">
        <v>1093</v>
      </c>
      <c r="G57" s="116" t="s">
        <v>1093</v>
      </c>
      <c r="H57" s="116">
        <v>8833</v>
      </c>
      <c r="I57" s="116" t="s">
        <v>1093</v>
      </c>
      <c r="J57" s="116" t="s">
        <v>1093</v>
      </c>
      <c r="K57" s="116" t="s">
        <v>1645</v>
      </c>
      <c r="L57" s="16"/>
      <c r="M57" s="182" t="s">
        <v>363</v>
      </c>
      <c r="N57" s="182" t="s">
        <v>363</v>
      </c>
      <c r="O57" s="184" t="s">
        <v>1646</v>
      </c>
      <c r="P57" s="184" t="s">
        <v>1647</v>
      </c>
      <c r="Q57" s="182" t="s">
        <v>341</v>
      </c>
      <c r="R57" s="182" t="s">
        <v>55</v>
      </c>
      <c r="S57" s="182" t="s">
        <v>1648</v>
      </c>
      <c r="T57" s="182"/>
      <c r="U57" s="16"/>
      <c r="V57" s="16"/>
      <c r="W57" s="16"/>
      <c r="X57" s="16"/>
      <c r="Y57" s="16"/>
      <c r="Z57" s="16"/>
      <c r="AA57" s="16"/>
    </row>
    <row r="58" spans="1:27" ht="15.75">
      <c r="A58" s="115">
        <v>55</v>
      </c>
      <c r="B58" s="116" t="s">
        <v>1649</v>
      </c>
      <c r="C58" s="116" t="s">
        <v>1650</v>
      </c>
      <c r="D58" s="116" t="s">
        <v>1651</v>
      </c>
      <c r="E58" s="116" t="s">
        <v>284</v>
      </c>
      <c r="F58" s="116" t="s">
        <v>1093</v>
      </c>
      <c r="G58" s="116" t="s">
        <v>1093</v>
      </c>
      <c r="H58" s="116" t="s">
        <v>1652</v>
      </c>
      <c r="I58" s="116" t="s">
        <v>1093</v>
      </c>
      <c r="J58" s="116" t="s">
        <v>1093</v>
      </c>
      <c r="K58" s="116" t="s">
        <v>1653</v>
      </c>
      <c r="L58" s="16"/>
      <c r="M58" s="182"/>
      <c r="N58" s="182"/>
      <c r="O58" s="182"/>
      <c r="P58" s="182"/>
      <c r="Q58" s="182" t="s">
        <v>341</v>
      </c>
      <c r="R58" s="182" t="s">
        <v>55</v>
      </c>
      <c r="S58" s="182" t="s">
        <v>1654</v>
      </c>
      <c r="T58" s="182"/>
      <c r="U58" s="16"/>
      <c r="V58" s="16"/>
      <c r="W58" s="16"/>
      <c r="X58" s="16"/>
      <c r="Y58" s="16"/>
      <c r="Z58" s="16"/>
      <c r="AA58" s="16"/>
    </row>
    <row r="59" spans="1:27" ht="15.75">
      <c r="A59" s="115">
        <v>56</v>
      </c>
      <c r="B59" s="116" t="s">
        <v>1655</v>
      </c>
      <c r="C59" s="116" t="s">
        <v>378</v>
      </c>
      <c r="D59" s="116" t="s">
        <v>1656</v>
      </c>
      <c r="E59" s="116" t="s">
        <v>284</v>
      </c>
      <c r="F59" s="116" t="s">
        <v>1093</v>
      </c>
      <c r="G59" s="116" t="s">
        <v>1093</v>
      </c>
      <c r="H59" s="116" t="s">
        <v>695</v>
      </c>
      <c r="I59" s="116" t="s">
        <v>1093</v>
      </c>
      <c r="J59" s="116" t="s">
        <v>1093</v>
      </c>
      <c r="K59" s="116" t="s">
        <v>1657</v>
      </c>
      <c r="M59" s="182"/>
      <c r="N59" s="182"/>
      <c r="O59" s="182"/>
      <c r="P59" s="182"/>
      <c r="Q59" s="182" t="s">
        <v>341</v>
      </c>
      <c r="R59" s="182" t="s">
        <v>55</v>
      </c>
      <c r="S59" s="182" t="s">
        <v>1658</v>
      </c>
      <c r="T59" s="182"/>
      <c r="U59" s="16"/>
      <c r="V59" s="16"/>
      <c r="W59" s="16"/>
      <c r="X59" s="16"/>
      <c r="Y59" s="16"/>
      <c r="Z59" s="16"/>
      <c r="AA59" s="16"/>
    </row>
    <row r="60" spans="1:27" ht="15.75">
      <c r="A60" s="115">
        <v>57</v>
      </c>
      <c r="B60" s="116" t="s">
        <v>1292</v>
      </c>
      <c r="C60" s="116" t="s">
        <v>942</v>
      </c>
      <c r="D60" s="116" t="s">
        <v>1659</v>
      </c>
      <c r="E60" s="116" t="s">
        <v>284</v>
      </c>
      <c r="F60" s="116" t="s">
        <v>1093</v>
      </c>
      <c r="G60" s="116" t="s">
        <v>1093</v>
      </c>
      <c r="H60" s="116">
        <v>6</v>
      </c>
      <c r="I60" s="116" t="s">
        <v>1093</v>
      </c>
      <c r="J60" s="116" t="s">
        <v>1093</v>
      </c>
      <c r="K60" s="116" t="s">
        <v>1660</v>
      </c>
      <c r="M60" s="182"/>
      <c r="N60" s="182"/>
      <c r="O60" s="182"/>
      <c r="P60" s="182"/>
      <c r="Q60" s="182" t="s">
        <v>341</v>
      </c>
      <c r="R60" s="182" t="s">
        <v>55</v>
      </c>
      <c r="S60" s="182" t="s">
        <v>1294</v>
      </c>
      <c r="T60" s="182"/>
      <c r="U60" s="16"/>
      <c r="V60" s="16"/>
      <c r="W60" s="16"/>
      <c r="X60" s="16"/>
      <c r="Y60" s="16"/>
      <c r="Z60" s="16"/>
      <c r="AA60" s="16"/>
    </row>
    <row r="61" spans="1:27" ht="15.75">
      <c r="A61" s="115">
        <v>58</v>
      </c>
      <c r="B61" s="116" t="s">
        <v>1661</v>
      </c>
      <c r="C61" s="116" t="s">
        <v>503</v>
      </c>
      <c r="D61" s="116" t="s">
        <v>1662</v>
      </c>
      <c r="E61" s="116" t="s">
        <v>260</v>
      </c>
      <c r="F61" s="116" t="s">
        <v>1093</v>
      </c>
      <c r="G61" s="116" t="s">
        <v>1093</v>
      </c>
      <c r="H61" s="116" t="b">
        <v>0</v>
      </c>
      <c r="I61" s="116" t="b">
        <v>0</v>
      </c>
      <c r="J61" s="116" t="s">
        <v>1663</v>
      </c>
      <c r="K61" s="116" t="s">
        <v>1664</v>
      </c>
      <c r="L61" s="16"/>
      <c r="M61" s="182"/>
      <c r="N61" s="182"/>
      <c r="O61" s="182"/>
      <c r="P61" s="182"/>
      <c r="Q61" s="182" t="s">
        <v>341</v>
      </c>
      <c r="R61" s="182" t="s">
        <v>55</v>
      </c>
      <c r="S61" s="182" t="s">
        <v>1665</v>
      </c>
      <c r="T61" s="182"/>
      <c r="U61" s="16"/>
      <c r="V61" s="16"/>
      <c r="W61" s="16"/>
      <c r="X61" s="16"/>
      <c r="Y61" s="16"/>
      <c r="Z61" s="16"/>
      <c r="AA61" s="16"/>
    </row>
    <row r="62" spans="1:27" ht="36">
      <c r="A62" s="115">
        <v>59</v>
      </c>
      <c r="B62" s="116" t="s">
        <v>1666</v>
      </c>
      <c r="C62" s="116" t="s">
        <v>266</v>
      </c>
      <c r="D62" s="116" t="s">
        <v>1667</v>
      </c>
      <c r="E62" s="116" t="s">
        <v>284</v>
      </c>
      <c r="F62" s="116" t="s">
        <v>1093</v>
      </c>
      <c r="G62" s="116" t="s">
        <v>1093</v>
      </c>
      <c r="H62" s="116" t="s">
        <v>1668</v>
      </c>
      <c r="I62" s="116" t="s">
        <v>1093</v>
      </c>
      <c r="J62" s="116" t="s">
        <v>1093</v>
      </c>
      <c r="K62" s="116" t="s">
        <v>1669</v>
      </c>
      <c r="L62" s="29" t="s">
        <v>1670</v>
      </c>
      <c r="M62" s="182"/>
      <c r="N62" s="182"/>
      <c r="O62" s="182"/>
      <c r="P62" s="182"/>
      <c r="Q62" s="182" t="s">
        <v>341</v>
      </c>
      <c r="R62" s="182" t="s">
        <v>55</v>
      </c>
      <c r="S62" s="182" t="s">
        <v>1671</v>
      </c>
      <c r="T62" s="182"/>
      <c r="U62" s="16"/>
      <c r="V62" s="16"/>
      <c r="W62" s="16"/>
      <c r="X62" s="16"/>
      <c r="Y62" s="16"/>
      <c r="Z62" s="16"/>
      <c r="AA62" s="16"/>
    </row>
    <row r="63" spans="1:27" ht="15.75">
      <c r="A63" s="115">
        <v>60</v>
      </c>
      <c r="B63" s="116" t="s">
        <v>1672</v>
      </c>
      <c r="C63" s="116" t="s">
        <v>378</v>
      </c>
      <c r="D63" s="116" t="s">
        <v>1673</v>
      </c>
      <c r="E63" s="116" t="s">
        <v>284</v>
      </c>
      <c r="F63" s="116" t="s">
        <v>1093</v>
      </c>
      <c r="G63" s="116" t="s">
        <v>1093</v>
      </c>
      <c r="H63" s="116" t="s">
        <v>695</v>
      </c>
      <c r="I63" s="116" t="s">
        <v>1093</v>
      </c>
      <c r="J63" s="116" t="s">
        <v>1093</v>
      </c>
      <c r="K63" s="116" t="s">
        <v>1674</v>
      </c>
      <c r="L63" s="28" t="s">
        <v>1675</v>
      </c>
      <c r="M63" s="182" t="s">
        <v>363</v>
      </c>
      <c r="N63" s="182" t="s">
        <v>363</v>
      </c>
      <c r="O63" s="182" t="s">
        <v>1368</v>
      </c>
      <c r="P63" s="182" t="s">
        <v>1676</v>
      </c>
      <c r="Q63" s="182" t="s">
        <v>341</v>
      </c>
      <c r="R63" s="182" t="s">
        <v>55</v>
      </c>
      <c r="S63" s="182" t="s">
        <v>1677</v>
      </c>
      <c r="T63" s="182"/>
      <c r="U63" s="16"/>
      <c r="V63" s="16"/>
      <c r="W63" s="16"/>
      <c r="X63" s="16"/>
      <c r="Y63" s="16"/>
      <c r="Z63" s="16"/>
      <c r="AA63" s="16"/>
    </row>
    <row r="64" spans="1:27" ht="15.75">
      <c r="A64" s="115">
        <v>61</v>
      </c>
      <c r="B64" s="116" t="s">
        <v>1678</v>
      </c>
      <c r="C64" s="116" t="s">
        <v>378</v>
      </c>
      <c r="D64" s="116" t="s">
        <v>1679</v>
      </c>
      <c r="E64" s="116" t="s">
        <v>284</v>
      </c>
      <c r="F64" s="116" t="s">
        <v>1093</v>
      </c>
      <c r="G64" s="116" t="s">
        <v>1093</v>
      </c>
      <c r="H64" s="116" t="s">
        <v>695</v>
      </c>
      <c r="I64" s="116" t="s">
        <v>1093</v>
      </c>
      <c r="J64" s="116" t="s">
        <v>1093</v>
      </c>
      <c r="K64" s="116" t="s">
        <v>1680</v>
      </c>
      <c r="L64" s="28" t="s">
        <v>1675</v>
      </c>
      <c r="M64" s="182"/>
      <c r="N64" s="182"/>
      <c r="O64" s="182"/>
      <c r="P64" s="182"/>
      <c r="Q64" s="182" t="s">
        <v>341</v>
      </c>
      <c r="R64" s="182" t="s">
        <v>55</v>
      </c>
      <c r="S64" s="182" t="s">
        <v>1681</v>
      </c>
      <c r="T64" s="182"/>
      <c r="U64" s="16"/>
      <c r="V64" s="16"/>
      <c r="W64" s="16"/>
      <c r="X64" s="16"/>
      <c r="Y64" s="16"/>
      <c r="Z64" s="16"/>
      <c r="AA64" s="16"/>
    </row>
    <row r="65" spans="1:27" ht="15.75">
      <c r="A65" s="115">
        <v>62</v>
      </c>
      <c r="B65" s="116" t="s">
        <v>1682</v>
      </c>
      <c r="C65" s="116" t="s">
        <v>266</v>
      </c>
      <c r="D65" s="116" t="s">
        <v>1683</v>
      </c>
      <c r="E65" s="116" t="s">
        <v>284</v>
      </c>
      <c r="F65" s="116" t="s">
        <v>1093</v>
      </c>
      <c r="G65" s="116" t="s">
        <v>1093</v>
      </c>
      <c r="H65" s="116">
        <v>86088168</v>
      </c>
      <c r="I65" s="116" t="s">
        <v>1093</v>
      </c>
      <c r="J65" s="116" t="s">
        <v>1093</v>
      </c>
      <c r="K65" s="116" t="s">
        <v>1684</v>
      </c>
      <c r="L65" s="28" t="s">
        <v>1675</v>
      </c>
      <c r="M65" s="182"/>
      <c r="N65" s="182"/>
      <c r="O65" s="182"/>
      <c r="P65" s="182"/>
      <c r="Q65" s="182" t="s">
        <v>341</v>
      </c>
      <c r="R65" s="182" t="s">
        <v>55</v>
      </c>
      <c r="S65" s="182" t="s">
        <v>1685</v>
      </c>
      <c r="T65" s="182"/>
      <c r="U65" s="16"/>
      <c r="V65" s="16"/>
      <c r="W65" s="16"/>
      <c r="X65" s="16"/>
      <c r="Y65" s="16"/>
      <c r="Z65" s="16"/>
      <c r="AA65" s="16"/>
    </row>
    <row r="66" spans="1:27" ht="15.75">
      <c r="A66" s="115">
        <v>63</v>
      </c>
      <c r="B66" s="116" t="s">
        <v>1686</v>
      </c>
      <c r="C66" s="116" t="s">
        <v>266</v>
      </c>
      <c r="D66" s="116" t="s">
        <v>1687</v>
      </c>
      <c r="E66" s="116" t="s">
        <v>284</v>
      </c>
      <c r="F66" s="116" t="s">
        <v>1093</v>
      </c>
      <c r="G66" s="116" t="s">
        <v>1093</v>
      </c>
      <c r="H66" s="116" t="s">
        <v>1688</v>
      </c>
      <c r="I66" s="116" t="s">
        <v>1093</v>
      </c>
      <c r="J66" s="116" t="s">
        <v>1093</v>
      </c>
      <c r="K66" s="116" t="s">
        <v>1689</v>
      </c>
      <c r="L66" s="28" t="s">
        <v>1675</v>
      </c>
      <c r="M66" s="182" t="s">
        <v>363</v>
      </c>
      <c r="N66" s="182" t="s">
        <v>363</v>
      </c>
      <c r="O66" s="182" t="s">
        <v>1690</v>
      </c>
      <c r="P66" s="182" t="s">
        <v>1691</v>
      </c>
      <c r="Q66" s="182" t="s">
        <v>341</v>
      </c>
      <c r="R66" s="182" t="s">
        <v>55</v>
      </c>
      <c r="S66" s="182" t="s">
        <v>1692</v>
      </c>
      <c r="T66" s="182"/>
      <c r="U66" s="16"/>
      <c r="V66" s="16"/>
      <c r="W66" s="16"/>
      <c r="X66" s="16"/>
      <c r="Y66" s="16"/>
      <c r="Z66" s="16"/>
      <c r="AA66" s="16"/>
    </row>
    <row r="67" spans="1:27" ht="15.75">
      <c r="A67" s="115">
        <v>64</v>
      </c>
      <c r="B67" s="116" t="s">
        <v>1693</v>
      </c>
      <c r="C67" s="116" t="s">
        <v>503</v>
      </c>
      <c r="D67" s="116" t="s">
        <v>1694</v>
      </c>
      <c r="E67" s="116" t="s">
        <v>284</v>
      </c>
      <c r="F67" s="116" t="s">
        <v>1093</v>
      </c>
      <c r="G67" s="116" t="s">
        <v>1093</v>
      </c>
      <c r="H67" s="116" t="b">
        <v>0</v>
      </c>
      <c r="I67" s="116" t="s">
        <v>1093</v>
      </c>
      <c r="J67" s="116" t="s">
        <v>1695</v>
      </c>
      <c r="K67" s="116" t="s">
        <v>1696</v>
      </c>
      <c r="L67" s="16"/>
      <c r="M67" s="182"/>
      <c r="N67" s="182"/>
      <c r="O67" s="182"/>
      <c r="P67" s="182"/>
      <c r="Q67" s="182" t="s">
        <v>341</v>
      </c>
      <c r="R67" s="182" t="s">
        <v>55</v>
      </c>
      <c r="S67" s="182" t="s">
        <v>1697</v>
      </c>
      <c r="T67" s="182"/>
      <c r="U67" s="16"/>
      <c r="V67" s="16"/>
      <c r="W67" s="16"/>
      <c r="X67" s="16"/>
      <c r="Y67" s="16"/>
      <c r="Z67" s="16"/>
      <c r="AA67" s="16"/>
    </row>
    <row r="68" spans="1:27" ht="15.75">
      <c r="A68" s="115">
        <v>65</v>
      </c>
      <c r="B68" s="116" t="s">
        <v>1698</v>
      </c>
      <c r="C68" s="116" t="s">
        <v>503</v>
      </c>
      <c r="D68" s="116" t="s">
        <v>1699</v>
      </c>
      <c r="E68" s="116" t="s">
        <v>284</v>
      </c>
      <c r="F68" s="116" t="s">
        <v>1093</v>
      </c>
      <c r="G68" s="116" t="s">
        <v>1093</v>
      </c>
      <c r="H68" s="116" t="b">
        <v>0</v>
      </c>
      <c r="I68" s="116" t="s">
        <v>1093</v>
      </c>
      <c r="J68" s="116" t="s">
        <v>1695</v>
      </c>
      <c r="K68" s="116" t="s">
        <v>1700</v>
      </c>
      <c r="L68" s="16"/>
      <c r="M68" s="182"/>
      <c r="N68" s="182"/>
      <c r="O68" s="182"/>
      <c r="P68" s="182"/>
      <c r="Q68" s="182" t="s">
        <v>341</v>
      </c>
      <c r="R68" s="182" t="s">
        <v>55</v>
      </c>
      <c r="S68" s="182" t="s">
        <v>1701</v>
      </c>
      <c r="T68" s="182"/>
      <c r="U68" s="16"/>
      <c r="V68" s="16"/>
      <c r="W68" s="16"/>
      <c r="X68" s="16"/>
      <c r="Y68" s="16"/>
      <c r="Z68" s="16"/>
      <c r="AA68" s="16"/>
    </row>
    <row r="69" spans="1:27" ht="15.75">
      <c r="A69" s="115">
        <v>66</v>
      </c>
      <c r="B69" s="116" t="s">
        <v>1702</v>
      </c>
      <c r="C69" s="116" t="s">
        <v>1650</v>
      </c>
      <c r="D69" s="116" t="s">
        <v>1703</v>
      </c>
      <c r="E69" s="116" t="s">
        <v>284</v>
      </c>
      <c r="F69" s="116" t="s">
        <v>1093</v>
      </c>
      <c r="G69" s="116" t="s">
        <v>1093</v>
      </c>
      <c r="H69" s="116" t="s">
        <v>1704</v>
      </c>
      <c r="I69" s="116" t="s">
        <v>1093</v>
      </c>
      <c r="J69" s="116" t="s">
        <v>1093</v>
      </c>
      <c r="K69" s="116" t="s">
        <v>1705</v>
      </c>
      <c r="L69" s="16"/>
      <c r="M69" s="182"/>
      <c r="N69" s="182"/>
      <c r="O69" s="182"/>
      <c r="P69" s="182"/>
      <c r="Q69" s="182" t="s">
        <v>341</v>
      </c>
      <c r="R69" s="182" t="s">
        <v>55</v>
      </c>
      <c r="S69" s="182" t="s">
        <v>1706</v>
      </c>
      <c r="T69" s="182"/>
      <c r="U69" s="16"/>
      <c r="V69" s="16"/>
      <c r="W69" s="16"/>
      <c r="X69" s="16"/>
      <c r="Y69" s="16"/>
      <c r="Z69" s="16"/>
      <c r="AA69" s="16"/>
    </row>
    <row r="70" spans="1:27" ht="118.5">
      <c r="A70" s="115">
        <v>67</v>
      </c>
      <c r="B70" s="116" t="s">
        <v>1707</v>
      </c>
      <c r="C70" s="116" t="s">
        <v>503</v>
      </c>
      <c r="D70" s="116" t="s">
        <v>1708</v>
      </c>
      <c r="E70" s="116" t="s">
        <v>284</v>
      </c>
      <c r="F70" s="116" t="s">
        <v>1093</v>
      </c>
      <c r="G70" s="116" t="s">
        <v>1093</v>
      </c>
      <c r="H70" s="116" t="b">
        <v>0</v>
      </c>
      <c r="I70" s="116" t="s">
        <v>1093</v>
      </c>
      <c r="J70" s="116" t="s">
        <v>1709</v>
      </c>
      <c r="K70" s="116" t="s">
        <v>1710</v>
      </c>
      <c r="L70" s="16"/>
      <c r="M70" s="182" t="s">
        <v>363</v>
      </c>
      <c r="N70" s="182" t="s">
        <v>363</v>
      </c>
      <c r="O70" s="184" t="s">
        <v>1456</v>
      </c>
      <c r="P70" s="184" t="s">
        <v>1711</v>
      </c>
      <c r="Q70" s="182" t="s">
        <v>341</v>
      </c>
      <c r="R70" s="182" t="s">
        <v>55</v>
      </c>
      <c r="S70" s="182" t="s">
        <v>1712</v>
      </c>
      <c r="T70" s="182"/>
      <c r="U70" s="16"/>
      <c r="V70" s="16"/>
      <c r="W70" s="16"/>
      <c r="X70" s="16"/>
      <c r="Y70" s="16"/>
      <c r="Z70" s="16"/>
      <c r="AA70" s="16"/>
    </row>
    <row r="71" spans="1:27" ht="15.75">
      <c r="A71" s="117">
        <v>68</v>
      </c>
      <c r="B71" s="116" t="s">
        <v>1713</v>
      </c>
      <c r="C71" s="116" t="s">
        <v>503</v>
      </c>
      <c r="D71" s="116" t="s">
        <v>1714</v>
      </c>
      <c r="E71" s="116" t="s">
        <v>284</v>
      </c>
      <c r="F71" s="116" t="s">
        <v>1093</v>
      </c>
      <c r="G71" s="116" t="s">
        <v>1093</v>
      </c>
      <c r="H71" s="116" t="s">
        <v>1093</v>
      </c>
      <c r="I71" s="116" t="s">
        <v>513</v>
      </c>
      <c r="J71" s="116" t="s">
        <v>1715</v>
      </c>
      <c r="K71" s="116" t="s">
        <v>1093</v>
      </c>
      <c r="L71" s="16"/>
      <c r="M71" s="182"/>
      <c r="N71" s="182"/>
      <c r="O71" s="182"/>
      <c r="P71" s="182"/>
      <c r="Q71" s="182"/>
      <c r="R71" s="182" t="s">
        <v>384</v>
      </c>
      <c r="S71" s="182"/>
      <c r="T71" s="182"/>
      <c r="U71" s="16"/>
      <c r="V71" s="16"/>
      <c r="W71" s="16"/>
      <c r="X71" s="16"/>
      <c r="Y71" s="16"/>
      <c r="Z71" s="16"/>
      <c r="AA71" s="16"/>
    </row>
    <row r="72" spans="1:27" ht="15.75">
      <c r="A72" s="115">
        <v>69</v>
      </c>
      <c r="B72" s="116" t="s">
        <v>1716</v>
      </c>
      <c r="C72" s="116" t="s">
        <v>1650</v>
      </c>
      <c r="D72" s="116" t="s">
        <v>1717</v>
      </c>
      <c r="E72" s="116" t="s">
        <v>284</v>
      </c>
      <c r="F72" s="116" t="s">
        <v>1093</v>
      </c>
      <c r="G72" s="116" t="s">
        <v>1093</v>
      </c>
      <c r="H72" s="116" t="s">
        <v>1718</v>
      </c>
      <c r="I72" s="116" t="s">
        <v>1093</v>
      </c>
      <c r="J72" s="116" t="s">
        <v>1093</v>
      </c>
      <c r="K72" s="116" t="s">
        <v>1719</v>
      </c>
      <c r="L72" s="16"/>
      <c r="M72" s="182"/>
      <c r="N72" s="182"/>
      <c r="O72" s="182"/>
      <c r="P72" s="182"/>
      <c r="Q72" s="182"/>
      <c r="R72" s="182" t="s">
        <v>384</v>
      </c>
      <c r="S72" s="182"/>
      <c r="T72" s="182"/>
      <c r="U72" s="16"/>
      <c r="V72" s="16"/>
      <c r="W72" s="16"/>
      <c r="X72" s="16"/>
      <c r="Y72" s="16"/>
      <c r="Z72" s="16"/>
      <c r="AA72" s="16"/>
    </row>
    <row r="73" spans="1:27" ht="118.5">
      <c r="A73" s="118">
        <v>70</v>
      </c>
      <c r="B73" s="116" t="s">
        <v>1245</v>
      </c>
      <c r="C73" s="116" t="s">
        <v>503</v>
      </c>
      <c r="D73" s="116" t="s">
        <v>1720</v>
      </c>
      <c r="E73" s="116" t="s">
        <v>284</v>
      </c>
      <c r="F73" s="116" t="s">
        <v>1093</v>
      </c>
      <c r="G73" s="116" t="s">
        <v>1093</v>
      </c>
      <c r="H73" s="116" t="b">
        <v>0</v>
      </c>
      <c r="I73" s="116" t="s">
        <v>1093</v>
      </c>
      <c r="J73" s="116" t="s">
        <v>1695</v>
      </c>
      <c r="K73" s="116" t="s">
        <v>1093</v>
      </c>
      <c r="L73" s="16"/>
      <c r="M73" s="182" t="s">
        <v>363</v>
      </c>
      <c r="N73" s="182" t="s">
        <v>363</v>
      </c>
      <c r="O73" s="184" t="s">
        <v>1456</v>
      </c>
      <c r="P73" s="184" t="s">
        <v>1457</v>
      </c>
      <c r="Q73" s="182"/>
      <c r="R73" s="182" t="s">
        <v>384</v>
      </c>
      <c r="S73" s="182"/>
      <c r="T73" s="182"/>
      <c r="U73" s="16"/>
      <c r="V73" s="16"/>
      <c r="W73" s="16"/>
      <c r="X73" s="16"/>
      <c r="Y73" s="16"/>
      <c r="Z73" s="16"/>
      <c r="AA73" s="16"/>
    </row>
    <row r="74" spans="1:27" ht="15.75">
      <c r="A74" s="115">
        <v>71</v>
      </c>
      <c r="B74" s="116" t="s">
        <v>1721</v>
      </c>
      <c r="C74" s="116" t="s">
        <v>1118</v>
      </c>
      <c r="D74" s="116" t="s">
        <v>1722</v>
      </c>
      <c r="E74" s="116" t="s">
        <v>284</v>
      </c>
      <c r="F74" s="116" t="s">
        <v>1093</v>
      </c>
      <c r="G74" s="116" t="s">
        <v>1093</v>
      </c>
      <c r="H74" s="116">
        <v>1</v>
      </c>
      <c r="I74" s="116" t="s">
        <v>1093</v>
      </c>
      <c r="J74" s="116" t="s">
        <v>1093</v>
      </c>
      <c r="K74" s="116" t="s">
        <v>1093</v>
      </c>
      <c r="L74" s="16"/>
      <c r="M74" s="182"/>
      <c r="N74" s="182"/>
      <c r="O74" s="182"/>
      <c r="P74" s="182"/>
      <c r="Q74" s="182"/>
      <c r="R74" s="182" t="s">
        <v>384</v>
      </c>
      <c r="S74" s="182"/>
      <c r="T74" s="182"/>
      <c r="U74" s="16"/>
      <c r="V74" s="16"/>
      <c r="W74" s="16"/>
      <c r="X74" s="16"/>
      <c r="Y74" s="16"/>
      <c r="Z74" s="16"/>
      <c r="AA74" s="16"/>
    </row>
    <row r="75" spans="1:27" ht="24">
      <c r="A75" s="119">
        <v>72</v>
      </c>
      <c r="B75" s="116" t="s">
        <v>1345</v>
      </c>
      <c r="C75" s="116" t="s">
        <v>351</v>
      </c>
      <c r="D75" s="116" t="s">
        <v>1723</v>
      </c>
      <c r="E75" s="116" t="s">
        <v>284</v>
      </c>
      <c r="F75" s="116" t="s">
        <v>1093</v>
      </c>
      <c r="G75" s="116" t="s">
        <v>1093</v>
      </c>
      <c r="H75" s="116" t="s">
        <v>478</v>
      </c>
      <c r="I75" s="116" t="s">
        <v>1724</v>
      </c>
      <c r="J75" s="116" t="s">
        <v>1725</v>
      </c>
      <c r="K75" s="116" t="s">
        <v>1093</v>
      </c>
      <c r="L75" s="16"/>
      <c r="M75" s="182" t="s">
        <v>363</v>
      </c>
      <c r="N75" s="182" t="s">
        <v>363</v>
      </c>
      <c r="O75" s="184" t="s">
        <v>1726</v>
      </c>
      <c r="P75" s="182" t="s">
        <v>1727</v>
      </c>
      <c r="Q75" s="182"/>
      <c r="R75" s="182" t="s">
        <v>384</v>
      </c>
      <c r="S75" s="182"/>
      <c r="T75" s="182"/>
      <c r="U75" s="16"/>
      <c r="V75" s="16"/>
      <c r="W75" s="16"/>
      <c r="X75" s="16"/>
      <c r="Y75" s="16"/>
      <c r="Z75" s="16"/>
      <c r="AA75" s="16"/>
    </row>
    <row r="76" spans="1:27" ht="15.75">
      <c r="A76" s="115">
        <v>73</v>
      </c>
      <c r="B76" s="116" t="s">
        <v>1728</v>
      </c>
      <c r="C76" s="116" t="s">
        <v>351</v>
      </c>
      <c r="D76" s="116" t="s">
        <v>1729</v>
      </c>
      <c r="E76" s="116" t="s">
        <v>284</v>
      </c>
      <c r="F76" s="116" t="s">
        <v>1093</v>
      </c>
      <c r="G76" s="116" t="s">
        <v>1093</v>
      </c>
      <c r="H76" s="116" t="s">
        <v>478</v>
      </c>
      <c r="I76" s="116" t="s">
        <v>1724</v>
      </c>
      <c r="J76" s="116" t="s">
        <v>1725</v>
      </c>
      <c r="K76" s="116" t="s">
        <v>1093</v>
      </c>
      <c r="L76" s="16"/>
      <c r="M76" s="182"/>
      <c r="N76" s="182"/>
      <c r="O76" s="182"/>
      <c r="P76" s="182"/>
      <c r="Q76" s="182"/>
      <c r="R76" s="182" t="s">
        <v>384</v>
      </c>
      <c r="S76" s="182"/>
      <c r="T76" s="182"/>
      <c r="U76" s="16"/>
      <c r="V76" s="16"/>
      <c r="W76" s="16"/>
      <c r="X76" s="16"/>
      <c r="Y76" s="16"/>
      <c r="Z76" s="16"/>
      <c r="AA76" s="16"/>
    </row>
    <row r="77" spans="1:27" ht="15.75">
      <c r="A77" s="120">
        <v>74</v>
      </c>
      <c r="B77" s="116" t="s">
        <v>1730</v>
      </c>
      <c r="C77" s="116" t="s">
        <v>271</v>
      </c>
      <c r="D77" s="116" t="s">
        <v>1731</v>
      </c>
      <c r="E77" s="116" t="s">
        <v>284</v>
      </c>
      <c r="F77" s="116" t="s">
        <v>1093</v>
      </c>
      <c r="G77" s="116" t="s">
        <v>1093</v>
      </c>
      <c r="H77" s="121" t="s">
        <v>1732</v>
      </c>
      <c r="I77" s="116" t="s">
        <v>1093</v>
      </c>
      <c r="J77" s="116" t="s">
        <v>1093</v>
      </c>
      <c r="K77" s="116" t="s">
        <v>1093</v>
      </c>
      <c r="L77" s="16"/>
      <c r="M77" s="182"/>
      <c r="N77" s="182"/>
      <c r="O77" s="182"/>
      <c r="P77" s="182"/>
      <c r="Q77" s="182"/>
      <c r="R77" s="182" t="s">
        <v>384</v>
      </c>
      <c r="S77" s="182"/>
      <c r="T77" s="182"/>
      <c r="U77" s="16"/>
      <c r="V77" s="16"/>
      <c r="W77" s="16"/>
      <c r="X77" s="16"/>
      <c r="Y77" s="16"/>
      <c r="Z77" s="16"/>
      <c r="AA77" s="16"/>
    </row>
    <row r="78" spans="1:27" ht="24">
      <c r="A78" s="115">
        <v>75</v>
      </c>
      <c r="B78" s="116" t="s">
        <v>1733</v>
      </c>
      <c r="C78" s="116" t="s">
        <v>351</v>
      </c>
      <c r="D78" s="116" t="s">
        <v>1734</v>
      </c>
      <c r="E78" s="116" t="s">
        <v>284</v>
      </c>
      <c r="F78" s="116" t="s">
        <v>1093</v>
      </c>
      <c r="G78" s="116" t="s">
        <v>1093</v>
      </c>
      <c r="H78" s="116" t="s">
        <v>795</v>
      </c>
      <c r="I78" s="116" t="s">
        <v>1093</v>
      </c>
      <c r="J78" s="116" t="s">
        <v>1735</v>
      </c>
      <c r="K78" s="116" t="s">
        <v>1093</v>
      </c>
      <c r="L78" s="16"/>
      <c r="M78" s="182" t="s">
        <v>363</v>
      </c>
      <c r="N78" s="182" t="s">
        <v>363</v>
      </c>
      <c r="O78" s="184" t="s">
        <v>1726</v>
      </c>
      <c r="P78" s="182" t="s">
        <v>1727</v>
      </c>
      <c r="Q78" s="182"/>
      <c r="R78" s="182" t="s">
        <v>384</v>
      </c>
      <c r="S78" s="182"/>
      <c r="T78" s="182"/>
      <c r="U78" s="16"/>
      <c r="V78" s="16"/>
      <c r="W78" s="16"/>
      <c r="X78" s="16"/>
      <c r="Y78" s="16"/>
      <c r="Z78" s="16"/>
      <c r="AA78" s="16"/>
    </row>
    <row r="79" spans="1:27" ht="24">
      <c r="A79" s="120">
        <v>76</v>
      </c>
      <c r="B79" s="116" t="s">
        <v>1736</v>
      </c>
      <c r="C79" s="116" t="s">
        <v>378</v>
      </c>
      <c r="D79" s="116" t="s">
        <v>1737</v>
      </c>
      <c r="E79" s="116" t="s">
        <v>284</v>
      </c>
      <c r="F79" s="116" t="s">
        <v>1093</v>
      </c>
      <c r="G79" s="116" t="s">
        <v>1093</v>
      </c>
      <c r="H79" s="116" t="s">
        <v>380</v>
      </c>
      <c r="I79" s="116" t="s">
        <v>1093</v>
      </c>
      <c r="J79" s="116" t="s">
        <v>1093</v>
      </c>
      <c r="K79" s="116" t="s">
        <v>1093</v>
      </c>
      <c r="L79" s="16"/>
      <c r="M79" s="182" t="s">
        <v>363</v>
      </c>
      <c r="N79" s="182" t="s">
        <v>363</v>
      </c>
      <c r="O79" s="184" t="s">
        <v>1726</v>
      </c>
      <c r="P79" s="182" t="s">
        <v>1727</v>
      </c>
      <c r="Q79" s="182"/>
      <c r="R79" s="182" t="s">
        <v>384</v>
      </c>
      <c r="S79" s="182"/>
      <c r="T79" s="182"/>
      <c r="U79" s="16"/>
      <c r="V79" s="16"/>
      <c r="W79" s="16"/>
      <c r="X79" s="16"/>
      <c r="Y79" s="16"/>
      <c r="Z79" s="16"/>
      <c r="AA79" s="16"/>
    </row>
    <row r="80" spans="1:27" ht="15.75">
      <c r="A80" s="115">
        <v>77</v>
      </c>
      <c r="B80" s="116" t="s">
        <v>1738</v>
      </c>
      <c r="C80" s="116" t="s">
        <v>421</v>
      </c>
      <c r="D80" s="116" t="s">
        <v>1739</v>
      </c>
      <c r="E80" s="116" t="s">
        <v>284</v>
      </c>
      <c r="F80" s="116" t="s">
        <v>1093</v>
      </c>
      <c r="G80" s="116" t="s">
        <v>1093</v>
      </c>
      <c r="H80" s="116" t="s">
        <v>1740</v>
      </c>
      <c r="I80" s="116" t="s">
        <v>1093</v>
      </c>
      <c r="J80" s="116" t="s">
        <v>1093</v>
      </c>
      <c r="K80" s="116" t="s">
        <v>1093</v>
      </c>
      <c r="L80" s="16"/>
      <c r="M80" s="182"/>
      <c r="N80" s="182"/>
      <c r="O80" s="182"/>
      <c r="P80" s="182"/>
      <c r="Q80" s="182"/>
      <c r="R80" s="182" t="s">
        <v>384</v>
      </c>
      <c r="S80" s="182"/>
      <c r="T80" s="182"/>
      <c r="U80" s="16"/>
      <c r="V80" s="16"/>
      <c r="W80" s="16"/>
      <c r="X80" s="16"/>
      <c r="Y80" s="16"/>
      <c r="Z80" s="16"/>
      <c r="AA80" s="16"/>
    </row>
    <row r="81" spans="1:27" ht="15.75">
      <c r="A81" s="120">
        <v>78</v>
      </c>
      <c r="B81" s="116" t="s">
        <v>1741</v>
      </c>
      <c r="C81" s="116" t="s">
        <v>387</v>
      </c>
      <c r="D81" s="116" t="s">
        <v>1742</v>
      </c>
      <c r="E81" s="116" t="s">
        <v>284</v>
      </c>
      <c r="F81" s="116" t="s">
        <v>1093</v>
      </c>
      <c r="G81" s="116" t="s">
        <v>1093</v>
      </c>
      <c r="H81" s="116" t="s">
        <v>1093</v>
      </c>
      <c r="I81" s="116" t="s">
        <v>1093</v>
      </c>
      <c r="J81" s="116" t="s">
        <v>1093</v>
      </c>
      <c r="K81" s="116" t="s">
        <v>1093</v>
      </c>
      <c r="L81" s="16"/>
      <c r="M81" s="182"/>
      <c r="N81" s="182"/>
      <c r="O81" s="182"/>
      <c r="P81" s="182"/>
      <c r="Q81" s="182"/>
      <c r="R81" s="182" t="s">
        <v>384</v>
      </c>
      <c r="S81" s="182"/>
      <c r="T81" s="182"/>
      <c r="U81" s="16"/>
      <c r="V81" s="16"/>
      <c r="W81" s="16"/>
      <c r="X81" s="16"/>
      <c r="Y81" s="16"/>
      <c r="Z81" s="16"/>
      <c r="AA81" s="16"/>
    </row>
    <row r="82" spans="1:27" ht="15.75">
      <c r="A82" s="115">
        <v>79</v>
      </c>
      <c r="B82" s="116" t="s">
        <v>1743</v>
      </c>
      <c r="C82" s="116" t="s">
        <v>351</v>
      </c>
      <c r="D82" s="116" t="s">
        <v>1744</v>
      </c>
      <c r="E82" s="116" t="s">
        <v>284</v>
      </c>
      <c r="F82" s="116" t="s">
        <v>1093</v>
      </c>
      <c r="G82" s="116" t="s">
        <v>1093</v>
      </c>
      <c r="H82" s="116" t="s">
        <v>478</v>
      </c>
      <c r="I82" s="116" t="s">
        <v>1724</v>
      </c>
      <c r="J82" s="116" t="s">
        <v>1725</v>
      </c>
      <c r="K82" s="116" t="s">
        <v>1093</v>
      </c>
      <c r="L82" s="16"/>
      <c r="M82" s="182"/>
      <c r="N82" s="182"/>
      <c r="O82" s="182"/>
      <c r="P82" s="182"/>
      <c r="Q82" s="182"/>
      <c r="R82" s="182" t="s">
        <v>384</v>
      </c>
      <c r="S82" s="182"/>
      <c r="T82" s="182"/>
      <c r="U82" s="16"/>
      <c r="V82" s="16"/>
      <c r="W82" s="16"/>
      <c r="X82" s="16"/>
      <c r="Y82" s="16"/>
      <c r="Z82" s="16"/>
      <c r="AA82" s="16"/>
    </row>
    <row r="83" spans="1:27" ht="15.75">
      <c r="A83" s="120">
        <v>80</v>
      </c>
      <c r="B83" s="116" t="s">
        <v>1745</v>
      </c>
      <c r="C83" s="116" t="s">
        <v>770</v>
      </c>
      <c r="D83" s="116" t="s">
        <v>1746</v>
      </c>
      <c r="E83" s="116" t="s">
        <v>284</v>
      </c>
      <c r="F83" s="116" t="s">
        <v>1093</v>
      </c>
      <c r="G83" s="116" t="s">
        <v>1093</v>
      </c>
      <c r="H83" s="116">
        <v>1</v>
      </c>
      <c r="I83" s="116" t="s">
        <v>1093</v>
      </c>
      <c r="J83" s="116" t="s">
        <v>1093</v>
      </c>
      <c r="K83" s="116" t="s">
        <v>1093</v>
      </c>
      <c r="L83" s="16" t="s">
        <v>1747</v>
      </c>
      <c r="M83" s="182"/>
      <c r="N83" s="182"/>
      <c r="O83" s="182"/>
      <c r="P83" s="182"/>
      <c r="Q83" s="182"/>
      <c r="R83" s="182" t="s">
        <v>384</v>
      </c>
      <c r="S83" s="182"/>
      <c r="T83" s="182"/>
      <c r="U83" s="16"/>
      <c r="V83" s="16"/>
      <c r="W83" s="16"/>
      <c r="X83" s="16"/>
      <c r="Y83" s="16"/>
      <c r="Z83" s="16"/>
      <c r="AA83" s="16"/>
    </row>
    <row r="84" spans="1:27" ht="15.75">
      <c r="A84" s="115">
        <v>81</v>
      </c>
      <c r="B84" s="116" t="s">
        <v>1748</v>
      </c>
      <c r="C84" s="116" t="s">
        <v>378</v>
      </c>
      <c r="D84" s="116" t="s">
        <v>1749</v>
      </c>
      <c r="E84" s="116" t="s">
        <v>284</v>
      </c>
      <c r="F84" s="116" t="s">
        <v>1093</v>
      </c>
      <c r="G84" s="116" t="s">
        <v>1093</v>
      </c>
      <c r="H84" s="116" t="s">
        <v>380</v>
      </c>
      <c r="I84" s="116" t="s">
        <v>1093</v>
      </c>
      <c r="J84" s="116" t="s">
        <v>1093</v>
      </c>
      <c r="K84" s="116" t="s">
        <v>1093</v>
      </c>
      <c r="L84" s="16" t="s">
        <v>1750</v>
      </c>
      <c r="M84" s="182"/>
      <c r="N84" s="182"/>
      <c r="O84" s="182"/>
      <c r="P84" s="182"/>
      <c r="Q84" s="182"/>
      <c r="R84" s="182" t="s">
        <v>384</v>
      </c>
      <c r="S84" s="182"/>
      <c r="T84" s="182"/>
      <c r="U84" s="16"/>
      <c r="V84" s="16"/>
      <c r="W84" s="16"/>
      <c r="X84" s="16"/>
      <c r="Y84" s="16"/>
      <c r="Z84" s="16"/>
      <c r="AA84" s="16"/>
    </row>
    <row r="85" spans="1:27" ht="15.75">
      <c r="A85" s="120">
        <v>82</v>
      </c>
      <c r="B85" s="116" t="s">
        <v>1751</v>
      </c>
      <c r="C85" s="116" t="s">
        <v>503</v>
      </c>
      <c r="D85" s="116" t="s">
        <v>1752</v>
      </c>
      <c r="E85" s="116" t="s">
        <v>284</v>
      </c>
      <c r="F85" s="116" t="s">
        <v>1093</v>
      </c>
      <c r="G85" s="116" t="s">
        <v>1093</v>
      </c>
      <c r="H85" s="116" t="b">
        <v>1</v>
      </c>
      <c r="I85" s="116" t="b">
        <v>0</v>
      </c>
      <c r="J85" s="116" t="s">
        <v>1753</v>
      </c>
      <c r="K85" s="116" t="s">
        <v>1093</v>
      </c>
      <c r="L85" s="16"/>
      <c r="M85" s="182" t="s">
        <v>363</v>
      </c>
      <c r="N85" s="182" t="s">
        <v>363</v>
      </c>
      <c r="O85" s="182" t="s">
        <v>1754</v>
      </c>
      <c r="P85" s="182" t="s">
        <v>1755</v>
      </c>
      <c r="Q85" s="182"/>
      <c r="R85" s="182" t="s">
        <v>384</v>
      </c>
      <c r="S85" s="182"/>
      <c r="T85" s="182"/>
      <c r="U85" s="16"/>
      <c r="V85" s="16"/>
      <c r="W85" s="16"/>
      <c r="X85" s="16"/>
      <c r="Y85" s="16"/>
      <c r="Z85" s="16"/>
      <c r="AA85" s="16"/>
    </row>
    <row r="86" spans="1:27" ht="15.75">
      <c r="A86" s="115">
        <v>83</v>
      </c>
      <c r="B86" s="116" t="s">
        <v>1756</v>
      </c>
      <c r="C86" s="116" t="s">
        <v>445</v>
      </c>
      <c r="D86" s="116" t="s">
        <v>1757</v>
      </c>
      <c r="E86" s="116" t="s">
        <v>284</v>
      </c>
      <c r="F86" s="116" t="s">
        <v>1093</v>
      </c>
      <c r="G86" s="116" t="s">
        <v>1093</v>
      </c>
      <c r="H86" s="116" t="s">
        <v>1093</v>
      </c>
      <c r="I86" s="116" t="s">
        <v>1093</v>
      </c>
      <c r="J86" s="116" t="s">
        <v>1093</v>
      </c>
      <c r="K86" s="116" t="s">
        <v>1093</v>
      </c>
      <c r="L86" s="16"/>
      <c r="M86" s="182"/>
      <c r="N86" s="182"/>
      <c r="O86" s="182"/>
      <c r="P86" s="182"/>
      <c r="Q86" s="182"/>
      <c r="R86" s="182" t="s">
        <v>384</v>
      </c>
      <c r="S86" s="182"/>
      <c r="T86" s="182"/>
      <c r="U86" s="16"/>
      <c r="V86" s="16"/>
      <c r="W86" s="16"/>
      <c r="X86" s="16"/>
      <c r="Y86" s="16"/>
      <c r="Z86" s="16"/>
      <c r="AA86" s="16"/>
    </row>
    <row r="87" spans="1:27" ht="15.75">
      <c r="A87" s="120">
        <v>84</v>
      </c>
      <c r="B87" s="116" t="s">
        <v>1758</v>
      </c>
      <c r="C87" s="116" t="s">
        <v>351</v>
      </c>
      <c r="D87" s="116" t="s">
        <v>1759</v>
      </c>
      <c r="E87" s="116" t="s">
        <v>284</v>
      </c>
      <c r="F87" s="116" t="s">
        <v>1093</v>
      </c>
      <c r="G87" s="116" t="s">
        <v>1093</v>
      </c>
      <c r="H87" s="116" t="s">
        <v>1724</v>
      </c>
      <c r="I87" s="116" t="s">
        <v>1093</v>
      </c>
      <c r="J87" s="116" t="s">
        <v>1760</v>
      </c>
      <c r="K87" s="116" t="s">
        <v>1093</v>
      </c>
      <c r="L87" s="16"/>
      <c r="M87" s="182"/>
      <c r="N87" s="182"/>
      <c r="O87" s="182"/>
      <c r="P87" s="182"/>
      <c r="Q87" s="182"/>
      <c r="R87" s="182" t="s">
        <v>384</v>
      </c>
      <c r="S87" s="182"/>
      <c r="T87" s="182"/>
      <c r="U87" s="16"/>
      <c r="V87" s="16"/>
      <c r="W87" s="16"/>
      <c r="X87" s="16"/>
      <c r="Y87" s="16"/>
      <c r="Z87" s="16"/>
      <c r="AA87" s="16"/>
    </row>
    <row r="88" spans="1:27" ht="15.75">
      <c r="A88" s="115">
        <v>85</v>
      </c>
      <c r="B88" s="116" t="s">
        <v>1761</v>
      </c>
      <c r="C88" s="116" t="s">
        <v>1118</v>
      </c>
      <c r="D88" s="116" t="s">
        <v>1762</v>
      </c>
      <c r="E88" s="116" t="s">
        <v>284</v>
      </c>
      <c r="F88" s="116" t="s">
        <v>1093</v>
      </c>
      <c r="G88" s="116" t="s">
        <v>1093</v>
      </c>
      <c r="H88" s="116">
        <v>1</v>
      </c>
      <c r="I88" s="116" t="s">
        <v>1093</v>
      </c>
      <c r="J88" s="116" t="s">
        <v>1093</v>
      </c>
      <c r="K88" s="116" t="s">
        <v>1093</v>
      </c>
      <c r="L88" s="16"/>
      <c r="M88" s="182"/>
      <c r="N88" s="182"/>
      <c r="O88" s="182"/>
      <c r="P88" s="182"/>
      <c r="Q88" s="182"/>
      <c r="R88" s="182" t="s">
        <v>384</v>
      </c>
      <c r="S88" s="182"/>
      <c r="T88" s="182"/>
      <c r="U88" s="16"/>
      <c r="V88" s="16"/>
      <c r="W88" s="16"/>
      <c r="X88" s="16"/>
      <c r="Y88" s="16"/>
      <c r="Z88" s="16"/>
      <c r="AA88" s="16"/>
    </row>
    <row r="89" spans="1:27" ht="15.75">
      <c r="A89" s="120">
        <v>86</v>
      </c>
      <c r="B89" s="116" t="s">
        <v>1763</v>
      </c>
      <c r="C89" s="116" t="s">
        <v>378</v>
      </c>
      <c r="D89" s="116" t="s">
        <v>1764</v>
      </c>
      <c r="E89" s="116" t="s">
        <v>284</v>
      </c>
      <c r="F89" s="116" t="s">
        <v>1093</v>
      </c>
      <c r="G89" s="116" t="s">
        <v>1093</v>
      </c>
      <c r="H89" s="116" t="s">
        <v>380</v>
      </c>
      <c r="I89" s="116" t="s">
        <v>1093</v>
      </c>
      <c r="J89" s="116" t="s">
        <v>1093</v>
      </c>
      <c r="K89" s="116" t="s">
        <v>1093</v>
      </c>
      <c r="L89" s="16"/>
      <c r="M89" s="182"/>
      <c r="N89" s="182"/>
      <c r="O89" s="182"/>
      <c r="P89" s="182"/>
      <c r="Q89" s="182"/>
      <c r="R89" s="182" t="s">
        <v>384</v>
      </c>
      <c r="S89" s="182"/>
      <c r="T89" s="182"/>
      <c r="U89" s="16"/>
      <c r="V89" s="16"/>
      <c r="W89" s="16"/>
      <c r="X89" s="16"/>
      <c r="Y89" s="16"/>
      <c r="Z89" s="16"/>
      <c r="AA89" s="16"/>
    </row>
    <row r="90" spans="1:27" ht="15.75">
      <c r="A90" s="115">
        <v>87</v>
      </c>
      <c r="B90" s="122" t="s">
        <v>1765</v>
      </c>
      <c r="C90" s="122" t="s">
        <v>258</v>
      </c>
      <c r="D90" s="122" t="s">
        <v>1766</v>
      </c>
      <c r="E90" s="122" t="s">
        <v>284</v>
      </c>
      <c r="F90" s="122" t="s">
        <v>1093</v>
      </c>
      <c r="G90" s="122" t="s">
        <v>1093</v>
      </c>
      <c r="H90" s="122" t="s">
        <v>1093</v>
      </c>
      <c r="I90" s="122" t="s">
        <v>1093</v>
      </c>
      <c r="J90" s="122" t="s">
        <v>1093</v>
      </c>
      <c r="K90" s="122" t="s">
        <v>1093</v>
      </c>
      <c r="L90" s="16"/>
      <c r="M90" s="182"/>
      <c r="N90" s="182"/>
      <c r="O90" s="182"/>
      <c r="P90" s="182"/>
      <c r="Q90" s="182"/>
      <c r="R90" s="182" t="s">
        <v>384</v>
      </c>
      <c r="S90" s="182"/>
      <c r="T90" s="182"/>
      <c r="U90" s="16"/>
      <c r="V90" s="16"/>
      <c r="W90" s="16"/>
      <c r="X90" s="16"/>
      <c r="Y90" s="16"/>
      <c r="Z90" s="16"/>
      <c r="AA90" s="16"/>
    </row>
    <row r="91" spans="1:27" ht="15.75">
      <c r="A91" s="120">
        <v>88</v>
      </c>
      <c r="B91" s="122" t="s">
        <v>1767</v>
      </c>
      <c r="C91" s="122" t="s">
        <v>266</v>
      </c>
      <c r="D91" s="122" t="s">
        <v>1768</v>
      </c>
      <c r="E91" s="122" t="s">
        <v>284</v>
      </c>
      <c r="F91" s="122" t="s">
        <v>1093</v>
      </c>
      <c r="G91" s="122" t="s">
        <v>1093</v>
      </c>
      <c r="H91" s="122" t="s">
        <v>1093</v>
      </c>
      <c r="I91" s="122" t="s">
        <v>1093</v>
      </c>
      <c r="J91" s="122" t="s">
        <v>1093</v>
      </c>
      <c r="K91" s="122" t="s">
        <v>1093</v>
      </c>
      <c r="L91" s="16"/>
      <c r="M91" s="182"/>
      <c r="N91" s="182"/>
      <c r="O91" s="182"/>
      <c r="P91" s="182"/>
      <c r="Q91" s="182"/>
      <c r="R91" s="182" t="s">
        <v>384</v>
      </c>
      <c r="S91" s="182"/>
      <c r="T91" s="182"/>
      <c r="U91" s="16"/>
      <c r="V91" s="16"/>
      <c r="W91" s="16"/>
      <c r="X91" s="16"/>
      <c r="Y91" s="16"/>
      <c r="Z91" s="16"/>
      <c r="AA91" s="16"/>
    </row>
    <row r="92" spans="1:27" ht="15.75">
      <c r="A92" s="115">
        <v>89</v>
      </c>
      <c r="B92" s="122" t="s">
        <v>1769</v>
      </c>
      <c r="C92" s="122" t="s">
        <v>1118</v>
      </c>
      <c r="D92" s="122" t="s">
        <v>1770</v>
      </c>
      <c r="E92" s="122" t="s">
        <v>284</v>
      </c>
      <c r="F92" s="122" t="s">
        <v>1093</v>
      </c>
      <c r="G92" s="122" t="s">
        <v>1093</v>
      </c>
      <c r="H92" s="122">
        <v>1</v>
      </c>
      <c r="I92" s="122" t="s">
        <v>1093</v>
      </c>
      <c r="J92" s="122" t="s">
        <v>1093</v>
      </c>
      <c r="K92" s="122" t="s">
        <v>1093</v>
      </c>
      <c r="L92" s="16"/>
      <c r="M92" s="182"/>
      <c r="N92" s="182"/>
      <c r="O92" s="182"/>
      <c r="P92" s="182"/>
      <c r="Q92" s="182"/>
      <c r="R92" s="182" t="s">
        <v>384</v>
      </c>
      <c r="S92" s="182"/>
      <c r="T92" s="182"/>
      <c r="U92" s="16"/>
      <c r="V92" s="16"/>
      <c r="W92" s="16"/>
      <c r="X92" s="16"/>
      <c r="Y92" s="16"/>
      <c r="Z92" s="16"/>
      <c r="AA92" s="16"/>
    </row>
    <row r="93" spans="1:27" ht="130.5">
      <c r="A93" s="120">
        <v>90</v>
      </c>
      <c r="B93" s="116" t="s">
        <v>1439</v>
      </c>
      <c r="C93" s="116" t="s">
        <v>1440</v>
      </c>
      <c r="D93" s="116" t="s">
        <v>1441</v>
      </c>
      <c r="E93" s="116" t="s">
        <v>284</v>
      </c>
      <c r="F93" s="116" t="s">
        <v>1093</v>
      </c>
      <c r="G93" s="116" t="s">
        <v>1093</v>
      </c>
      <c r="H93" s="123" t="s">
        <v>1771</v>
      </c>
      <c r="I93" s="116" t="s">
        <v>1093</v>
      </c>
      <c r="J93" s="116" t="s">
        <v>1093</v>
      </c>
      <c r="K93" s="116" t="s">
        <v>1443</v>
      </c>
      <c r="L93" s="16"/>
      <c r="M93" s="182" t="s">
        <v>363</v>
      </c>
      <c r="N93" s="182" t="s">
        <v>363</v>
      </c>
      <c r="O93" s="184" t="s">
        <v>1464</v>
      </c>
      <c r="P93" s="184" t="s">
        <v>1465</v>
      </c>
      <c r="Q93" s="182"/>
      <c r="R93" s="182" t="s">
        <v>384</v>
      </c>
      <c r="S93" s="182"/>
      <c r="T93" s="182"/>
      <c r="U93" s="16"/>
      <c r="V93" s="16"/>
      <c r="W93" s="16"/>
      <c r="X93" s="16"/>
      <c r="Y93" s="16"/>
      <c r="Z93" s="16"/>
      <c r="AA93" s="16"/>
    </row>
    <row r="94" spans="1:27" ht="15.75">
      <c r="A94" s="115">
        <v>91</v>
      </c>
      <c r="B94" s="116" t="s">
        <v>683</v>
      </c>
      <c r="C94" s="116" t="s">
        <v>378</v>
      </c>
      <c r="D94" s="116" t="s">
        <v>684</v>
      </c>
      <c r="E94" s="116" t="s">
        <v>260</v>
      </c>
      <c r="F94" s="116" t="s">
        <v>1093</v>
      </c>
      <c r="G94" s="116" t="s">
        <v>1093</v>
      </c>
      <c r="H94" s="116" t="s">
        <v>380</v>
      </c>
      <c r="I94" s="116" t="s">
        <v>1093</v>
      </c>
      <c r="J94" s="116" t="s">
        <v>1093</v>
      </c>
      <c r="K94" s="116" t="s">
        <v>1772</v>
      </c>
      <c r="L94" s="16"/>
      <c r="M94" s="182"/>
      <c r="N94" s="182"/>
      <c r="O94" s="182"/>
      <c r="P94" s="182"/>
      <c r="Q94" s="182"/>
      <c r="R94" s="182" t="s">
        <v>384</v>
      </c>
      <c r="S94" s="182"/>
      <c r="T94" s="182"/>
      <c r="U94" s="16"/>
      <c r="V94" s="16"/>
      <c r="W94" s="16"/>
      <c r="X94" s="16"/>
      <c r="Y94" s="16"/>
      <c r="Z94" s="16"/>
      <c r="AA94" s="16"/>
    </row>
    <row r="95" spans="1:27" ht="15.75">
      <c r="A95" s="120">
        <v>92</v>
      </c>
      <c r="B95" s="116" t="s">
        <v>689</v>
      </c>
      <c r="C95" s="116" t="s">
        <v>271</v>
      </c>
      <c r="D95" s="116" t="s">
        <v>690</v>
      </c>
      <c r="E95" s="116" t="s">
        <v>260</v>
      </c>
      <c r="F95" s="116" t="s">
        <v>1093</v>
      </c>
      <c r="G95" s="116" t="s">
        <v>1093</v>
      </c>
      <c r="H95" s="116">
        <v>2901215</v>
      </c>
      <c r="I95" s="116" t="s">
        <v>1093</v>
      </c>
      <c r="J95" s="116" t="s">
        <v>1093</v>
      </c>
      <c r="K95" s="116" t="s">
        <v>1093</v>
      </c>
      <c r="L95" s="16"/>
      <c r="M95" s="182"/>
      <c r="N95" s="182"/>
      <c r="O95" s="182"/>
      <c r="P95" s="182"/>
      <c r="Q95" s="182" t="s">
        <v>341</v>
      </c>
      <c r="R95" s="182" t="s">
        <v>55</v>
      </c>
      <c r="S95" s="182" t="s">
        <v>1406</v>
      </c>
      <c r="T95" s="182"/>
      <c r="U95" s="16"/>
      <c r="V95" s="16"/>
      <c r="W95" s="16"/>
      <c r="X95" s="16"/>
      <c r="Y95" s="16"/>
      <c r="Z95" s="16"/>
      <c r="AA95" s="16"/>
    </row>
    <row r="96" spans="1:27" ht="15.75">
      <c r="A96" s="115">
        <v>93</v>
      </c>
      <c r="B96" s="116" t="s">
        <v>693</v>
      </c>
      <c r="C96" s="116" t="s">
        <v>378</v>
      </c>
      <c r="D96" s="116" t="s">
        <v>694</v>
      </c>
      <c r="E96" s="116" t="s">
        <v>260</v>
      </c>
      <c r="F96" s="116" t="s">
        <v>1093</v>
      </c>
      <c r="G96" s="116" t="s">
        <v>1093</v>
      </c>
      <c r="H96" s="116" t="s">
        <v>695</v>
      </c>
      <c r="I96" s="116" t="s">
        <v>1093</v>
      </c>
      <c r="J96" s="116" t="s">
        <v>1093</v>
      </c>
      <c r="K96" s="116" t="s">
        <v>1773</v>
      </c>
      <c r="L96" s="16"/>
      <c r="M96" s="140"/>
      <c r="N96" s="140"/>
      <c r="O96" s="140"/>
      <c r="P96" s="140"/>
      <c r="Q96" s="140" t="s">
        <v>341</v>
      </c>
      <c r="R96" s="140" t="s">
        <v>55</v>
      </c>
      <c r="S96" s="140" t="s">
        <v>1407</v>
      </c>
      <c r="T96" s="140"/>
    </row>
    <row r="97" spans="1:20" ht="15.75">
      <c r="A97" s="120">
        <v>94</v>
      </c>
      <c r="B97" s="116" t="s">
        <v>699</v>
      </c>
      <c r="C97" s="116" t="s">
        <v>271</v>
      </c>
      <c r="D97" s="116" t="s">
        <v>700</v>
      </c>
      <c r="E97" s="116" t="s">
        <v>260</v>
      </c>
      <c r="F97" s="116" t="s">
        <v>1093</v>
      </c>
      <c r="G97" s="116" t="s">
        <v>1093</v>
      </c>
      <c r="H97" s="116">
        <v>2901215</v>
      </c>
      <c r="I97" s="116" t="s">
        <v>1093</v>
      </c>
      <c r="J97" s="116" t="s">
        <v>1093</v>
      </c>
      <c r="K97" s="116" t="s">
        <v>1093</v>
      </c>
      <c r="M97" s="140"/>
      <c r="N97" s="140"/>
      <c r="O97" s="140"/>
      <c r="P97" s="140"/>
      <c r="Q97" s="140" t="s">
        <v>341</v>
      </c>
      <c r="R97" s="140" t="s">
        <v>55</v>
      </c>
      <c r="S97" s="140" t="s">
        <v>1408</v>
      </c>
      <c r="T97" s="140"/>
    </row>
    <row r="98" spans="1:20" ht="15.75">
      <c r="A98" s="115">
        <v>95</v>
      </c>
      <c r="B98" s="116" t="s">
        <v>703</v>
      </c>
      <c r="C98" s="116" t="s">
        <v>378</v>
      </c>
      <c r="D98" s="116" t="s">
        <v>704</v>
      </c>
      <c r="E98" s="116" t="s">
        <v>284</v>
      </c>
      <c r="F98" s="116" t="s">
        <v>1093</v>
      </c>
      <c r="G98" s="116" t="s">
        <v>1093</v>
      </c>
      <c r="H98" s="116" t="s">
        <v>380</v>
      </c>
      <c r="I98" s="116" t="s">
        <v>1093</v>
      </c>
      <c r="J98" s="116" t="s">
        <v>1093</v>
      </c>
      <c r="K98" s="116" t="s">
        <v>1774</v>
      </c>
      <c r="M98" s="140"/>
      <c r="N98" s="140"/>
      <c r="O98" s="140"/>
      <c r="P98" s="140"/>
      <c r="Q98" s="140"/>
      <c r="R98" s="140" t="s">
        <v>384</v>
      </c>
      <c r="S98" s="140"/>
      <c r="T98" s="140"/>
    </row>
    <row r="99" spans="1:20" ht="15.75">
      <c r="A99" s="120">
        <v>96</v>
      </c>
      <c r="B99" s="116" t="s">
        <v>707</v>
      </c>
      <c r="C99" s="116" t="s">
        <v>271</v>
      </c>
      <c r="D99" s="116" t="s">
        <v>1393</v>
      </c>
      <c r="E99" s="116" t="s">
        <v>284</v>
      </c>
      <c r="F99" s="116" t="s">
        <v>1093</v>
      </c>
      <c r="G99" s="116" t="s">
        <v>1093</v>
      </c>
      <c r="H99" s="116">
        <v>2901215</v>
      </c>
      <c r="I99" s="116" t="s">
        <v>1093</v>
      </c>
      <c r="J99" s="116" t="s">
        <v>1093</v>
      </c>
      <c r="K99" s="116" t="s">
        <v>1093</v>
      </c>
      <c r="M99" s="140"/>
      <c r="N99" s="140"/>
      <c r="O99" s="140"/>
      <c r="P99" s="140"/>
      <c r="Q99" s="140"/>
      <c r="R99" s="140" t="s">
        <v>384</v>
      </c>
      <c r="S99" s="140"/>
      <c r="T99" s="140"/>
    </row>
  </sheetData>
  <hyperlinks>
    <hyperlink ref="H77" r:id="rId1" xr:uid="{1FA16469-8803-42FA-BDC6-6E3D83714043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1365E-716E-4558-BBAE-9021A5F345BE}">
  <sheetPr>
    <tabColor theme="4" tint="0.79998168889431442"/>
  </sheetPr>
  <dimension ref="A1:T15"/>
  <sheetViews>
    <sheetView workbookViewId="0">
      <selection activeCell="N7" sqref="N7"/>
    </sheetView>
  </sheetViews>
  <sheetFormatPr defaultRowHeight="15"/>
  <cols>
    <col min="1" max="1" width="5.140625" bestFit="1" customWidth="1"/>
    <col min="2" max="2" width="24.7109375" bestFit="1" customWidth="1"/>
    <col min="3" max="3" width="77.85546875" bestFit="1" customWidth="1"/>
    <col min="4" max="4" width="53" bestFit="1" customWidth="1"/>
    <col min="5" max="5" width="10.42578125" bestFit="1" customWidth="1"/>
    <col min="6" max="6" width="13.5703125" bestFit="1" customWidth="1"/>
    <col min="7" max="7" width="21.28515625" bestFit="1" customWidth="1"/>
    <col min="8" max="8" width="26.42578125" bestFit="1" customWidth="1"/>
    <col min="9" max="9" width="16" bestFit="1" customWidth="1"/>
    <col min="10" max="10" width="44.140625" bestFit="1" customWidth="1"/>
    <col min="11" max="11" width="104" bestFit="1" customWidth="1"/>
    <col min="15" max="15" width="31.42578125" customWidth="1"/>
    <col min="16" max="16" width="63.140625" customWidth="1"/>
    <col min="17" max="17" width="13.7109375" bestFit="1" customWidth="1"/>
    <col min="18" max="18" width="22.7109375" bestFit="1" customWidth="1"/>
    <col min="19" max="19" width="12" bestFit="1" customWidth="1"/>
    <col min="20" max="20" width="5.5703125" bestFit="1" customWidth="1"/>
  </cols>
  <sheetData>
    <row r="1" spans="1:20">
      <c r="A1" s="21"/>
      <c r="B1" s="22" t="s">
        <v>323</v>
      </c>
      <c r="C1" s="23" t="s">
        <v>46</v>
      </c>
      <c r="D1" s="24"/>
      <c r="E1" s="141" t="s">
        <v>1775</v>
      </c>
      <c r="F1" s="16"/>
      <c r="G1" s="25"/>
      <c r="H1" s="25"/>
      <c r="I1" s="16"/>
      <c r="J1" s="16"/>
      <c r="K1" s="25"/>
    </row>
    <row r="2" spans="1:20">
      <c r="A2" s="21"/>
      <c r="B2" s="22" t="s">
        <v>325</v>
      </c>
      <c r="C2" s="23" t="s">
        <v>1776</v>
      </c>
      <c r="D2" s="24"/>
      <c r="E2" s="16"/>
      <c r="F2" s="16"/>
      <c r="G2" s="25"/>
      <c r="H2" s="25"/>
      <c r="I2" s="16"/>
      <c r="J2" s="16"/>
      <c r="K2" s="25"/>
    </row>
    <row r="3" spans="1:20">
      <c r="A3" s="21"/>
      <c r="B3" s="22" t="s">
        <v>327</v>
      </c>
      <c r="C3" s="142" t="s">
        <v>1777</v>
      </c>
      <c r="D3" s="24"/>
      <c r="E3" s="16"/>
      <c r="F3" s="16"/>
      <c r="G3" s="25"/>
      <c r="H3" s="25"/>
      <c r="I3" s="16"/>
      <c r="J3" s="16"/>
      <c r="K3" s="25"/>
    </row>
    <row r="4" spans="1:20" ht="17.25">
      <c r="A4" s="112" t="s">
        <v>247</v>
      </c>
      <c r="B4" s="113" t="s">
        <v>248</v>
      </c>
      <c r="C4" s="113" t="s">
        <v>17</v>
      </c>
      <c r="D4" s="113" t="s">
        <v>249</v>
      </c>
      <c r="E4" s="113" t="s">
        <v>250</v>
      </c>
      <c r="F4" s="113" t="s">
        <v>251</v>
      </c>
      <c r="G4" s="114" t="s">
        <v>252</v>
      </c>
      <c r="H4" s="114" t="s">
        <v>253</v>
      </c>
      <c r="I4" s="113" t="s">
        <v>254</v>
      </c>
      <c r="J4" s="113" t="s">
        <v>255</v>
      </c>
      <c r="K4" s="114" t="s">
        <v>256</v>
      </c>
      <c r="M4" s="54" t="s">
        <v>331</v>
      </c>
      <c r="N4" s="54" t="s">
        <v>332</v>
      </c>
      <c r="O4" s="54" t="s">
        <v>333</v>
      </c>
      <c r="P4" s="54" t="s">
        <v>334</v>
      </c>
      <c r="Q4" s="140" t="s">
        <v>335</v>
      </c>
      <c r="R4" s="140" t="s">
        <v>319</v>
      </c>
      <c r="S4" s="140" t="s">
        <v>336</v>
      </c>
      <c r="T4" s="140" t="s">
        <v>337</v>
      </c>
    </row>
    <row r="5" spans="1:20">
      <c r="A5" s="27" t="s">
        <v>338</v>
      </c>
      <c r="B5" s="8" t="s">
        <v>1416</v>
      </c>
      <c r="C5" s="8" t="s">
        <v>258</v>
      </c>
      <c r="D5" s="8" t="s">
        <v>1778</v>
      </c>
      <c r="E5" s="18" t="s">
        <v>260</v>
      </c>
      <c r="F5" s="8" t="s">
        <v>261</v>
      </c>
      <c r="G5" s="17" t="s">
        <v>1779</v>
      </c>
      <c r="H5" s="8"/>
      <c r="I5" s="8"/>
      <c r="J5" s="8"/>
      <c r="K5" s="8"/>
      <c r="M5" s="54"/>
      <c r="N5" s="54"/>
      <c r="O5" s="54"/>
      <c r="P5" s="54"/>
      <c r="Q5" s="140" t="s">
        <v>341</v>
      </c>
      <c r="R5" s="140" t="s">
        <v>47</v>
      </c>
      <c r="S5" s="140" t="s">
        <v>1462</v>
      </c>
      <c r="T5" s="140"/>
    </row>
    <row r="6" spans="1:20">
      <c r="A6" s="27" t="s">
        <v>343</v>
      </c>
      <c r="B6" s="8" t="s">
        <v>1780</v>
      </c>
      <c r="C6" s="8" t="s">
        <v>387</v>
      </c>
      <c r="D6" s="8" t="s">
        <v>1781</v>
      </c>
      <c r="E6" s="18" t="s">
        <v>260</v>
      </c>
      <c r="F6" s="8" t="s">
        <v>261</v>
      </c>
      <c r="G6" s="8"/>
      <c r="H6" s="8" t="s">
        <v>1782</v>
      </c>
      <c r="I6" s="8"/>
      <c r="J6" s="8"/>
      <c r="K6" s="8"/>
      <c r="M6" s="54"/>
      <c r="N6" s="54"/>
      <c r="O6" s="54"/>
      <c r="P6" s="54"/>
      <c r="Q6" s="140" t="s">
        <v>341</v>
      </c>
      <c r="R6" s="140" t="s">
        <v>47</v>
      </c>
      <c r="S6" s="140" t="s">
        <v>1783</v>
      </c>
      <c r="T6" s="140"/>
    </row>
    <row r="7" spans="1:20" ht="106.5">
      <c r="A7" s="27" t="s">
        <v>349</v>
      </c>
      <c r="B7" s="8" t="s">
        <v>1784</v>
      </c>
      <c r="C7" s="8" t="s">
        <v>658</v>
      </c>
      <c r="D7" s="8" t="s">
        <v>1785</v>
      </c>
      <c r="E7" s="18" t="s">
        <v>260</v>
      </c>
      <c r="F7" s="8"/>
      <c r="G7" s="8"/>
      <c r="H7" s="8" t="s">
        <v>1786</v>
      </c>
      <c r="I7" s="8"/>
      <c r="J7" s="8"/>
      <c r="K7" s="8"/>
      <c r="M7" s="140" t="s">
        <v>363</v>
      </c>
      <c r="N7" s="140" t="s">
        <v>363</v>
      </c>
      <c r="O7" s="176" t="s">
        <v>1084</v>
      </c>
      <c r="P7" s="176" t="s">
        <v>1153</v>
      </c>
      <c r="Q7" s="140"/>
      <c r="R7" s="140" t="s">
        <v>384</v>
      </c>
      <c r="S7" s="140"/>
      <c r="T7" s="140"/>
    </row>
    <row r="8" spans="1:20" ht="106.5">
      <c r="A8" s="27" t="s">
        <v>357</v>
      </c>
      <c r="B8" s="8" t="s">
        <v>1787</v>
      </c>
      <c r="C8" s="8" t="s">
        <v>266</v>
      </c>
      <c r="D8" s="8" t="s">
        <v>1788</v>
      </c>
      <c r="E8" s="18" t="s">
        <v>260</v>
      </c>
      <c r="F8" s="8"/>
      <c r="G8" s="8"/>
      <c r="H8" s="8"/>
      <c r="I8" s="8"/>
      <c r="J8" s="11" t="s">
        <v>1789</v>
      </c>
      <c r="K8" s="8"/>
      <c r="M8" s="140" t="s">
        <v>363</v>
      </c>
      <c r="N8" s="140" t="s">
        <v>363</v>
      </c>
      <c r="O8" s="176" t="s">
        <v>1084</v>
      </c>
      <c r="P8" s="176" t="s">
        <v>1104</v>
      </c>
      <c r="Q8" s="140"/>
      <c r="R8" s="140" t="s">
        <v>384</v>
      </c>
      <c r="S8" s="140"/>
      <c r="T8" s="140"/>
    </row>
    <row r="9" spans="1:20" ht="152.25">
      <c r="A9" s="27" t="s">
        <v>367</v>
      </c>
      <c r="B9" s="8" t="s">
        <v>1790</v>
      </c>
      <c r="C9" s="8" t="s">
        <v>266</v>
      </c>
      <c r="D9" s="8" t="s">
        <v>1791</v>
      </c>
      <c r="E9" s="18" t="s">
        <v>260</v>
      </c>
      <c r="F9" s="8"/>
      <c r="G9" s="8"/>
      <c r="H9" s="8" t="s">
        <v>1792</v>
      </c>
      <c r="I9" s="8"/>
      <c r="J9" s="8"/>
      <c r="K9" s="8"/>
      <c r="M9" s="140" t="s">
        <v>363</v>
      </c>
      <c r="N9" s="140" t="s">
        <v>363</v>
      </c>
      <c r="O9" s="176" t="s">
        <v>1148</v>
      </c>
      <c r="P9" s="176" t="s">
        <v>1160</v>
      </c>
      <c r="Q9" s="140" t="s">
        <v>341</v>
      </c>
      <c r="R9" s="140" t="s">
        <v>47</v>
      </c>
      <c r="S9" s="140" t="s">
        <v>1793</v>
      </c>
      <c r="T9" s="140"/>
    </row>
    <row r="10" spans="1:20" ht="91.5">
      <c r="A10" s="27" t="s">
        <v>385</v>
      </c>
      <c r="B10" s="143" t="s">
        <v>1794</v>
      </c>
      <c r="C10" s="143" t="s">
        <v>1118</v>
      </c>
      <c r="D10" s="143" t="s">
        <v>1795</v>
      </c>
      <c r="E10" s="144" t="s">
        <v>284</v>
      </c>
      <c r="F10" s="143"/>
      <c r="G10" s="143"/>
      <c r="H10" s="143" t="s">
        <v>1792</v>
      </c>
      <c r="I10" s="143"/>
      <c r="J10" s="143"/>
      <c r="K10" s="143"/>
      <c r="M10" s="140" t="s">
        <v>363</v>
      </c>
      <c r="N10" s="140" t="s">
        <v>363</v>
      </c>
      <c r="O10" s="176" t="s">
        <v>1084</v>
      </c>
      <c r="P10" s="176" t="s">
        <v>1104</v>
      </c>
      <c r="Q10" s="140"/>
      <c r="R10" s="140" t="s">
        <v>384</v>
      </c>
      <c r="S10" s="140"/>
      <c r="T10" s="140"/>
    </row>
    <row r="11" spans="1:20" ht="244.5">
      <c r="A11" s="27" t="s">
        <v>395</v>
      </c>
      <c r="B11" s="8" t="s">
        <v>1796</v>
      </c>
      <c r="C11" s="8" t="s">
        <v>1195</v>
      </c>
      <c r="D11" s="8" t="s">
        <v>1797</v>
      </c>
      <c r="E11" s="18" t="s">
        <v>260</v>
      </c>
      <c r="F11" s="8"/>
      <c r="G11" s="8"/>
      <c r="H11" s="8" t="s">
        <v>1798</v>
      </c>
      <c r="I11" s="8"/>
      <c r="J11" s="8"/>
      <c r="K11" s="8"/>
      <c r="M11" s="140" t="s">
        <v>363</v>
      </c>
      <c r="N11" s="140" t="s">
        <v>363</v>
      </c>
      <c r="O11" s="176" t="s">
        <v>1799</v>
      </c>
      <c r="P11" s="176" t="s">
        <v>1800</v>
      </c>
      <c r="Q11" s="140" t="s">
        <v>341</v>
      </c>
      <c r="R11" s="140" t="s">
        <v>47</v>
      </c>
      <c r="S11" s="140" t="s">
        <v>1796</v>
      </c>
      <c r="T11" s="140"/>
    </row>
    <row r="12" spans="1:20">
      <c r="A12" s="27" t="s">
        <v>402</v>
      </c>
      <c r="B12" s="145" t="s">
        <v>683</v>
      </c>
      <c r="C12" s="145" t="s">
        <v>378</v>
      </c>
      <c r="D12" s="145" t="s">
        <v>684</v>
      </c>
      <c r="E12" s="146" t="s">
        <v>260</v>
      </c>
      <c r="F12" s="145"/>
      <c r="G12" s="145"/>
      <c r="H12" s="145" t="s">
        <v>380</v>
      </c>
      <c r="I12" s="145"/>
      <c r="J12" s="145"/>
      <c r="K12" s="145" t="s">
        <v>685</v>
      </c>
      <c r="M12" s="54"/>
      <c r="N12" s="54"/>
      <c r="O12" s="54"/>
      <c r="P12" s="54"/>
      <c r="Q12" s="140"/>
      <c r="R12" s="140" t="s">
        <v>384</v>
      </c>
      <c r="S12" s="140"/>
      <c r="T12" s="140"/>
    </row>
    <row r="13" spans="1:20">
      <c r="A13" s="27" t="s">
        <v>412</v>
      </c>
      <c r="B13" s="145" t="s">
        <v>689</v>
      </c>
      <c r="C13" s="145" t="s">
        <v>271</v>
      </c>
      <c r="D13" s="145" t="s">
        <v>690</v>
      </c>
      <c r="E13" s="146" t="s">
        <v>260</v>
      </c>
      <c r="F13" s="145"/>
      <c r="G13" s="145"/>
      <c r="H13" s="145" t="s">
        <v>691</v>
      </c>
      <c r="I13" s="145"/>
      <c r="J13" s="145"/>
      <c r="K13" s="145"/>
      <c r="M13" s="54"/>
      <c r="N13" s="54"/>
      <c r="O13" s="54"/>
      <c r="P13" s="54"/>
      <c r="Q13" s="140"/>
      <c r="R13" s="140" t="s">
        <v>384</v>
      </c>
      <c r="S13" s="140"/>
      <c r="T13" s="140"/>
    </row>
    <row r="14" spans="1:20">
      <c r="A14" s="27" t="s">
        <v>419</v>
      </c>
      <c r="B14" s="145" t="s">
        <v>693</v>
      </c>
      <c r="C14" s="145" t="s">
        <v>378</v>
      </c>
      <c r="D14" s="145" t="s">
        <v>694</v>
      </c>
      <c r="E14" s="146" t="s">
        <v>284</v>
      </c>
      <c r="F14" s="145"/>
      <c r="G14" s="145"/>
      <c r="H14" s="145" t="s">
        <v>695</v>
      </c>
      <c r="I14" s="145"/>
      <c r="J14" s="145"/>
      <c r="K14" s="145" t="s">
        <v>696</v>
      </c>
      <c r="M14" s="54"/>
      <c r="N14" s="54"/>
      <c r="O14" s="54"/>
      <c r="P14" s="54"/>
      <c r="Q14" s="140"/>
      <c r="R14" s="140" t="s">
        <v>384</v>
      </c>
      <c r="S14" s="140"/>
      <c r="T14" s="140"/>
    </row>
    <row r="15" spans="1:20">
      <c r="A15" s="27" t="s">
        <v>425</v>
      </c>
      <c r="B15" s="145" t="s">
        <v>699</v>
      </c>
      <c r="C15" s="145" t="s">
        <v>271</v>
      </c>
      <c r="D15" s="145" t="s">
        <v>700</v>
      </c>
      <c r="E15" s="146" t="s">
        <v>284</v>
      </c>
      <c r="F15" s="145"/>
      <c r="G15" s="145"/>
      <c r="H15" s="145" t="s">
        <v>691</v>
      </c>
      <c r="I15" s="145"/>
      <c r="J15" s="145"/>
      <c r="K15" s="145"/>
      <c r="M15" s="54"/>
      <c r="N15" s="54"/>
      <c r="O15" s="54"/>
      <c r="P15" s="54"/>
      <c r="Q15" s="140"/>
      <c r="R15" s="140" t="s">
        <v>384</v>
      </c>
      <c r="S15" s="140"/>
      <c r="T15" s="140"/>
    </row>
  </sheetData>
  <hyperlinks>
    <hyperlink ref="C3" r:id="rId1" xr:uid="{C783A590-2D38-439C-91F3-07DEA07FC0A3}"/>
    <hyperlink ref="G5" r:id="rId2" xr:uid="{AB61DB53-3FF4-4BAD-AA00-8CAB19CA33BC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6C5F5-F05A-46E3-9574-F3A4EE65A7C1}">
  <dimension ref="A1:F70"/>
  <sheetViews>
    <sheetView workbookViewId="0"/>
  </sheetViews>
  <sheetFormatPr defaultRowHeight="15"/>
  <cols>
    <col min="1" max="1" width="25.28515625" bestFit="1" customWidth="1"/>
    <col min="2" max="2" width="61.28515625" bestFit="1" customWidth="1"/>
    <col min="3" max="3" width="60.7109375" bestFit="1" customWidth="1"/>
    <col min="4" max="4" width="61.42578125" bestFit="1" customWidth="1"/>
    <col min="5" max="5" width="62.42578125" bestFit="1" customWidth="1"/>
    <col min="6" max="6" width="61.5703125" bestFit="1" customWidth="1"/>
  </cols>
  <sheetData>
    <row r="1" spans="1:6">
      <c r="A1" s="173" t="s">
        <v>1462</v>
      </c>
      <c r="B1" s="173" t="s">
        <v>1801</v>
      </c>
      <c r="C1" s="173" t="s">
        <v>1802</v>
      </c>
      <c r="D1" s="173" t="s">
        <v>1803</v>
      </c>
      <c r="E1" s="173" t="s">
        <v>1804</v>
      </c>
      <c r="F1" s="173" t="s">
        <v>1805</v>
      </c>
    </row>
    <row r="2" spans="1:6">
      <c r="A2" s="173" t="s">
        <v>342</v>
      </c>
      <c r="B2" s="173" t="s">
        <v>1806</v>
      </c>
      <c r="C2" s="173" t="s">
        <v>1807</v>
      </c>
      <c r="D2" s="173" t="s">
        <v>1808</v>
      </c>
      <c r="E2" s="173" t="s">
        <v>1809</v>
      </c>
      <c r="F2" s="173" t="s">
        <v>1810</v>
      </c>
    </row>
    <row r="3" spans="1:6">
      <c r="A3" s="173" t="s">
        <v>348</v>
      </c>
      <c r="B3" s="173">
        <v>14074</v>
      </c>
      <c r="C3" s="173">
        <v>1</v>
      </c>
      <c r="D3" s="173">
        <v>104</v>
      </c>
      <c r="E3" s="173">
        <v>20412</v>
      </c>
      <c r="F3" s="173">
        <v>728779</v>
      </c>
    </row>
    <row r="4" spans="1:6">
      <c r="A4" s="173" t="s">
        <v>1811</v>
      </c>
      <c r="B4" s="173"/>
      <c r="C4" s="173"/>
      <c r="D4" s="173"/>
      <c r="E4" s="173"/>
      <c r="F4" s="173"/>
    </row>
    <row r="5" spans="1:6">
      <c r="A5" s="173" t="s">
        <v>1078</v>
      </c>
      <c r="B5" s="173" t="s">
        <v>1812</v>
      </c>
      <c r="C5" s="173" t="s">
        <v>1813</v>
      </c>
      <c r="D5" s="173" t="s">
        <v>1812</v>
      </c>
      <c r="E5" s="173" t="s">
        <v>1814</v>
      </c>
      <c r="F5" s="173" t="s">
        <v>1815</v>
      </c>
    </row>
    <row r="6" spans="1:6">
      <c r="A6" s="173" t="s">
        <v>1090</v>
      </c>
      <c r="B6" s="173" t="s">
        <v>1816</v>
      </c>
      <c r="C6" s="173" t="s">
        <v>1817</v>
      </c>
      <c r="D6" s="173" t="s">
        <v>1816</v>
      </c>
      <c r="E6" s="173" t="s">
        <v>1818</v>
      </c>
      <c r="F6" s="173" t="s">
        <v>1819</v>
      </c>
    </row>
    <row r="7" spans="1:6">
      <c r="A7" s="173" t="s">
        <v>1820</v>
      </c>
      <c r="B7" s="173">
        <v>2</v>
      </c>
      <c r="C7" s="173">
        <v>1</v>
      </c>
      <c r="D7" s="173">
        <v>1</v>
      </c>
      <c r="E7" s="173">
        <v>1</v>
      </c>
      <c r="F7" s="173">
        <v>9</v>
      </c>
    </row>
    <row r="8" spans="1:6">
      <c r="A8" s="173" t="s">
        <v>585</v>
      </c>
      <c r="B8" s="173">
        <v>2</v>
      </c>
      <c r="C8" s="173">
        <v>2</v>
      </c>
      <c r="D8" s="173">
        <v>2</v>
      </c>
      <c r="E8" s="173">
        <v>1</v>
      </c>
      <c r="F8" s="173">
        <v>1</v>
      </c>
    </row>
    <row r="9" spans="1:6">
      <c r="A9" s="173" t="s">
        <v>1121</v>
      </c>
      <c r="B9" s="173">
        <v>35</v>
      </c>
      <c r="C9" s="173">
        <v>25</v>
      </c>
      <c r="D9" s="173">
        <v>30</v>
      </c>
      <c r="E9" s="173">
        <v>35</v>
      </c>
      <c r="F9" s="173">
        <v>30</v>
      </c>
    </row>
    <row r="10" spans="1:6">
      <c r="A10" s="173" t="s">
        <v>1193</v>
      </c>
      <c r="B10" s="173">
        <v>1350000</v>
      </c>
      <c r="C10" s="173">
        <v>3000000</v>
      </c>
      <c r="D10" s="173">
        <v>900000</v>
      </c>
      <c r="E10" s="173">
        <v>1000000</v>
      </c>
      <c r="F10" s="173">
        <v>130000</v>
      </c>
    </row>
    <row r="11" spans="1:6">
      <c r="A11" s="173" t="s">
        <v>1198</v>
      </c>
      <c r="B11" s="173">
        <v>15000</v>
      </c>
      <c r="C11" s="173">
        <v>148200</v>
      </c>
      <c r="D11" s="173">
        <v>18000</v>
      </c>
      <c r="E11" s="173">
        <v>83500</v>
      </c>
      <c r="F11" s="173">
        <v>100000</v>
      </c>
    </row>
    <row r="12" spans="1:6">
      <c r="A12" s="173" t="s">
        <v>1109</v>
      </c>
      <c r="B12" s="173" t="s">
        <v>1821</v>
      </c>
      <c r="C12" s="173" t="s">
        <v>1821</v>
      </c>
      <c r="D12" s="173" t="s">
        <v>1821</v>
      </c>
      <c r="E12" s="173" t="s">
        <v>1821</v>
      </c>
      <c r="F12" s="173" t="s">
        <v>1821</v>
      </c>
    </row>
    <row r="13" spans="1:6">
      <c r="A13" s="173" t="s">
        <v>1113</v>
      </c>
      <c r="B13" s="173" t="s">
        <v>1822</v>
      </c>
      <c r="C13" s="173" t="s">
        <v>1823</v>
      </c>
      <c r="D13" s="173" t="s">
        <v>1822</v>
      </c>
      <c r="E13" s="173" t="s">
        <v>1824</v>
      </c>
      <c r="F13" s="173" t="s">
        <v>1825</v>
      </c>
    </row>
    <row r="14" spans="1:6">
      <c r="A14" s="173" t="s">
        <v>1116</v>
      </c>
      <c r="B14" s="173" t="s">
        <v>1826</v>
      </c>
      <c r="C14" s="173" t="s">
        <v>1827</v>
      </c>
      <c r="D14" s="173" t="s">
        <v>1828</v>
      </c>
      <c r="E14" s="173" t="s">
        <v>1829</v>
      </c>
      <c r="F14" s="173" t="s">
        <v>1830</v>
      </c>
    </row>
    <row r="15" spans="1:6">
      <c r="A15" s="173" t="s">
        <v>1222</v>
      </c>
      <c r="B15" s="173"/>
      <c r="C15" s="173"/>
      <c r="D15" s="173"/>
      <c r="E15" s="173"/>
      <c r="F15" s="173"/>
    </row>
    <row r="16" spans="1:6">
      <c r="A16" s="173" t="s">
        <v>1274</v>
      </c>
      <c r="B16" s="173"/>
      <c r="C16" s="173"/>
      <c r="D16" s="173"/>
      <c r="E16" s="173"/>
      <c r="F16" s="173"/>
    </row>
    <row r="17" spans="1:6">
      <c r="A17" s="173" t="s">
        <v>1320</v>
      </c>
      <c r="B17" s="173"/>
      <c r="C17" s="173"/>
      <c r="D17" s="173"/>
      <c r="E17" s="173"/>
      <c r="F17" s="173"/>
    </row>
    <row r="18" spans="1:6">
      <c r="A18" s="173" t="s">
        <v>1231</v>
      </c>
      <c r="B18" s="173"/>
      <c r="C18" s="173"/>
      <c r="D18" s="173"/>
      <c r="E18" s="173"/>
      <c r="F18" s="173"/>
    </row>
    <row r="19" spans="1:6">
      <c r="A19" s="173" t="s">
        <v>1072</v>
      </c>
      <c r="B19" s="173">
        <v>256700001625</v>
      </c>
      <c r="C19" s="173">
        <v>256790018710</v>
      </c>
      <c r="D19" s="173">
        <v>256700001659</v>
      </c>
      <c r="E19" s="173">
        <v>256790018739</v>
      </c>
      <c r="F19" s="173">
        <v>256790018734</v>
      </c>
    </row>
    <row r="20" spans="1:6">
      <c r="A20" s="173" t="s">
        <v>686</v>
      </c>
      <c r="B20" s="174">
        <v>45425.394309328702</v>
      </c>
      <c r="C20" s="174">
        <v>45425.502673206021</v>
      </c>
      <c r="D20" s="174">
        <v>45425.704064606478</v>
      </c>
      <c r="E20" s="174">
        <v>45426.698357071757</v>
      </c>
      <c r="F20" s="174">
        <v>45426.618601215276</v>
      </c>
    </row>
    <row r="21" spans="1:6">
      <c r="A21" s="173" t="s">
        <v>401</v>
      </c>
      <c r="B21" s="174">
        <v>45425.394599317129</v>
      </c>
      <c r="C21" s="174">
        <v>45425.598863993058</v>
      </c>
      <c r="D21" s="174">
        <v>45425.704760266206</v>
      </c>
      <c r="E21" s="174">
        <v>45426.712059351848</v>
      </c>
      <c r="F21" s="174">
        <v>45426.629190891203</v>
      </c>
    </row>
    <row r="22" spans="1:6">
      <c r="A22" s="173" t="s">
        <v>938</v>
      </c>
      <c r="B22" s="174">
        <v>45425.649962696756</v>
      </c>
      <c r="C22" s="174">
        <v>45425.59683829861</v>
      </c>
      <c r="D22" s="174">
        <v>45425.710712731481</v>
      </c>
      <c r="E22" s="174">
        <v>45426.705700081016</v>
      </c>
      <c r="F22" s="174">
        <v>45427.417449062501</v>
      </c>
    </row>
    <row r="23" spans="1:6">
      <c r="A23" s="173" t="s">
        <v>449</v>
      </c>
      <c r="B23" s="174">
        <v>32629</v>
      </c>
      <c r="C23" s="174">
        <v>36168</v>
      </c>
      <c r="D23" s="174">
        <v>34479</v>
      </c>
      <c r="E23" s="174">
        <v>32629</v>
      </c>
      <c r="F23" s="174">
        <v>34455</v>
      </c>
    </row>
    <row r="24" spans="1:6">
      <c r="A24" s="173" t="s">
        <v>350</v>
      </c>
      <c r="B24" s="173" t="s">
        <v>478</v>
      </c>
      <c r="C24" s="173" t="s">
        <v>478</v>
      </c>
      <c r="D24" s="173" t="s">
        <v>478</v>
      </c>
      <c r="E24" s="173" t="s">
        <v>478</v>
      </c>
      <c r="F24" s="173" t="s">
        <v>478</v>
      </c>
    </row>
    <row r="25" spans="1:6">
      <c r="A25" s="173" t="s">
        <v>1831</v>
      </c>
      <c r="B25" s="173" t="s">
        <v>1832</v>
      </c>
      <c r="C25" s="173" t="s">
        <v>1833</v>
      </c>
      <c r="D25" s="173" t="s">
        <v>1834</v>
      </c>
      <c r="E25" s="173" t="s">
        <v>1835</v>
      </c>
      <c r="F25" s="173" t="s">
        <v>1836</v>
      </c>
    </row>
    <row r="26" spans="1:6">
      <c r="A26" s="173" t="s">
        <v>1173</v>
      </c>
      <c r="B26" s="173">
        <v>2</v>
      </c>
      <c r="C26" s="173">
        <v>2</v>
      </c>
      <c r="D26" s="173">
        <v>2</v>
      </c>
      <c r="E26" s="173">
        <v>2</v>
      </c>
      <c r="F26" s="173"/>
    </row>
    <row r="27" spans="1:6">
      <c r="A27" s="173" t="s">
        <v>1837</v>
      </c>
      <c r="B27" s="173" t="s">
        <v>1838</v>
      </c>
      <c r="C27" s="173" t="s">
        <v>1838</v>
      </c>
      <c r="D27" s="173" t="s">
        <v>1838</v>
      </c>
      <c r="E27" s="173" t="s">
        <v>1838</v>
      </c>
      <c r="F27" s="173"/>
    </row>
    <row r="28" spans="1:6">
      <c r="A28" s="173" t="s">
        <v>1247</v>
      </c>
      <c r="B28" s="173" t="s">
        <v>795</v>
      </c>
      <c r="C28" s="173" t="s">
        <v>795</v>
      </c>
      <c r="D28" s="173" t="s">
        <v>795</v>
      </c>
      <c r="E28" s="173" t="s">
        <v>795</v>
      </c>
      <c r="F28" s="173" t="s">
        <v>795</v>
      </c>
    </row>
    <row r="29" spans="1:6">
      <c r="A29" s="173" t="s">
        <v>1268</v>
      </c>
      <c r="B29" s="173">
        <v>15000</v>
      </c>
      <c r="C29" s="173">
        <v>148200</v>
      </c>
      <c r="D29" s="173">
        <v>18000</v>
      </c>
      <c r="E29" s="173">
        <v>90500</v>
      </c>
      <c r="F29" s="173">
        <v>100000</v>
      </c>
    </row>
    <row r="30" spans="1:6">
      <c r="A30" s="173" t="s">
        <v>1234</v>
      </c>
      <c r="B30" s="173" t="s">
        <v>1839</v>
      </c>
      <c r="C30" s="173" t="s">
        <v>1840</v>
      </c>
      <c r="D30" s="173" t="s">
        <v>1839</v>
      </c>
      <c r="E30" s="173" t="s">
        <v>1841</v>
      </c>
      <c r="F30" s="173" t="s">
        <v>1842</v>
      </c>
    </row>
    <row r="31" spans="1:6">
      <c r="A31" s="173" t="s">
        <v>1843</v>
      </c>
      <c r="B31" s="173">
        <v>64</v>
      </c>
      <c r="C31" s="173">
        <v>20</v>
      </c>
      <c r="D31" s="173">
        <v>69</v>
      </c>
      <c r="E31" s="173">
        <v>20</v>
      </c>
      <c r="F31" s="173">
        <v>1</v>
      </c>
    </row>
    <row r="32" spans="1:6">
      <c r="A32" s="173" t="s">
        <v>1221</v>
      </c>
      <c r="B32" s="173">
        <v>64</v>
      </c>
      <c r="C32" s="173">
        <v>20</v>
      </c>
      <c r="D32" s="173">
        <v>69</v>
      </c>
      <c r="E32" s="173">
        <v>20</v>
      </c>
      <c r="F32" s="173">
        <v>10</v>
      </c>
    </row>
    <row r="33" spans="1:6">
      <c r="A33" s="173" t="s">
        <v>1844</v>
      </c>
      <c r="B33" s="173">
        <v>1</v>
      </c>
      <c r="C33" s="173">
        <v>0</v>
      </c>
      <c r="D33" s="173">
        <v>1</v>
      </c>
      <c r="E33" s="173">
        <v>0</v>
      </c>
      <c r="F33" s="173">
        <v>0</v>
      </c>
    </row>
    <row r="34" spans="1:6">
      <c r="A34" s="173" t="s">
        <v>1218</v>
      </c>
      <c r="B34" s="173">
        <v>1</v>
      </c>
      <c r="C34" s="173">
        <v>0</v>
      </c>
      <c r="D34" s="173">
        <v>1</v>
      </c>
      <c r="E34" s="173">
        <v>0</v>
      </c>
      <c r="F34" s="173">
        <v>0</v>
      </c>
    </row>
    <row r="35" spans="1:6">
      <c r="A35" s="173" t="s">
        <v>1238</v>
      </c>
      <c r="B35" s="173"/>
      <c r="C35" s="173" t="s">
        <v>363</v>
      </c>
      <c r="D35" s="173"/>
      <c r="E35" s="173" t="s">
        <v>363</v>
      </c>
      <c r="F35" s="173"/>
    </row>
    <row r="36" spans="1:6">
      <c r="A36" s="173" t="s">
        <v>1241</v>
      </c>
      <c r="B36" s="173">
        <v>0</v>
      </c>
      <c r="C36" s="173">
        <v>5</v>
      </c>
      <c r="D36" s="173">
        <v>0</v>
      </c>
      <c r="E36" s="173">
        <v>-5</v>
      </c>
      <c r="F36" s="173">
        <v>0</v>
      </c>
    </row>
    <row r="37" spans="1:6">
      <c r="A37" s="173" t="s">
        <v>1242</v>
      </c>
      <c r="B37" s="173"/>
      <c r="C37" s="173"/>
      <c r="D37" s="173"/>
      <c r="E37" s="173"/>
      <c r="F37" s="173"/>
    </row>
    <row r="38" spans="1:6">
      <c r="A38" s="173" t="s">
        <v>1845</v>
      </c>
      <c r="B38" s="173" t="s">
        <v>1846</v>
      </c>
      <c r="C38" s="173" t="s">
        <v>1846</v>
      </c>
      <c r="D38" s="173" t="s">
        <v>1846</v>
      </c>
      <c r="E38" s="173" t="s">
        <v>1846</v>
      </c>
      <c r="F38" s="173" t="s">
        <v>1846</v>
      </c>
    </row>
    <row r="39" spans="1:6">
      <c r="A39" s="173" t="s">
        <v>1847</v>
      </c>
      <c r="B39" s="173" t="s">
        <v>1848</v>
      </c>
      <c r="C39" s="173" t="s">
        <v>1849</v>
      </c>
      <c r="D39" s="173" t="s">
        <v>1850</v>
      </c>
      <c r="E39" s="173" t="s">
        <v>1851</v>
      </c>
      <c r="F39" s="173" t="s">
        <v>1852</v>
      </c>
    </row>
    <row r="40" spans="1:6">
      <c r="A40" s="173" t="s">
        <v>452</v>
      </c>
      <c r="B40" s="173" t="s">
        <v>1853</v>
      </c>
      <c r="C40" s="173" t="s">
        <v>1853</v>
      </c>
      <c r="D40" s="173" t="s">
        <v>1853</v>
      </c>
      <c r="E40" s="173" t="s">
        <v>1853</v>
      </c>
      <c r="F40" s="173" t="s">
        <v>1853</v>
      </c>
    </row>
    <row r="41" spans="1:6">
      <c r="A41" s="173" t="s">
        <v>1261</v>
      </c>
      <c r="B41" s="173"/>
      <c r="C41" s="173"/>
      <c r="D41" s="173"/>
      <c r="E41" s="173"/>
      <c r="F41" s="173" t="s">
        <v>795</v>
      </c>
    </row>
    <row r="42" spans="1:6">
      <c r="A42" s="173" t="s">
        <v>1254</v>
      </c>
      <c r="B42" s="173">
        <v>0</v>
      </c>
      <c r="C42" s="173"/>
      <c r="D42" s="173">
        <v>0</v>
      </c>
      <c r="E42" s="173"/>
      <c r="F42" s="173"/>
    </row>
    <row r="43" spans="1:6">
      <c r="A43" s="173" t="s">
        <v>1257</v>
      </c>
      <c r="B43" s="173">
        <v>0</v>
      </c>
      <c r="C43" s="173"/>
      <c r="D43" s="173">
        <v>0</v>
      </c>
      <c r="E43" s="173"/>
      <c r="F43" s="173"/>
    </row>
    <row r="44" spans="1:6">
      <c r="A44" s="173" t="s">
        <v>1264</v>
      </c>
      <c r="B44" s="173">
        <v>0</v>
      </c>
      <c r="C44" s="173"/>
      <c r="D44" s="173">
        <v>0</v>
      </c>
      <c r="E44" s="173"/>
      <c r="F44" s="173">
        <v>0</v>
      </c>
    </row>
    <row r="45" spans="1:6">
      <c r="A45" s="173" t="s">
        <v>1311</v>
      </c>
      <c r="B45" s="174">
        <v>45425.394334293982</v>
      </c>
      <c r="C45" s="174">
        <v>45425.502714988426</v>
      </c>
      <c r="D45" s="174">
        <v>45425.704084247685</v>
      </c>
      <c r="E45" s="174">
        <v>45426.698397581022</v>
      </c>
      <c r="F45" s="174">
        <v>45426.618623680559</v>
      </c>
    </row>
    <row r="46" spans="1:6">
      <c r="A46" s="173" t="s">
        <v>1248</v>
      </c>
      <c r="B46" s="173"/>
      <c r="C46" s="173" t="s">
        <v>795</v>
      </c>
      <c r="D46" s="173"/>
      <c r="E46" s="173" t="s">
        <v>795</v>
      </c>
      <c r="F46" s="173"/>
    </row>
    <row r="47" spans="1:6">
      <c r="A47" s="173" t="s">
        <v>1282</v>
      </c>
      <c r="B47" s="173">
        <v>0</v>
      </c>
      <c r="C47" s="173">
        <v>0</v>
      </c>
      <c r="D47" s="173">
        <v>0</v>
      </c>
      <c r="E47" s="173">
        <v>0</v>
      </c>
      <c r="F47" s="173">
        <v>0</v>
      </c>
    </row>
    <row r="48" spans="1:6">
      <c r="A48" s="173" t="s">
        <v>1285</v>
      </c>
      <c r="B48" s="173">
        <v>0</v>
      </c>
      <c r="C48" s="173">
        <v>0</v>
      </c>
      <c r="D48" s="173">
        <v>0</v>
      </c>
      <c r="E48" s="173">
        <v>0</v>
      </c>
      <c r="F48" s="173">
        <v>0</v>
      </c>
    </row>
    <row r="49" spans="1:6">
      <c r="A49" s="173" t="s">
        <v>1288</v>
      </c>
      <c r="B49" s="173">
        <v>0</v>
      </c>
      <c r="C49" s="173">
        <v>0</v>
      </c>
      <c r="D49" s="173">
        <v>0</v>
      </c>
      <c r="E49" s="173">
        <v>0</v>
      </c>
      <c r="F49" s="173">
        <v>0</v>
      </c>
    </row>
    <row r="50" spans="1:6">
      <c r="A50" s="173" t="s">
        <v>1291</v>
      </c>
      <c r="B50" s="173">
        <v>0</v>
      </c>
      <c r="C50" s="173">
        <v>148200</v>
      </c>
      <c r="D50" s="173">
        <v>0</v>
      </c>
      <c r="E50" s="173">
        <v>90500</v>
      </c>
      <c r="F50" s="173">
        <v>0</v>
      </c>
    </row>
    <row r="51" spans="1:6">
      <c r="A51" s="173" t="s">
        <v>1279</v>
      </c>
      <c r="B51" s="173"/>
      <c r="C51" s="173"/>
      <c r="D51" s="173"/>
      <c r="E51" s="173"/>
      <c r="F51" s="173"/>
    </row>
    <row r="52" spans="1:6">
      <c r="A52" s="173" t="s">
        <v>1294</v>
      </c>
      <c r="B52" s="173"/>
      <c r="C52" s="173"/>
      <c r="D52" s="173"/>
      <c r="E52" s="173"/>
      <c r="F52" s="173"/>
    </row>
    <row r="53" spans="1:6">
      <c r="A53" s="173" t="s">
        <v>1300</v>
      </c>
      <c r="B53" s="173"/>
      <c r="C53" s="173"/>
      <c r="D53" s="173"/>
      <c r="E53" s="173"/>
      <c r="F53" s="173"/>
    </row>
    <row r="54" spans="1:6">
      <c r="A54" s="173" t="s">
        <v>561</v>
      </c>
      <c r="B54" s="173">
        <v>283</v>
      </c>
      <c r="C54" s="173">
        <v>147</v>
      </c>
      <c r="D54" s="173">
        <v>156</v>
      </c>
      <c r="E54" s="173">
        <v>113</v>
      </c>
      <c r="F54" s="173">
        <v>214</v>
      </c>
    </row>
    <row r="55" spans="1:6">
      <c r="A55" s="173" t="s">
        <v>574</v>
      </c>
      <c r="B55" s="173">
        <v>1</v>
      </c>
      <c r="C55" s="173">
        <v>6</v>
      </c>
      <c r="D55" s="173">
        <v>2</v>
      </c>
      <c r="E55" s="173">
        <v>4</v>
      </c>
      <c r="F55" s="173">
        <v>1</v>
      </c>
    </row>
    <row r="56" spans="1:6">
      <c r="A56" s="173" t="s">
        <v>580</v>
      </c>
      <c r="B56" s="173" t="s">
        <v>1854</v>
      </c>
      <c r="C56" s="173" t="s">
        <v>1855</v>
      </c>
      <c r="D56" s="173" t="s">
        <v>1856</v>
      </c>
      <c r="E56" s="173" t="s">
        <v>1857</v>
      </c>
      <c r="F56" s="173" t="s">
        <v>1858</v>
      </c>
    </row>
    <row r="57" spans="1:6">
      <c r="A57" s="173" t="s">
        <v>605</v>
      </c>
      <c r="B57" s="173">
        <v>30</v>
      </c>
      <c r="C57" s="173">
        <v>24</v>
      </c>
      <c r="D57" s="173">
        <v>17</v>
      </c>
      <c r="E57" s="173">
        <v>6</v>
      </c>
      <c r="F57" s="173">
        <v>10</v>
      </c>
    </row>
    <row r="58" spans="1:6">
      <c r="A58" s="173" t="s">
        <v>1324</v>
      </c>
      <c r="B58" s="173" t="b">
        <v>0</v>
      </c>
      <c r="C58" s="173" t="b">
        <v>1</v>
      </c>
      <c r="D58" s="173" t="b">
        <v>0</v>
      </c>
      <c r="E58" s="173" t="b">
        <v>1</v>
      </c>
      <c r="F58" s="173" t="b">
        <v>1</v>
      </c>
    </row>
    <row r="59" spans="1:6">
      <c r="A59" s="173" t="s">
        <v>1305</v>
      </c>
      <c r="B59" s="173"/>
      <c r="C59" s="173"/>
      <c r="D59" s="173"/>
      <c r="E59" s="173"/>
      <c r="F59" s="173"/>
    </row>
    <row r="60" spans="1:6">
      <c r="A60" s="173" t="s">
        <v>526</v>
      </c>
      <c r="B60" s="173"/>
      <c r="C60" s="173"/>
      <c r="D60" s="173"/>
      <c r="E60" s="173"/>
      <c r="F60" s="173"/>
    </row>
    <row r="61" spans="1:6">
      <c r="A61" s="173" t="s">
        <v>495</v>
      </c>
      <c r="B61" s="173">
        <v>6507211460100</v>
      </c>
      <c r="C61" s="173">
        <v>4838487165074</v>
      </c>
      <c r="D61" s="173">
        <v>3113572646336</v>
      </c>
      <c r="E61" s="173">
        <v>1454858728255</v>
      </c>
      <c r="F61" s="173">
        <v>3214754848872</v>
      </c>
    </row>
    <row r="62" spans="1:6">
      <c r="A62" s="173" t="s">
        <v>518</v>
      </c>
      <c r="B62" s="173"/>
      <c r="C62" s="173"/>
      <c r="D62" s="173"/>
      <c r="E62" s="173"/>
      <c r="F62" s="173"/>
    </row>
    <row r="63" spans="1:6">
      <c r="A63" s="173" t="s">
        <v>466</v>
      </c>
      <c r="B63" s="173" t="s">
        <v>363</v>
      </c>
      <c r="C63" s="173" t="s">
        <v>363</v>
      </c>
      <c r="D63" s="173" t="s">
        <v>363</v>
      </c>
      <c r="E63" s="173" t="s">
        <v>363</v>
      </c>
      <c r="F63" s="173" t="s">
        <v>363</v>
      </c>
    </row>
    <row r="64" spans="1:6">
      <c r="A64" s="173" t="s">
        <v>1330</v>
      </c>
      <c r="B64" s="173" t="s">
        <v>1859</v>
      </c>
      <c r="C64" s="173" t="s">
        <v>1860</v>
      </c>
      <c r="D64" s="173" t="s">
        <v>1861</v>
      </c>
      <c r="E64" s="173" t="s">
        <v>1862</v>
      </c>
      <c r="F64" s="173" t="s">
        <v>1863</v>
      </c>
    </row>
    <row r="65" spans="1:6">
      <c r="A65" s="173" t="s">
        <v>609</v>
      </c>
      <c r="B65" s="173"/>
      <c r="C65" s="173"/>
      <c r="D65" s="173"/>
      <c r="E65" s="173"/>
      <c r="F65" s="173"/>
    </row>
    <row r="66" spans="1:6">
      <c r="A66" s="173" t="s">
        <v>616</v>
      </c>
      <c r="B66" s="173"/>
      <c r="C66" s="173"/>
      <c r="D66" s="173"/>
      <c r="E66" s="173"/>
      <c r="F66" s="173"/>
    </row>
    <row r="67" spans="1:6">
      <c r="A67" s="173" t="s">
        <v>620</v>
      </c>
      <c r="B67" s="173"/>
      <c r="C67" s="173"/>
      <c r="D67" s="173"/>
      <c r="E67" s="173"/>
      <c r="F67" s="173"/>
    </row>
    <row r="68" spans="1:6">
      <c r="A68" s="173" t="s">
        <v>637</v>
      </c>
      <c r="B68" s="173"/>
      <c r="C68" s="173"/>
      <c r="D68" s="173"/>
      <c r="E68" s="173"/>
      <c r="F68" s="173"/>
    </row>
    <row r="69" spans="1:6">
      <c r="A69" s="173" t="s">
        <v>1328</v>
      </c>
      <c r="B69" s="173" t="b">
        <v>0</v>
      </c>
      <c r="C69" s="173" t="b">
        <v>0</v>
      </c>
      <c r="D69" s="173" t="b">
        <v>0</v>
      </c>
      <c r="E69" s="173" t="b">
        <v>0</v>
      </c>
      <c r="F69" s="173" t="b">
        <v>0</v>
      </c>
    </row>
    <row r="70" spans="1:6">
      <c r="A70" s="173" t="s">
        <v>1388</v>
      </c>
      <c r="B70" s="173"/>
      <c r="C70" s="173"/>
      <c r="D70" s="173"/>
      <c r="E70" s="173"/>
      <c r="F70" s="17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797E2-D8F5-449B-8313-233F4AD5F576}">
  <dimension ref="A1:CO118"/>
  <sheetViews>
    <sheetView topLeftCell="A7" workbookViewId="0">
      <selection activeCell="B24" sqref="B24"/>
    </sheetView>
  </sheetViews>
  <sheetFormatPr defaultRowHeight="15"/>
  <cols>
    <col min="1" max="1" width="9.140625" style="69"/>
    <col min="2" max="2" width="40.42578125" style="69" customWidth="1"/>
    <col min="3" max="3" width="22.42578125" style="69" customWidth="1"/>
    <col min="4" max="4" width="31.85546875" style="69" customWidth="1"/>
    <col min="5" max="5" width="24.42578125" style="69" customWidth="1"/>
    <col min="6" max="6" width="25.28515625" style="69" customWidth="1"/>
    <col min="7" max="7" width="9.140625" style="69"/>
    <col min="8" max="8" width="14.7109375" style="69" bestFit="1" customWidth="1"/>
    <col min="9" max="10" width="9.140625" style="69"/>
    <col min="11" max="12" width="14.28515625" style="69" customWidth="1"/>
    <col min="13" max="13" width="9.140625" style="69"/>
    <col min="14" max="15" width="13.7109375" style="69" bestFit="1" customWidth="1"/>
    <col min="16" max="16" width="11.42578125" style="69" customWidth="1"/>
    <col min="17" max="17" width="9.140625" style="69"/>
    <col min="18" max="18" width="17.42578125" style="69" bestFit="1" customWidth="1"/>
    <col min="19" max="22" width="9.140625" style="69"/>
    <col min="23" max="23" width="17.42578125" style="69" bestFit="1" customWidth="1"/>
    <col min="24" max="30" width="9.140625" style="69"/>
    <col min="31" max="31" width="10.85546875" style="69" bestFit="1" customWidth="1"/>
    <col min="32" max="65" width="9.140625" style="69"/>
    <col min="66" max="66" width="13.7109375" style="69" bestFit="1" customWidth="1"/>
    <col min="67" max="67" width="9.140625" style="69"/>
    <col min="68" max="68" width="14.7109375" style="69" bestFit="1" customWidth="1"/>
    <col min="69" max="69" width="9.140625" style="69"/>
    <col min="70" max="70" width="14.7109375" style="69" bestFit="1" customWidth="1"/>
    <col min="71" max="77" width="9.140625" style="69"/>
    <col min="78" max="78" width="14.7109375" style="69" bestFit="1" customWidth="1"/>
    <col min="79" max="79" width="9.140625" style="69"/>
    <col min="80" max="80" width="14.7109375" style="69" bestFit="1" customWidth="1"/>
    <col min="81" max="16384" width="9.140625" style="69"/>
  </cols>
  <sheetData>
    <row r="1" spans="1:93">
      <c r="A1" s="75" t="s">
        <v>257</v>
      </c>
      <c r="B1" s="76" t="s">
        <v>709</v>
      </c>
      <c r="C1" s="76" t="s">
        <v>344</v>
      </c>
      <c r="D1" s="76" t="s">
        <v>1066</v>
      </c>
      <c r="E1" s="76" t="s">
        <v>1073</v>
      </c>
      <c r="F1" s="76" t="s">
        <v>1079</v>
      </c>
      <c r="G1" s="76" t="s">
        <v>1086</v>
      </c>
      <c r="H1" s="76" t="s">
        <v>1096</v>
      </c>
      <c r="I1" s="76" t="s">
        <v>1101</v>
      </c>
      <c r="J1" s="76" t="s">
        <v>1105</v>
      </c>
      <c r="K1" s="76" t="s">
        <v>1110</v>
      </c>
      <c r="L1" s="76" t="s">
        <v>1114</v>
      </c>
      <c r="M1" s="76" t="s">
        <v>1117</v>
      </c>
      <c r="N1" s="76" t="s">
        <v>1122</v>
      </c>
      <c r="O1" s="76" t="s">
        <v>1126</v>
      </c>
      <c r="P1" s="76" t="s">
        <v>1130</v>
      </c>
      <c r="Q1" s="76" t="s">
        <v>1133</v>
      </c>
      <c r="R1" s="76" t="s">
        <v>1137</v>
      </c>
      <c r="S1" s="76" t="s">
        <v>1139</v>
      </c>
      <c r="T1" s="76" t="s">
        <v>1141</v>
      </c>
      <c r="U1" s="76" t="s">
        <v>1143</v>
      </c>
      <c r="V1" s="76" t="s">
        <v>561</v>
      </c>
      <c r="W1" s="76" t="s">
        <v>1150</v>
      </c>
      <c r="X1" s="76" t="s">
        <v>571</v>
      </c>
      <c r="Y1" s="76" t="s">
        <v>576</v>
      </c>
      <c r="Z1" s="76" t="s">
        <v>582</v>
      </c>
      <c r="AA1" s="76" t="s">
        <v>602</v>
      </c>
      <c r="AB1" s="76" t="s">
        <v>607</v>
      </c>
      <c r="AC1" s="76" t="s">
        <v>1164</v>
      </c>
      <c r="AD1" s="76" t="s">
        <v>614</v>
      </c>
      <c r="AE1" s="76" t="s">
        <v>618</v>
      </c>
      <c r="AF1" s="76" t="s">
        <v>633</v>
      </c>
      <c r="AG1" s="76" t="s">
        <v>1170</v>
      </c>
      <c r="AH1" s="76" t="s">
        <v>1174</v>
      </c>
      <c r="AI1" s="76" t="s">
        <v>1178</v>
      </c>
      <c r="AJ1" s="76" t="s">
        <v>1180</v>
      </c>
      <c r="AK1" s="76" t="s">
        <v>1181</v>
      </c>
      <c r="AL1" s="76" t="s">
        <v>1182</v>
      </c>
      <c r="AM1" s="76" t="s">
        <v>1184</v>
      </c>
      <c r="AN1" s="76" t="s">
        <v>1187</v>
      </c>
      <c r="AO1" s="76" t="s">
        <v>1191</v>
      </c>
      <c r="AP1" s="76" t="s">
        <v>1194</v>
      </c>
      <c r="AQ1" s="76" t="s">
        <v>1199</v>
      </c>
      <c r="AR1" s="76" t="s">
        <v>1205</v>
      </c>
      <c r="AS1" s="76" t="s">
        <v>1211</v>
      </c>
      <c r="AT1" s="76" t="s">
        <v>1214</v>
      </c>
      <c r="AU1" s="76" t="s">
        <v>1219</v>
      </c>
      <c r="AV1" s="76" t="s">
        <v>1222</v>
      </c>
      <c r="AW1" s="76" t="s">
        <v>1227</v>
      </c>
      <c r="AX1" s="76" t="s">
        <v>1232</v>
      </c>
      <c r="AY1" s="76" t="s">
        <v>1235</v>
      </c>
      <c r="AZ1" s="76" t="s">
        <v>1239</v>
      </c>
      <c r="BA1" s="76" t="s">
        <v>1242</v>
      </c>
      <c r="BB1" s="76" t="s">
        <v>1245</v>
      </c>
      <c r="BC1" s="76" t="s">
        <v>1248</v>
      </c>
      <c r="BD1" s="76" t="s">
        <v>1252</v>
      </c>
      <c r="BE1" s="76" t="s">
        <v>1255</v>
      </c>
      <c r="BF1" s="76" t="s">
        <v>1258</v>
      </c>
      <c r="BG1" s="76" t="s">
        <v>1262</v>
      </c>
      <c r="BH1" s="76" t="s">
        <v>1265</v>
      </c>
      <c r="BI1" s="76" t="s">
        <v>1274</v>
      </c>
      <c r="BJ1" s="76" t="s">
        <v>1276</v>
      </c>
      <c r="BK1" s="76" t="s">
        <v>1280</v>
      </c>
      <c r="BL1" s="76" t="s">
        <v>1283</v>
      </c>
      <c r="BM1" s="76" t="s">
        <v>1286</v>
      </c>
      <c r="BN1" s="76" t="s">
        <v>1289</v>
      </c>
      <c r="BO1" s="76" t="s">
        <v>1292</v>
      </c>
      <c r="BP1" s="76" t="s">
        <v>1295</v>
      </c>
      <c r="BQ1" s="76" t="s">
        <v>1301</v>
      </c>
      <c r="BR1" s="76" t="s">
        <v>1307</v>
      </c>
      <c r="BS1" s="76" t="s">
        <v>1313</v>
      </c>
      <c r="BT1" s="76" t="s">
        <v>1322</v>
      </c>
      <c r="BU1" s="76" t="s">
        <v>1326</v>
      </c>
      <c r="BV1" s="76" t="s">
        <v>1330</v>
      </c>
      <c r="BW1" s="76" t="s">
        <v>350</v>
      </c>
      <c r="BX1" s="76" t="s">
        <v>1340</v>
      </c>
      <c r="BY1" s="76" t="s">
        <v>1345</v>
      </c>
      <c r="BZ1" s="76" t="s">
        <v>683</v>
      </c>
      <c r="CA1" s="76" t="s">
        <v>689</v>
      </c>
      <c r="CB1" s="76" t="s">
        <v>693</v>
      </c>
      <c r="CC1" s="76" t="s">
        <v>699</v>
      </c>
      <c r="CD1" s="76" t="s">
        <v>1269</v>
      </c>
      <c r="CE1" s="76" t="s">
        <v>703</v>
      </c>
      <c r="CF1" s="76" t="s">
        <v>707</v>
      </c>
      <c r="CG1" s="76" t="s">
        <v>1352</v>
      </c>
      <c r="CH1" s="76" t="s">
        <v>1356</v>
      </c>
      <c r="CI1" s="76" t="s">
        <v>1360</v>
      </c>
      <c r="CJ1" s="76" t="s">
        <v>1363</v>
      </c>
      <c r="CK1" s="76" t="s">
        <v>1091</v>
      </c>
      <c r="CL1" s="76" t="s">
        <v>1864</v>
      </c>
      <c r="CM1" s="76" t="s">
        <v>1371</v>
      </c>
      <c r="CN1" s="76" t="s">
        <v>1374</v>
      </c>
      <c r="CO1" s="77" t="s">
        <v>1380</v>
      </c>
    </row>
    <row r="2" spans="1:93">
      <c r="A2" s="78" t="s">
        <v>1865</v>
      </c>
      <c r="B2" s="79" t="s">
        <v>1866</v>
      </c>
      <c r="C2" s="97">
        <v>104</v>
      </c>
      <c r="D2" s="97">
        <v>256950099999</v>
      </c>
      <c r="E2" s="79" t="s">
        <v>1867</v>
      </c>
      <c r="F2" s="79" t="s">
        <v>1081</v>
      </c>
      <c r="G2" s="79" t="s">
        <v>1868</v>
      </c>
      <c r="H2" s="79" t="s">
        <v>1081</v>
      </c>
      <c r="I2" s="79">
        <v>3</v>
      </c>
      <c r="J2" s="79" t="s">
        <v>1821</v>
      </c>
      <c r="K2" s="79" t="s">
        <v>1519</v>
      </c>
      <c r="L2" s="79" t="s">
        <v>1869</v>
      </c>
      <c r="M2" s="79">
        <v>30</v>
      </c>
      <c r="N2" s="80">
        <v>35183</v>
      </c>
      <c r="O2" s="79" t="s">
        <v>1853</v>
      </c>
      <c r="P2" s="79">
        <v>629819619</v>
      </c>
      <c r="Q2" s="79" t="s">
        <v>463</v>
      </c>
      <c r="R2" s="97">
        <v>1900700160876</v>
      </c>
      <c r="S2" s="79" t="s">
        <v>525</v>
      </c>
      <c r="T2" s="79"/>
      <c r="U2" s="79"/>
      <c r="V2" s="97">
        <v>151</v>
      </c>
      <c r="W2" s="79" t="s">
        <v>1870</v>
      </c>
      <c r="X2" s="79">
        <v>4</v>
      </c>
      <c r="Y2" s="79" t="s">
        <v>1871</v>
      </c>
      <c r="Z2" s="79">
        <v>2</v>
      </c>
      <c r="AA2" s="79">
        <v>24</v>
      </c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81">
        <v>500000</v>
      </c>
      <c r="AP2" s="81">
        <v>21230</v>
      </c>
      <c r="AQ2" s="79">
        <v>1</v>
      </c>
      <c r="AR2" s="79">
        <v>0</v>
      </c>
      <c r="AS2" s="79">
        <v>20</v>
      </c>
      <c r="AT2" s="79">
        <v>1</v>
      </c>
      <c r="AU2" s="79">
        <v>99</v>
      </c>
      <c r="AV2" s="79"/>
      <c r="AW2" s="79"/>
      <c r="AX2" s="79"/>
      <c r="AY2" s="79" t="b">
        <v>1</v>
      </c>
      <c r="AZ2" s="79"/>
      <c r="BA2" s="79"/>
      <c r="BB2" s="79" t="b">
        <v>0</v>
      </c>
      <c r="BC2" s="79"/>
      <c r="BD2" s="79"/>
      <c r="BE2" s="79"/>
      <c r="BF2" s="79" t="s">
        <v>1872</v>
      </c>
      <c r="BG2" s="79">
        <v>0</v>
      </c>
      <c r="BH2" s="81">
        <v>21230</v>
      </c>
      <c r="BI2" s="79">
        <v>0</v>
      </c>
      <c r="BJ2" s="79"/>
      <c r="BK2" s="79"/>
      <c r="BL2" s="79"/>
      <c r="BM2" s="79"/>
      <c r="BN2" s="81">
        <v>21230</v>
      </c>
      <c r="BO2" s="79"/>
      <c r="BP2" s="79"/>
      <c r="BQ2" s="82"/>
      <c r="BR2" s="80">
        <v>46140.738692129627</v>
      </c>
      <c r="BS2" s="79" t="s">
        <v>370</v>
      </c>
      <c r="BT2" s="79"/>
      <c r="BU2" s="79"/>
      <c r="BV2" s="79"/>
      <c r="BW2" s="79" t="s">
        <v>1873</v>
      </c>
      <c r="BX2" s="79" t="s">
        <v>478</v>
      </c>
      <c r="BY2" s="79" t="s">
        <v>478</v>
      </c>
      <c r="BZ2" s="80">
        <v>46140.738599537035</v>
      </c>
      <c r="CA2" s="79">
        <v>104</v>
      </c>
      <c r="CB2" s="80">
        <v>46140.783483796295</v>
      </c>
      <c r="CC2" s="79">
        <v>104</v>
      </c>
      <c r="CD2" s="79" t="s">
        <v>370</v>
      </c>
      <c r="CE2" s="79"/>
      <c r="CF2" s="79"/>
      <c r="CG2" s="79"/>
      <c r="CH2" s="79"/>
      <c r="CI2" s="79"/>
      <c r="CJ2" s="82"/>
      <c r="CK2" s="82" t="s">
        <v>1874</v>
      </c>
      <c r="CL2" s="79"/>
      <c r="CM2" s="79"/>
      <c r="CN2" s="79" t="b">
        <v>0</v>
      </c>
      <c r="CO2" s="83"/>
    </row>
    <row r="3" spans="1:93">
      <c r="A3" s="84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  <c r="BV3" s="85"/>
      <c r="BW3" s="85"/>
      <c r="BX3" s="85"/>
      <c r="BY3" s="85"/>
      <c r="BZ3" s="85"/>
      <c r="CA3" s="85"/>
      <c r="CB3" s="85"/>
      <c r="CC3" s="85"/>
      <c r="CD3" s="85"/>
      <c r="CE3" s="85"/>
      <c r="CF3" s="85"/>
      <c r="CG3" s="85"/>
      <c r="CH3" s="85"/>
      <c r="CI3" s="85"/>
      <c r="CJ3" s="85"/>
      <c r="CK3" s="85"/>
      <c r="CL3" s="85"/>
      <c r="CM3" s="85"/>
      <c r="CN3" s="85"/>
      <c r="CO3" s="86"/>
    </row>
    <row r="4" spans="1:93">
      <c r="A4" s="84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85"/>
      <c r="BQ4" s="85"/>
      <c r="BR4" s="85"/>
      <c r="BS4" s="85"/>
      <c r="BT4" s="85"/>
      <c r="BU4" s="85"/>
      <c r="BV4" s="85"/>
      <c r="BW4" s="85"/>
      <c r="BX4" s="85"/>
      <c r="BY4" s="85"/>
      <c r="BZ4" s="85"/>
      <c r="CA4" s="85"/>
      <c r="CB4" s="85"/>
      <c r="CC4" s="85"/>
      <c r="CD4" s="85"/>
      <c r="CE4" s="85"/>
      <c r="CF4" s="85"/>
      <c r="CG4" s="85"/>
      <c r="CH4" s="85"/>
      <c r="CI4" s="85"/>
      <c r="CJ4" s="85"/>
      <c r="CK4" s="85"/>
      <c r="CL4" s="85"/>
      <c r="CM4" s="85"/>
      <c r="CN4" s="85"/>
      <c r="CO4" s="86"/>
    </row>
    <row r="5" spans="1:93">
      <c r="A5" s="87" t="s">
        <v>257</v>
      </c>
      <c r="B5" s="88" t="s">
        <v>344</v>
      </c>
      <c r="C5" s="88" t="s">
        <v>350</v>
      </c>
      <c r="D5" s="88" t="s">
        <v>358</v>
      </c>
      <c r="E5" s="88" t="s">
        <v>368</v>
      </c>
      <c r="F5" s="88" t="s">
        <v>377</v>
      </c>
      <c r="G5" s="88" t="s">
        <v>386</v>
      </c>
      <c r="H5" s="88" t="s">
        <v>396</v>
      </c>
      <c r="I5" s="88" t="s">
        <v>403</v>
      </c>
      <c r="J5" s="88" t="s">
        <v>413</v>
      </c>
      <c r="K5" s="88" t="s">
        <v>420</v>
      </c>
      <c r="L5" s="88" t="s">
        <v>426</v>
      </c>
      <c r="M5" s="88" t="s">
        <v>432</v>
      </c>
      <c r="N5" s="88" t="s">
        <v>437</v>
      </c>
      <c r="O5" s="88" t="s">
        <v>444</v>
      </c>
      <c r="P5" s="88" t="s">
        <v>452</v>
      </c>
      <c r="Q5" s="88" t="s">
        <v>461</v>
      </c>
      <c r="R5" s="88" t="s">
        <v>468</v>
      </c>
      <c r="S5" s="88" t="s">
        <v>473</v>
      </c>
      <c r="T5" s="88" t="s">
        <v>476</v>
      </c>
      <c r="U5" s="88" t="s">
        <v>484</v>
      </c>
      <c r="V5" s="88" t="s">
        <v>488</v>
      </c>
      <c r="W5" s="88" t="s">
        <v>491</v>
      </c>
      <c r="X5" s="88" t="s">
        <v>497</v>
      </c>
      <c r="Y5" s="88" t="s">
        <v>502</v>
      </c>
      <c r="Z5" s="88" t="s">
        <v>506</v>
      </c>
      <c r="AA5" s="88" t="s">
        <v>511</v>
      </c>
      <c r="AB5" s="88" t="s">
        <v>518</v>
      </c>
      <c r="AC5" s="88" t="s">
        <v>522</v>
      </c>
      <c r="AD5" s="88" t="s">
        <v>528</v>
      </c>
      <c r="AE5" s="88" t="s">
        <v>532</v>
      </c>
      <c r="AF5" s="88" t="s">
        <v>538</v>
      </c>
      <c r="AG5" s="88" t="s">
        <v>542</v>
      </c>
      <c r="AH5" s="88" t="s">
        <v>548</v>
      </c>
      <c r="AI5" s="88" t="s">
        <v>551</v>
      </c>
      <c r="AJ5" s="88" t="s">
        <v>554</v>
      </c>
      <c r="AK5" s="88" t="s">
        <v>558</v>
      </c>
      <c r="AL5" s="88" t="s">
        <v>561</v>
      </c>
      <c r="AM5" s="88" t="s">
        <v>566</v>
      </c>
      <c r="AN5" s="88" t="s">
        <v>571</v>
      </c>
      <c r="AO5" s="88" t="s">
        <v>576</v>
      </c>
      <c r="AP5" s="88" t="s">
        <v>582</v>
      </c>
      <c r="AQ5" s="88" t="s">
        <v>587</v>
      </c>
      <c r="AR5" s="88" t="s">
        <v>591</v>
      </c>
      <c r="AS5" s="88" t="s">
        <v>596</v>
      </c>
      <c r="AT5" s="88" t="s">
        <v>602</v>
      </c>
      <c r="AU5" s="88" t="s">
        <v>607</v>
      </c>
      <c r="AV5" s="88" t="s">
        <v>611</v>
      </c>
      <c r="AW5" s="88" t="s">
        <v>614</v>
      </c>
      <c r="AX5" s="88" t="s">
        <v>618</v>
      </c>
      <c r="AY5" s="88" t="s">
        <v>621</v>
      </c>
      <c r="AZ5" s="88" t="s">
        <v>624</v>
      </c>
      <c r="BA5" s="88" t="s">
        <v>627</v>
      </c>
      <c r="BB5" s="88" t="s">
        <v>630</v>
      </c>
      <c r="BC5" s="88" t="s">
        <v>633</v>
      </c>
      <c r="BD5" s="88" t="s">
        <v>639</v>
      </c>
      <c r="BE5" s="88" t="s">
        <v>647</v>
      </c>
      <c r="BF5" s="88" t="s">
        <v>652</v>
      </c>
      <c r="BG5" s="88" t="s">
        <v>657</v>
      </c>
      <c r="BH5" s="88" t="s">
        <v>661</v>
      </c>
      <c r="BI5" s="88" t="s">
        <v>665</v>
      </c>
      <c r="BJ5" s="88" t="s">
        <v>669</v>
      </c>
      <c r="BK5" s="88" t="s">
        <v>672</v>
      </c>
      <c r="BL5" s="88" t="s">
        <v>676</v>
      </c>
      <c r="BM5" s="88" t="s">
        <v>679</v>
      </c>
      <c r="BN5" s="88" t="s">
        <v>683</v>
      </c>
      <c r="BO5" s="88" t="s">
        <v>689</v>
      </c>
      <c r="BP5" s="88" t="s">
        <v>693</v>
      </c>
      <c r="BQ5" s="88" t="s">
        <v>699</v>
      </c>
      <c r="BR5" s="88" t="s">
        <v>703</v>
      </c>
      <c r="BS5" s="88" t="s">
        <v>707</v>
      </c>
      <c r="BT5" s="88" t="s">
        <v>643</v>
      </c>
      <c r="BU5" s="88"/>
      <c r="BV5" s="85"/>
      <c r="BW5" s="85"/>
      <c r="BX5" s="85"/>
      <c r="BY5" s="85"/>
      <c r="BZ5" s="85"/>
      <c r="CA5" s="85"/>
      <c r="CB5" s="85"/>
      <c r="CC5" s="85"/>
      <c r="CD5" s="85"/>
      <c r="CE5" s="85"/>
      <c r="CF5" s="85"/>
      <c r="CG5" s="85"/>
      <c r="CH5" s="85"/>
      <c r="CI5" s="85"/>
      <c r="CJ5" s="85"/>
      <c r="CK5" s="85"/>
      <c r="CL5" s="85"/>
      <c r="CM5" s="85"/>
      <c r="CN5" s="85"/>
      <c r="CO5" s="86"/>
    </row>
    <row r="6" spans="1:93">
      <c r="A6" s="89" t="s">
        <v>1866</v>
      </c>
      <c r="B6" s="98"/>
      <c r="C6" s="90"/>
      <c r="D6" s="90" t="s">
        <v>360</v>
      </c>
      <c r="E6" s="90" t="s">
        <v>370</v>
      </c>
      <c r="F6" s="90"/>
      <c r="G6" s="90" t="s">
        <v>1875</v>
      </c>
      <c r="H6" s="91">
        <v>46140.783483796295</v>
      </c>
      <c r="I6" s="90"/>
      <c r="J6" s="90" t="s">
        <v>1821</v>
      </c>
      <c r="K6" s="90">
        <v>3</v>
      </c>
      <c r="L6" s="90"/>
      <c r="M6" s="90" t="s">
        <v>1519</v>
      </c>
      <c r="N6" s="90" t="s">
        <v>1869</v>
      </c>
      <c r="O6" s="91">
        <v>35183</v>
      </c>
      <c r="P6" s="90" t="s">
        <v>1853</v>
      </c>
      <c r="Q6" s="90" t="s">
        <v>463</v>
      </c>
      <c r="R6" s="90"/>
      <c r="S6" s="90"/>
      <c r="T6" s="90"/>
      <c r="U6" s="90"/>
      <c r="V6" s="90"/>
      <c r="W6" s="99">
        <v>1900700160876</v>
      </c>
      <c r="X6" s="90"/>
      <c r="Y6" s="90"/>
      <c r="Z6" s="90"/>
      <c r="AA6" s="90"/>
      <c r="AB6" s="90"/>
      <c r="AC6" s="90"/>
      <c r="AD6" s="90" t="s">
        <v>525</v>
      </c>
      <c r="AE6" s="90">
        <v>629819619</v>
      </c>
      <c r="AF6" s="90"/>
      <c r="AG6" s="90"/>
      <c r="AH6" s="90"/>
      <c r="AI6" s="90"/>
      <c r="AJ6" s="90"/>
      <c r="AK6" s="90"/>
      <c r="AL6" s="90">
        <v>151</v>
      </c>
      <c r="AM6" s="90" t="s">
        <v>1870</v>
      </c>
      <c r="AN6" s="90">
        <v>4</v>
      </c>
      <c r="AO6" s="90" t="s">
        <v>1871</v>
      </c>
      <c r="AP6" s="90">
        <v>2</v>
      </c>
      <c r="AQ6" s="90"/>
      <c r="AR6" s="90"/>
      <c r="AS6" s="90"/>
      <c r="AT6" s="90">
        <v>24</v>
      </c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0"/>
      <c r="BK6" s="90"/>
      <c r="BL6" s="90"/>
      <c r="BM6" s="90"/>
      <c r="BN6" s="91">
        <v>46133.396111111113</v>
      </c>
      <c r="BO6" s="90">
        <v>104</v>
      </c>
      <c r="BP6" s="91">
        <v>46140.783483796295</v>
      </c>
      <c r="BQ6" s="90">
        <v>104</v>
      </c>
      <c r="BR6" s="90"/>
      <c r="BS6" s="90"/>
      <c r="BT6" s="90"/>
      <c r="BU6" s="90"/>
      <c r="BV6" s="90"/>
      <c r="BW6" s="90"/>
      <c r="BX6" s="90"/>
      <c r="BY6" s="90"/>
      <c r="BZ6" s="90"/>
      <c r="CA6" s="90"/>
      <c r="CB6" s="90"/>
      <c r="CC6" s="90"/>
      <c r="CD6" s="90"/>
      <c r="CE6" s="90"/>
      <c r="CF6" s="90"/>
      <c r="CG6" s="90"/>
      <c r="CH6" s="90"/>
      <c r="CI6" s="90"/>
      <c r="CJ6" s="90"/>
      <c r="CK6" s="90"/>
      <c r="CL6" s="90"/>
      <c r="CM6" s="90"/>
      <c r="CN6" s="90"/>
      <c r="CO6" s="92"/>
    </row>
    <row r="13" spans="1:93">
      <c r="B13" s="69" t="s">
        <v>1876</v>
      </c>
    </row>
    <row r="14" spans="1:93">
      <c r="B14" s="69" t="s">
        <v>1877</v>
      </c>
    </row>
    <row r="15" spans="1:93">
      <c r="B15" s="69" t="s">
        <v>1878</v>
      </c>
    </row>
    <row r="16" spans="1:93">
      <c r="B16" s="93"/>
      <c r="C16" s="94"/>
    </row>
    <row r="19" spans="2:3">
      <c r="B19" s="69" t="s">
        <v>1879</v>
      </c>
    </row>
    <row r="20" spans="2:3">
      <c r="B20" s="69" t="s">
        <v>1880</v>
      </c>
    </row>
    <row r="21" spans="2:3">
      <c r="B21" s="69" t="s">
        <v>1878</v>
      </c>
    </row>
    <row r="24" spans="2:3">
      <c r="B24" s="93" t="s">
        <v>1881</v>
      </c>
      <c r="C24" s="69" t="s">
        <v>1882</v>
      </c>
    </row>
    <row r="25" spans="2:3">
      <c r="B25" s="73" t="s">
        <v>1883</v>
      </c>
      <c r="C25" s="69" t="s">
        <v>1884</v>
      </c>
    </row>
    <row r="26" spans="2:3">
      <c r="B26" s="73" t="s">
        <v>1885</v>
      </c>
      <c r="C26" s="69" t="s">
        <v>1886</v>
      </c>
    </row>
    <row r="27" spans="2:3">
      <c r="B27" s="73" t="s">
        <v>1887</v>
      </c>
      <c r="C27" s="69" t="s">
        <v>1888</v>
      </c>
    </row>
    <row r="28" spans="2:3">
      <c r="B28" s="73" t="s">
        <v>1889</v>
      </c>
      <c r="C28" s="69" t="s">
        <v>1890</v>
      </c>
    </row>
    <row r="29" spans="2:3">
      <c r="B29" s="73" t="s">
        <v>1891</v>
      </c>
      <c r="C29" s="69" t="s">
        <v>1892</v>
      </c>
    </row>
    <row r="30" spans="2:3">
      <c r="B30" s="73" t="s">
        <v>1893</v>
      </c>
      <c r="C30" s="69" t="s">
        <v>1894</v>
      </c>
    </row>
    <row r="31" spans="2:3">
      <c r="B31" s="73" t="s">
        <v>1895</v>
      </c>
      <c r="C31" s="69" t="s">
        <v>1896</v>
      </c>
    </row>
    <row r="32" spans="2:3">
      <c r="B32" s="73" t="s">
        <v>1897</v>
      </c>
      <c r="C32" s="69" t="s">
        <v>1894</v>
      </c>
    </row>
    <row r="33" spans="2:3">
      <c r="B33" s="73" t="s">
        <v>1898</v>
      </c>
      <c r="C33" s="69" t="s">
        <v>1899</v>
      </c>
    </row>
    <row r="34" spans="2:3">
      <c r="B34" s="73" t="s">
        <v>1900</v>
      </c>
      <c r="C34" s="69" t="s">
        <v>1901</v>
      </c>
    </row>
    <row r="35" spans="2:3">
      <c r="B35" s="73" t="s">
        <v>1902</v>
      </c>
      <c r="C35" s="69" t="s">
        <v>1903</v>
      </c>
    </row>
    <row r="36" spans="2:3">
      <c r="B36" s="73" t="s">
        <v>1904</v>
      </c>
      <c r="C36" s="69" t="s">
        <v>1905</v>
      </c>
    </row>
    <row r="37" spans="2:3">
      <c r="B37" s="73" t="s">
        <v>1906</v>
      </c>
      <c r="C37" s="69" t="s">
        <v>1907</v>
      </c>
    </row>
    <row r="38" spans="2:3">
      <c r="B38" s="73" t="s">
        <v>1908</v>
      </c>
      <c r="C38" s="69" t="s">
        <v>1909</v>
      </c>
    </row>
    <row r="39" spans="2:3">
      <c r="B39" s="73" t="s">
        <v>1910</v>
      </c>
      <c r="C39" s="69" t="s">
        <v>1911</v>
      </c>
    </row>
    <row r="40" spans="2:3">
      <c r="B40" s="73" t="s">
        <v>1912</v>
      </c>
      <c r="C40" s="69" t="s">
        <v>1913</v>
      </c>
    </row>
    <row r="41" spans="2:3">
      <c r="B41" s="73" t="s">
        <v>1914</v>
      </c>
      <c r="C41" s="69" t="s">
        <v>1915</v>
      </c>
    </row>
    <row r="42" spans="2:3">
      <c r="B42" s="73" t="s">
        <v>1916</v>
      </c>
      <c r="C42" s="69" t="s">
        <v>1917</v>
      </c>
    </row>
    <row r="43" spans="2:3">
      <c r="B43" s="73" t="s">
        <v>1918</v>
      </c>
      <c r="C43" s="69" t="s">
        <v>1919</v>
      </c>
    </row>
    <row r="44" spans="2:3">
      <c r="B44" s="69" t="s">
        <v>1920</v>
      </c>
      <c r="C44" s="69" t="s">
        <v>1921</v>
      </c>
    </row>
    <row r="45" spans="2:3">
      <c r="B45" s="69" t="s">
        <v>1922</v>
      </c>
      <c r="C45" s="69" t="s">
        <v>1921</v>
      </c>
    </row>
    <row r="46" spans="2:3">
      <c r="B46" s="73" t="s">
        <v>1923</v>
      </c>
      <c r="C46" s="69" t="s">
        <v>1924</v>
      </c>
    </row>
    <row r="47" spans="2:3">
      <c r="B47" s="73" t="s">
        <v>1925</v>
      </c>
      <c r="C47" s="69" t="s">
        <v>1926</v>
      </c>
    </row>
    <row r="48" spans="2:3">
      <c r="B48" s="73" t="s">
        <v>1927</v>
      </c>
      <c r="C48" s="69" t="s">
        <v>1928</v>
      </c>
    </row>
    <row r="49" spans="2:3">
      <c r="B49" s="73" t="s">
        <v>1929</v>
      </c>
      <c r="C49" s="69" t="s">
        <v>1930</v>
      </c>
    </row>
    <row r="50" spans="2:3">
      <c r="B50" s="73" t="s">
        <v>1931</v>
      </c>
      <c r="C50" s="69" t="s">
        <v>1932</v>
      </c>
    </row>
    <row r="51" spans="2:3">
      <c r="B51" s="73" t="s">
        <v>1933</v>
      </c>
      <c r="C51" s="69" t="s">
        <v>1934</v>
      </c>
    </row>
    <row r="52" spans="2:3">
      <c r="B52" s="69" t="s">
        <v>1935</v>
      </c>
      <c r="C52" s="69" t="s">
        <v>1921</v>
      </c>
    </row>
    <row r="53" spans="2:3">
      <c r="B53" s="69" t="s">
        <v>1936</v>
      </c>
      <c r="C53" s="69" t="s">
        <v>1921</v>
      </c>
    </row>
    <row r="54" spans="2:3">
      <c r="B54" s="69" t="s">
        <v>893</v>
      </c>
      <c r="C54" s="69" t="s">
        <v>1921</v>
      </c>
    </row>
    <row r="55" spans="2:3">
      <c r="B55" s="69" t="s">
        <v>1937</v>
      </c>
      <c r="C55" s="69" t="s">
        <v>1921</v>
      </c>
    </row>
    <row r="56" spans="2:3">
      <c r="B56" s="69" t="s">
        <v>1938</v>
      </c>
      <c r="C56" s="69" t="s">
        <v>1921</v>
      </c>
    </row>
    <row r="57" spans="2:3">
      <c r="B57" s="69" t="s">
        <v>1939</v>
      </c>
      <c r="C57" s="69" t="s">
        <v>1921</v>
      </c>
    </row>
    <row r="58" spans="2:3">
      <c r="B58" s="69" t="s">
        <v>1940</v>
      </c>
      <c r="C58" s="69" t="s">
        <v>1921</v>
      </c>
    </row>
    <row r="59" spans="2:3">
      <c r="B59" s="69" t="s">
        <v>1941</v>
      </c>
      <c r="C59" s="69" t="s">
        <v>1921</v>
      </c>
    </row>
    <row r="60" spans="2:3">
      <c r="B60" s="69" t="s">
        <v>1942</v>
      </c>
      <c r="C60" s="69" t="s">
        <v>1921</v>
      </c>
    </row>
    <row r="61" spans="2:3">
      <c r="B61" s="69" t="s">
        <v>1943</v>
      </c>
      <c r="C61" s="69" t="s">
        <v>1921</v>
      </c>
    </row>
    <row r="62" spans="2:3">
      <c r="B62" s="69" t="s">
        <v>1944</v>
      </c>
      <c r="C62" s="69" t="s">
        <v>1921</v>
      </c>
    </row>
    <row r="63" spans="2:3">
      <c r="B63" s="69" t="s">
        <v>1945</v>
      </c>
      <c r="C63" s="69" t="s">
        <v>1921</v>
      </c>
    </row>
    <row r="64" spans="2:3">
      <c r="B64" s="69" t="s">
        <v>1946</v>
      </c>
      <c r="C64" s="69" t="s">
        <v>1921</v>
      </c>
    </row>
    <row r="65" spans="2:3">
      <c r="B65" s="73" t="s">
        <v>1947</v>
      </c>
      <c r="C65" s="69" t="s">
        <v>1948</v>
      </c>
    </row>
    <row r="66" spans="2:3">
      <c r="B66" s="73" t="s">
        <v>1949</v>
      </c>
      <c r="C66" s="69" t="s">
        <v>1950</v>
      </c>
    </row>
    <row r="67" spans="2:3">
      <c r="B67" s="73" t="s">
        <v>1951</v>
      </c>
      <c r="C67" s="69" t="s">
        <v>1952</v>
      </c>
    </row>
    <row r="68" spans="2:3">
      <c r="B68" s="73" t="s">
        <v>1953</v>
      </c>
      <c r="C68" s="69" t="s">
        <v>1954</v>
      </c>
    </row>
    <row r="69" spans="2:3">
      <c r="B69" s="73" t="s">
        <v>1955</v>
      </c>
      <c r="C69" s="69" t="s">
        <v>1956</v>
      </c>
    </row>
    <row r="70" spans="2:3">
      <c r="B70" s="73" t="s">
        <v>1957</v>
      </c>
      <c r="C70" s="69" t="s">
        <v>1952</v>
      </c>
    </row>
    <row r="71" spans="2:3">
      <c r="B71" s="73" t="s">
        <v>1958</v>
      </c>
      <c r="C71" s="69" t="s">
        <v>1959</v>
      </c>
    </row>
    <row r="72" spans="2:3">
      <c r="B72" s="69" t="s">
        <v>1960</v>
      </c>
      <c r="C72" s="69" t="s">
        <v>1921</v>
      </c>
    </row>
    <row r="73" spans="2:3">
      <c r="B73" s="69" t="s">
        <v>1961</v>
      </c>
      <c r="C73" s="69" t="s">
        <v>1962</v>
      </c>
    </row>
    <row r="74" spans="2:3">
      <c r="B74" s="69" t="s">
        <v>1963</v>
      </c>
      <c r="C74" s="69" t="s">
        <v>1921</v>
      </c>
    </row>
    <row r="75" spans="2:3">
      <c r="B75" s="73" t="s">
        <v>1964</v>
      </c>
      <c r="C75" s="69" t="s">
        <v>1965</v>
      </c>
    </row>
    <row r="76" spans="2:3">
      <c r="B76" s="69" t="s">
        <v>1966</v>
      </c>
      <c r="C76" s="69" t="s">
        <v>1921</v>
      </c>
    </row>
    <row r="77" spans="2:3">
      <c r="B77" s="69" t="s">
        <v>1967</v>
      </c>
      <c r="C77" s="69" t="s">
        <v>1921</v>
      </c>
    </row>
    <row r="78" spans="2:3">
      <c r="B78" s="73" t="s">
        <v>1968</v>
      </c>
      <c r="C78" s="69" t="s">
        <v>1969</v>
      </c>
    </row>
    <row r="79" spans="2:3">
      <c r="B79" s="69" t="s">
        <v>1970</v>
      </c>
      <c r="C79" s="69" t="s">
        <v>1921</v>
      </c>
    </row>
    <row r="80" spans="2:3">
      <c r="B80" s="69" t="s">
        <v>1971</v>
      </c>
      <c r="C80" s="69" t="s">
        <v>1921</v>
      </c>
    </row>
    <row r="81" spans="2:3">
      <c r="B81" s="69" t="s">
        <v>1972</v>
      </c>
      <c r="C81" s="69" t="s">
        <v>1921</v>
      </c>
    </row>
    <row r="82" spans="2:3">
      <c r="B82" s="73" t="s">
        <v>1973</v>
      </c>
      <c r="C82" s="69" t="s">
        <v>1974</v>
      </c>
    </row>
    <row r="83" spans="2:3">
      <c r="B83" s="73" t="s">
        <v>1975</v>
      </c>
      <c r="C83" s="69" t="s">
        <v>1976</v>
      </c>
    </row>
    <row r="84" spans="2:3">
      <c r="B84" s="73" t="s">
        <v>1977</v>
      </c>
      <c r="C84" s="69" t="s">
        <v>1950</v>
      </c>
    </row>
    <row r="85" spans="2:3">
      <c r="B85" s="69" t="s">
        <v>1978</v>
      </c>
      <c r="C85" s="69" t="s">
        <v>1976</v>
      </c>
    </row>
    <row r="86" spans="2:3">
      <c r="B86" s="69" t="s">
        <v>1979</v>
      </c>
      <c r="C86" s="69" t="s">
        <v>1921</v>
      </c>
    </row>
    <row r="87" spans="2:3">
      <c r="B87" s="69" t="s">
        <v>1980</v>
      </c>
      <c r="C87" s="69" t="s">
        <v>1921</v>
      </c>
    </row>
    <row r="88" spans="2:3">
      <c r="B88" s="69" t="s">
        <v>1981</v>
      </c>
      <c r="C88" s="69" t="s">
        <v>1921</v>
      </c>
    </row>
    <row r="89" spans="2:3">
      <c r="B89" s="69" t="s">
        <v>1982</v>
      </c>
      <c r="C89" s="69" t="s">
        <v>1921</v>
      </c>
    </row>
    <row r="90" spans="2:3">
      <c r="B90" s="73" t="s">
        <v>1983</v>
      </c>
      <c r="C90" s="69" t="s">
        <v>1950</v>
      </c>
    </row>
    <row r="91" spans="2:3">
      <c r="B91" s="69" t="s">
        <v>1984</v>
      </c>
      <c r="C91" s="69" t="s">
        <v>1921</v>
      </c>
    </row>
    <row r="92" spans="2:3">
      <c r="B92" s="69" t="s">
        <v>1985</v>
      </c>
      <c r="C92" s="69" t="s">
        <v>1921</v>
      </c>
    </row>
    <row r="93" spans="2:3">
      <c r="B93" s="69" t="s">
        <v>1986</v>
      </c>
      <c r="C93" s="69" t="s">
        <v>1921</v>
      </c>
    </row>
    <row r="94" spans="2:3">
      <c r="B94" s="69" t="s">
        <v>1987</v>
      </c>
      <c r="C94" s="69" t="s">
        <v>1988</v>
      </c>
    </row>
    <row r="95" spans="2:3">
      <c r="B95" s="69" t="s">
        <v>1989</v>
      </c>
      <c r="C95" s="69" t="s">
        <v>1990</v>
      </c>
    </row>
    <row r="96" spans="2:3">
      <c r="B96" s="69" t="s">
        <v>1991</v>
      </c>
      <c r="C96" s="69" t="s">
        <v>1921</v>
      </c>
    </row>
    <row r="97" spans="2:3">
      <c r="B97" s="69" t="s">
        <v>1992</v>
      </c>
      <c r="C97" s="69" t="s">
        <v>1921</v>
      </c>
    </row>
    <row r="98" spans="2:3">
      <c r="B98" s="69" t="s">
        <v>1993</v>
      </c>
      <c r="C98" s="69" t="s">
        <v>1921</v>
      </c>
    </row>
    <row r="99" spans="2:3">
      <c r="B99" s="73" t="s">
        <v>1994</v>
      </c>
      <c r="C99" s="69" t="s">
        <v>1995</v>
      </c>
    </row>
    <row r="100" spans="2:3">
      <c r="B100" s="73" t="s">
        <v>1996</v>
      </c>
      <c r="C100" s="69" t="s">
        <v>1997</v>
      </c>
    </row>
    <row r="101" spans="2:3">
      <c r="B101" s="73" t="s">
        <v>1998</v>
      </c>
      <c r="C101" s="69" t="s">
        <v>1997</v>
      </c>
    </row>
    <row r="102" spans="2:3">
      <c r="B102" s="73" t="s">
        <v>1999</v>
      </c>
      <c r="C102" s="69" t="s">
        <v>2000</v>
      </c>
    </row>
    <row r="103" spans="2:3">
      <c r="B103" s="69" t="s">
        <v>2001</v>
      </c>
      <c r="C103" s="69" t="s">
        <v>1888</v>
      </c>
    </row>
    <row r="104" spans="2:3">
      <c r="B104" s="73" t="s">
        <v>2002</v>
      </c>
      <c r="C104" s="69" t="s">
        <v>2003</v>
      </c>
    </row>
    <row r="105" spans="2:3">
      <c r="B105" s="69" t="s">
        <v>2004</v>
      </c>
      <c r="C105" s="69" t="s">
        <v>1888</v>
      </c>
    </row>
    <row r="106" spans="2:3">
      <c r="B106" s="69" t="s">
        <v>2005</v>
      </c>
      <c r="C106" s="69" t="s">
        <v>1990</v>
      </c>
    </row>
    <row r="107" spans="2:3">
      <c r="B107" s="69" t="s">
        <v>2006</v>
      </c>
      <c r="C107" s="69" t="s">
        <v>1921</v>
      </c>
    </row>
    <row r="108" spans="2:3">
      <c r="B108" s="69" t="s">
        <v>2007</v>
      </c>
      <c r="C108" s="69" t="s">
        <v>1921</v>
      </c>
    </row>
    <row r="109" spans="2:3">
      <c r="B109" s="69" t="s">
        <v>2008</v>
      </c>
      <c r="C109" s="69" t="s">
        <v>1921</v>
      </c>
    </row>
    <row r="110" spans="2:3">
      <c r="B110" s="69" t="s">
        <v>2009</v>
      </c>
      <c r="C110" s="69" t="s">
        <v>1921</v>
      </c>
    </row>
    <row r="111" spans="2:3">
      <c r="B111" s="69" t="s">
        <v>2010</v>
      </c>
      <c r="C111" s="69" t="s">
        <v>1921</v>
      </c>
    </row>
    <row r="112" spans="2:3">
      <c r="B112" s="69" t="s">
        <v>2011</v>
      </c>
      <c r="C112" s="69" t="s">
        <v>1921</v>
      </c>
    </row>
    <row r="113" spans="2:3">
      <c r="B113" s="73" t="s">
        <v>2012</v>
      </c>
      <c r="C113" s="69" t="s">
        <v>2013</v>
      </c>
    </row>
    <row r="114" spans="2:3">
      <c r="B114" s="69" t="s">
        <v>2014</v>
      </c>
      <c r="C114" s="69" t="s">
        <v>1921</v>
      </c>
    </row>
    <row r="115" spans="2:3">
      <c r="B115" s="69" t="s">
        <v>2015</v>
      </c>
      <c r="C115" s="69" t="s">
        <v>1921</v>
      </c>
    </row>
    <row r="116" spans="2:3">
      <c r="B116" s="69" t="s">
        <v>2016</v>
      </c>
      <c r="C116" s="69" t="s">
        <v>1969</v>
      </c>
    </row>
    <row r="117" spans="2:3">
      <c r="B117" s="69" t="s">
        <v>2017</v>
      </c>
      <c r="C117" s="69" t="s">
        <v>919</v>
      </c>
    </row>
    <row r="118" spans="2:3">
      <c r="B118" s="69" t="s">
        <v>2018</v>
      </c>
      <c r="C118" s="69" t="s">
        <v>921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085A9-790B-4C51-A70D-A53939E72E85}">
  <dimension ref="B2:C101"/>
  <sheetViews>
    <sheetView workbookViewId="0">
      <selection activeCell="C7" sqref="C7"/>
    </sheetView>
  </sheetViews>
  <sheetFormatPr defaultRowHeight="15"/>
  <cols>
    <col min="2" max="2" width="40.5703125" customWidth="1"/>
    <col min="3" max="3" width="99.42578125" customWidth="1"/>
    <col min="4" max="4" width="31.85546875" customWidth="1"/>
    <col min="5" max="5" width="45" customWidth="1"/>
    <col min="6" max="6" width="25.28515625" customWidth="1"/>
  </cols>
  <sheetData>
    <row r="2" spans="2:3">
      <c r="B2" s="95" t="s">
        <v>2019</v>
      </c>
    </row>
    <row r="3" spans="2:3">
      <c r="B3" s="96" t="s">
        <v>2020</v>
      </c>
    </row>
    <row r="4" spans="2:3">
      <c r="B4" s="95" t="s">
        <v>2021</v>
      </c>
    </row>
    <row r="6" spans="2:3">
      <c r="B6" t="s">
        <v>2022</v>
      </c>
    </row>
    <row r="7" spans="2:3">
      <c r="B7" t="s">
        <v>823</v>
      </c>
      <c r="C7" t="s">
        <v>824</v>
      </c>
    </row>
    <row r="8" spans="2:3">
      <c r="B8" s="136" t="s">
        <v>825</v>
      </c>
      <c r="C8" t="s">
        <v>2023</v>
      </c>
    </row>
    <row r="9" spans="2:3">
      <c r="B9" s="136" t="s">
        <v>2024</v>
      </c>
      <c r="C9" t="s">
        <v>2025</v>
      </c>
    </row>
    <row r="10" spans="2:3">
      <c r="B10" s="136" t="s">
        <v>2026</v>
      </c>
      <c r="C10" t="s">
        <v>2027</v>
      </c>
    </row>
    <row r="11" spans="2:3">
      <c r="B11" s="136" t="s">
        <v>2028</v>
      </c>
      <c r="C11" t="s">
        <v>2029</v>
      </c>
    </row>
    <row r="12" spans="2:3">
      <c r="B12" s="136" t="s">
        <v>2030</v>
      </c>
      <c r="C12" t="s">
        <v>2031</v>
      </c>
    </row>
    <row r="13" spans="2:3">
      <c r="B13" s="136" t="s">
        <v>2032</v>
      </c>
      <c r="C13" t="s">
        <v>2033</v>
      </c>
    </row>
    <row r="14" spans="2:3">
      <c r="B14" s="136" t="s">
        <v>2034</v>
      </c>
      <c r="C14" t="s">
        <v>2035</v>
      </c>
    </row>
    <row r="15" spans="2:3">
      <c r="B15" s="136" t="s">
        <v>2036</v>
      </c>
      <c r="C15" t="s">
        <v>2031</v>
      </c>
    </row>
    <row r="16" spans="2:3">
      <c r="B16" s="136" t="s">
        <v>827</v>
      </c>
      <c r="C16" t="s">
        <v>828</v>
      </c>
    </row>
    <row r="17" spans="2:3">
      <c r="B17" s="136" t="s">
        <v>2037</v>
      </c>
      <c r="C17" t="s">
        <v>2038</v>
      </c>
    </row>
    <row r="18" spans="2:3">
      <c r="B18" s="136" t="s">
        <v>2039</v>
      </c>
      <c r="C18" t="s">
        <v>2040</v>
      </c>
    </row>
    <row r="19" spans="2:3">
      <c r="B19" s="136" t="s">
        <v>2041</v>
      </c>
      <c r="C19" t="s">
        <v>2042</v>
      </c>
    </row>
    <row r="20" spans="2:3">
      <c r="B20" s="136" t="s">
        <v>2043</v>
      </c>
      <c r="C20" t="s">
        <v>2044</v>
      </c>
    </row>
    <row r="21" spans="2:3">
      <c r="B21" s="136" t="s">
        <v>2045</v>
      </c>
      <c r="C21" t="s">
        <v>2046</v>
      </c>
    </row>
    <row r="22" spans="2:3">
      <c r="B22" t="s">
        <v>2047</v>
      </c>
      <c r="C22" t="s">
        <v>830</v>
      </c>
    </row>
    <row r="23" spans="2:3">
      <c r="B23" t="s">
        <v>2048</v>
      </c>
      <c r="C23" t="s">
        <v>830</v>
      </c>
    </row>
    <row r="24" spans="2:3">
      <c r="B24" t="s">
        <v>2049</v>
      </c>
      <c r="C24" t="s">
        <v>830</v>
      </c>
    </row>
    <row r="25" spans="2:3">
      <c r="B25" s="136" t="s">
        <v>2050</v>
      </c>
      <c r="C25" t="s">
        <v>828</v>
      </c>
    </row>
    <row r="26" spans="2:3">
      <c r="B26" s="136" t="s">
        <v>2051</v>
      </c>
      <c r="C26" t="s">
        <v>2040</v>
      </c>
    </row>
    <row r="27" spans="2:3">
      <c r="B27" s="136" t="s">
        <v>2052</v>
      </c>
      <c r="C27" t="s">
        <v>2038</v>
      </c>
    </row>
    <row r="28" spans="2:3">
      <c r="B28" s="136" t="s">
        <v>2053</v>
      </c>
      <c r="C28" t="s">
        <v>2054</v>
      </c>
    </row>
    <row r="29" spans="2:3">
      <c r="B29" s="136" t="s">
        <v>2055</v>
      </c>
      <c r="C29" t="s">
        <v>2056</v>
      </c>
    </row>
    <row r="30" spans="2:3">
      <c r="B30" s="136" t="s">
        <v>2057</v>
      </c>
      <c r="C30" t="s">
        <v>2058</v>
      </c>
    </row>
    <row r="31" spans="2:3">
      <c r="B31" s="136" t="s">
        <v>2059</v>
      </c>
      <c r="C31" t="s">
        <v>2060</v>
      </c>
    </row>
    <row r="32" spans="2:3">
      <c r="B32" t="s">
        <v>2061</v>
      </c>
      <c r="C32" t="s">
        <v>830</v>
      </c>
    </row>
    <row r="33" spans="2:3">
      <c r="B33" t="s">
        <v>2062</v>
      </c>
      <c r="C33" t="s">
        <v>830</v>
      </c>
    </row>
    <row r="34" spans="2:3">
      <c r="B34" t="s">
        <v>2063</v>
      </c>
      <c r="C34" t="s">
        <v>830</v>
      </c>
    </row>
    <row r="35" spans="2:3">
      <c r="B35" t="s">
        <v>2064</v>
      </c>
      <c r="C35" t="s">
        <v>830</v>
      </c>
    </row>
    <row r="36" spans="2:3">
      <c r="B36" t="s">
        <v>2065</v>
      </c>
      <c r="C36" t="s">
        <v>830</v>
      </c>
    </row>
    <row r="37" spans="2:3">
      <c r="B37" t="s">
        <v>2066</v>
      </c>
      <c r="C37" t="s">
        <v>830</v>
      </c>
    </row>
    <row r="38" spans="2:3">
      <c r="B38" t="s">
        <v>2067</v>
      </c>
      <c r="C38" t="s">
        <v>830</v>
      </c>
    </row>
    <row r="39" spans="2:3">
      <c r="B39" t="s">
        <v>2068</v>
      </c>
      <c r="C39" t="s">
        <v>830</v>
      </c>
    </row>
    <row r="40" spans="2:3">
      <c r="B40" s="136" t="s">
        <v>2069</v>
      </c>
      <c r="C40" t="s">
        <v>2070</v>
      </c>
    </row>
    <row r="41" spans="2:3">
      <c r="B41" s="136" t="s">
        <v>2071</v>
      </c>
      <c r="C41" t="s">
        <v>879</v>
      </c>
    </row>
    <row r="42" spans="2:3">
      <c r="B42" s="136" t="s">
        <v>2072</v>
      </c>
      <c r="C42" t="s">
        <v>2073</v>
      </c>
    </row>
    <row r="43" spans="2:3">
      <c r="B43" t="s">
        <v>2074</v>
      </c>
      <c r="C43" t="s">
        <v>830</v>
      </c>
    </row>
    <row r="44" spans="2:3">
      <c r="B44" t="s">
        <v>2075</v>
      </c>
      <c r="C44" t="s">
        <v>830</v>
      </c>
    </row>
    <row r="45" spans="2:3">
      <c r="B45" t="s">
        <v>2076</v>
      </c>
      <c r="C45" t="s">
        <v>830</v>
      </c>
    </row>
    <row r="46" spans="2:3">
      <c r="B46" t="s">
        <v>833</v>
      </c>
      <c r="C46" t="s">
        <v>830</v>
      </c>
    </row>
    <row r="47" spans="2:3">
      <c r="B47" t="s">
        <v>2077</v>
      </c>
      <c r="C47" t="s">
        <v>830</v>
      </c>
    </row>
    <row r="48" spans="2:3">
      <c r="B48" t="s">
        <v>2078</v>
      </c>
      <c r="C48" t="s">
        <v>830</v>
      </c>
    </row>
    <row r="49" spans="2:3">
      <c r="B49" t="s">
        <v>2079</v>
      </c>
      <c r="C49" t="s">
        <v>830</v>
      </c>
    </row>
    <row r="50" spans="2:3">
      <c r="B50" t="s">
        <v>2080</v>
      </c>
      <c r="C50" t="s">
        <v>830</v>
      </c>
    </row>
    <row r="51" spans="2:3">
      <c r="B51" t="s">
        <v>2081</v>
      </c>
      <c r="C51" t="s">
        <v>830</v>
      </c>
    </row>
    <row r="52" spans="2:3">
      <c r="B52" t="s">
        <v>2082</v>
      </c>
      <c r="C52" t="s">
        <v>830</v>
      </c>
    </row>
    <row r="53" spans="2:3">
      <c r="B53" s="136" t="s">
        <v>2083</v>
      </c>
      <c r="C53" t="s">
        <v>2084</v>
      </c>
    </row>
    <row r="54" spans="2:3">
      <c r="B54" t="s">
        <v>2085</v>
      </c>
      <c r="C54" t="s">
        <v>830</v>
      </c>
    </row>
    <row r="55" spans="2:3">
      <c r="B55" t="s">
        <v>2086</v>
      </c>
      <c r="C55" t="s">
        <v>830</v>
      </c>
    </row>
    <row r="56" spans="2:3">
      <c r="B56" t="s">
        <v>2087</v>
      </c>
      <c r="C56" t="s">
        <v>830</v>
      </c>
    </row>
    <row r="57" spans="2:3">
      <c r="B57" t="s">
        <v>2088</v>
      </c>
      <c r="C57" t="s">
        <v>830</v>
      </c>
    </row>
    <row r="58" spans="2:3">
      <c r="B58" s="136" t="s">
        <v>2089</v>
      </c>
      <c r="C58" t="s">
        <v>2042</v>
      </c>
    </row>
    <row r="59" spans="2:3">
      <c r="B59" t="s">
        <v>2090</v>
      </c>
      <c r="C59" t="s">
        <v>830</v>
      </c>
    </row>
    <row r="60" spans="2:3">
      <c r="B60" t="s">
        <v>2091</v>
      </c>
      <c r="C60" t="s">
        <v>830</v>
      </c>
    </row>
    <row r="61" spans="2:3">
      <c r="B61" t="s">
        <v>2092</v>
      </c>
      <c r="C61" t="s">
        <v>830</v>
      </c>
    </row>
    <row r="62" spans="2:3">
      <c r="B62" t="s">
        <v>2093</v>
      </c>
      <c r="C62" t="s">
        <v>2094</v>
      </c>
    </row>
    <row r="63" spans="2:3">
      <c r="B63" t="s">
        <v>2095</v>
      </c>
      <c r="C63" t="s">
        <v>830</v>
      </c>
    </row>
    <row r="64" spans="2:3">
      <c r="B64" t="s">
        <v>2096</v>
      </c>
      <c r="C64" t="s">
        <v>830</v>
      </c>
    </row>
    <row r="65" spans="2:3">
      <c r="B65" t="s">
        <v>2097</v>
      </c>
      <c r="C65" t="s">
        <v>830</v>
      </c>
    </row>
    <row r="66" spans="2:3">
      <c r="B66" t="s">
        <v>2098</v>
      </c>
      <c r="C66" t="s">
        <v>830</v>
      </c>
    </row>
    <row r="67" spans="2:3">
      <c r="B67" t="s">
        <v>2099</v>
      </c>
      <c r="C67" t="s">
        <v>830</v>
      </c>
    </row>
    <row r="68" spans="2:3">
      <c r="B68" t="s">
        <v>2100</v>
      </c>
      <c r="C68" t="s">
        <v>830</v>
      </c>
    </row>
    <row r="69" spans="2:3">
      <c r="B69" t="s">
        <v>2101</v>
      </c>
      <c r="C69" t="s">
        <v>830</v>
      </c>
    </row>
    <row r="70" spans="2:3">
      <c r="B70" t="s">
        <v>2102</v>
      </c>
      <c r="C70" t="s">
        <v>830</v>
      </c>
    </row>
    <row r="71" spans="2:3">
      <c r="B71" s="136" t="s">
        <v>2103</v>
      </c>
      <c r="C71" t="s">
        <v>2094</v>
      </c>
    </row>
    <row r="72" spans="2:3">
      <c r="B72" t="s">
        <v>2104</v>
      </c>
      <c r="C72" t="s">
        <v>830</v>
      </c>
    </row>
    <row r="73" spans="2:3">
      <c r="B73" s="136" t="s">
        <v>2105</v>
      </c>
      <c r="C73" t="s">
        <v>2094</v>
      </c>
    </row>
    <row r="74" spans="2:3">
      <c r="B74" t="s">
        <v>2106</v>
      </c>
      <c r="C74" t="s">
        <v>830</v>
      </c>
    </row>
    <row r="75" spans="2:3" ht="45.75">
      <c r="B75" s="72" t="s">
        <v>2107</v>
      </c>
      <c r="C75" s="137" t="s">
        <v>2108</v>
      </c>
    </row>
    <row r="76" spans="2:3">
      <c r="B76" s="136" t="s">
        <v>910</v>
      </c>
      <c r="C76" t="s">
        <v>2054</v>
      </c>
    </row>
    <row r="77" spans="2:3">
      <c r="B77" s="136" t="s">
        <v>911</v>
      </c>
      <c r="C77" t="s">
        <v>828</v>
      </c>
    </row>
    <row r="78" spans="2:3">
      <c r="B78" s="136" t="s">
        <v>912</v>
      </c>
      <c r="C78" t="s">
        <v>2054</v>
      </c>
    </row>
    <row r="79" spans="2:3">
      <c r="B79" s="136" t="s">
        <v>914</v>
      </c>
      <c r="C79" t="s">
        <v>828</v>
      </c>
    </row>
    <row r="80" spans="2:3">
      <c r="B80" t="s">
        <v>915</v>
      </c>
      <c r="C80" t="s">
        <v>830</v>
      </c>
    </row>
    <row r="81" spans="2:3">
      <c r="B81" t="s">
        <v>916</v>
      </c>
      <c r="C81" t="s">
        <v>830</v>
      </c>
    </row>
    <row r="82" spans="2:3">
      <c r="B82" t="s">
        <v>2109</v>
      </c>
      <c r="C82" t="s">
        <v>830</v>
      </c>
    </row>
    <row r="83" spans="2:3">
      <c r="B83" t="s">
        <v>2110</v>
      </c>
      <c r="C83" t="s">
        <v>830</v>
      </c>
    </row>
    <row r="84" spans="2:3">
      <c r="B84" t="s">
        <v>2111</v>
      </c>
      <c r="C84" t="s">
        <v>830</v>
      </c>
    </row>
    <row r="85" spans="2:3">
      <c r="B85" t="s">
        <v>2112</v>
      </c>
      <c r="C85" t="s">
        <v>830</v>
      </c>
    </row>
    <row r="86" spans="2:3">
      <c r="B86" t="s">
        <v>2113</v>
      </c>
      <c r="C86" t="s">
        <v>830</v>
      </c>
    </row>
    <row r="87" spans="2:3">
      <c r="B87" t="s">
        <v>2114</v>
      </c>
      <c r="C87" t="s">
        <v>830</v>
      </c>
    </row>
    <row r="88" spans="2:3">
      <c r="B88" t="s">
        <v>2115</v>
      </c>
      <c r="C88" t="s">
        <v>830</v>
      </c>
    </row>
    <row r="89" spans="2:3">
      <c r="B89" t="s">
        <v>2116</v>
      </c>
      <c r="C89" t="s">
        <v>830</v>
      </c>
    </row>
    <row r="90" spans="2:3">
      <c r="B90" t="s">
        <v>2117</v>
      </c>
      <c r="C90" t="s">
        <v>830</v>
      </c>
    </row>
    <row r="91" spans="2:3">
      <c r="B91" t="s">
        <v>2118</v>
      </c>
      <c r="C91" t="s">
        <v>830</v>
      </c>
    </row>
    <row r="92" spans="2:3">
      <c r="B92" t="s">
        <v>2119</v>
      </c>
      <c r="C92" t="s">
        <v>830</v>
      </c>
    </row>
    <row r="93" spans="2:3">
      <c r="B93" t="s">
        <v>2120</v>
      </c>
      <c r="C93" t="s">
        <v>830</v>
      </c>
    </row>
    <row r="94" spans="2:3">
      <c r="B94" t="s">
        <v>2121</v>
      </c>
      <c r="C94" t="s">
        <v>830</v>
      </c>
    </row>
    <row r="95" spans="2:3">
      <c r="B95" t="s">
        <v>2122</v>
      </c>
      <c r="C95" t="s">
        <v>830</v>
      </c>
    </row>
    <row r="96" spans="2:3">
      <c r="B96" t="s">
        <v>2123</v>
      </c>
      <c r="C96" t="s">
        <v>830</v>
      </c>
    </row>
    <row r="97" spans="2:3">
      <c r="B97" s="136" t="s">
        <v>2124</v>
      </c>
      <c r="C97" t="s">
        <v>2125</v>
      </c>
    </row>
    <row r="98" spans="2:3">
      <c r="B98" s="136" t="s">
        <v>2126</v>
      </c>
      <c r="C98" t="s">
        <v>843</v>
      </c>
    </row>
    <row r="99" spans="2:3">
      <c r="B99" t="s">
        <v>2127</v>
      </c>
      <c r="C99" t="s">
        <v>830</v>
      </c>
    </row>
    <row r="100" spans="2:3">
      <c r="B100" s="136" t="s">
        <v>2128</v>
      </c>
      <c r="C100" t="s">
        <v>2129</v>
      </c>
    </row>
    <row r="101" spans="2:3">
      <c r="B101" t="s">
        <v>920</v>
      </c>
      <c r="C101" t="s">
        <v>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2026-03-12T09:04:56Z</dcterms:created>
  <dcterms:modified xsi:type="dcterms:W3CDTF">2026-07-23T06:34:37Z</dcterms:modified>
  <cp:category/>
  <cp:contentStatus/>
</cp:coreProperties>
</file>