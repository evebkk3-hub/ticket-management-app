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D51E618D-FAB1-478E-A410-2BA5C4F3C6CC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LSMART" sheetId="1" r:id="rId1"/>
    <sheet name="Pro" sheetId="3" r:id="rId2"/>
    <sheet name="ExampleSQLScri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6" i="1" l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<sst xmlns="http://schemas.openxmlformats.org/spreadsheetml/2006/main" count="1946" uniqueCount="903">
  <si>
    <t xml:space="preserve">Table Name: </t>
  </si>
  <si>
    <t>quotation</t>
  </si>
  <si>
    <t>R2_SP2</t>
  </si>
  <si>
    <t xml:space="preserve">Table Description: </t>
  </si>
  <si>
    <t>To storing quotation transaction
Remark : reference quotation from TL Pro+</t>
  </si>
  <si>
    <t>Confluence link:</t>
  </si>
  <si>
    <t>https://bluebik-team.atlassian.net/wiki/spaces/TNS/pages/53543308/quotation+Table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</si>
  <si>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</si>
  <si>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</si>
  <si>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</si>
  <si>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</si>
  <si>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</si>
  <si>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</si>
  <si>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</si>
  <si>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</si>
  <si>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</si>
  <si>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</si>
  <si>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</si>
  <si>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</si>
  <si>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</si>
  <si>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</si>
  <si>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</si>
  <si>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</si>
  <si>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</si>
  <si>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</si>
  <si>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</si>
  <si>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insert</t>
  </si>
  <si>
    <t>select</t>
  </si>
  <si>
    <t>1</t>
  </si>
  <si>
    <t>id</t>
  </si>
  <si>
    <t>uuid</t>
  </si>
  <si>
    <t>Identify id.
Remark : re-name from quotationno</t>
  </si>
  <si>
    <t>NO</t>
  </si>
  <si>
    <t>PK</t>
  </si>
  <si>
    <t>Auto Generate UUID V7</t>
  </si>
  <si>
    <t>Auto-generate (UUID V7) ตอน insert - ไม่ได้มาจาก TLPro โดยตรง</t>
  </si>
  <si>
    <t>2</t>
  </si>
  <si>
    <t>prospect_id</t>
  </si>
  <si>
    <t>Prospect id.
Remark : re-name from customerid</t>
  </si>
  <si>
    <r>
      <rPr>
        <u/>
        <sz val="12"/>
        <color rgb="FF1155CC"/>
        <rFont val="Calibri Light"/>
      </rPr>
      <t>prospect Table</t>
    </r>
    <r>
      <rPr>
        <sz val="12"/>
        <rFont val="Calibri Light"/>
      </rPr>
      <t xml:space="preserve"> (id)</t>
    </r>
  </si>
  <si>
    <t>Direct</t>
  </si>
  <si>
    <t>customerid</t>
  </si>
  <si>
    <t>3</t>
  </si>
  <si>
    <t>agent_id</t>
  </si>
  <si>
    <t>varchar(10)</t>
  </si>
  <si>
    <t>Agent id.
Remark : re-name from agentid</t>
  </si>
  <si>
    <t>agentid</t>
  </si>
  <si>
    <t>4</t>
  </si>
  <si>
    <t>reference_no</t>
  </si>
  <si>
    <t>varchar(50)</t>
  </si>
  <si>
    <t>Quotation reference number
Remark : re-name from referenceno</t>
  </si>
  <si>
    <t>YES</t>
  </si>
  <si>
    <t>Pattern:
YYYY_TH(พ.ศ.) + ""5"" + {runningNumber 7 digits} ex.256850000001*ขึ้นปี พ.ศ. ใหม่ ให้ reset runningNumber เป็น 0000001 ทุกปี</t>
  </si>
  <si>
    <r>
      <rPr>
        <sz val="10"/>
        <color rgb="FF000000"/>
        <rFont val="Calibri Light"/>
      </rPr>
      <t xml:space="preserve">##Pattern การ Generate เลขอ้างอิง(RefNo)
--TLSmart generate
YYYY_TH(พ.ศ.) + ""5"" + {runningNumber 7 digits} 
ex.256850000001
</t>
    </r>
    <r>
      <rPr>
        <sz val="10"/>
        <color rgb="FFFF0000"/>
        <rFont val="Calibri Light"/>
      </rPr>
      <t>*ขึ้นปี พ.ศ. ใหม่ ให้ reset runningNumber เป็น 0000001 ทุกปี</t>
    </r>
  </si>
  <si>
    <t>Y</t>
  </si>
  <si>
    <t xml:space="preserve">Quotation List 
Edit Quotation 
Application Detail 
Quotation Preview PDF 
E-Signature Quotation </t>
  </si>
  <si>
    <t>GET /ms-sales/v1/quotations
GET /ms-sales/v1/quotationsol/{quotationId}/temp
GET /ms-sales/v1/quotations/{quotationId}
POST /ms-sales/v1/quotationsgenerate-ref-no
POST /ms-sales/v1/quotationssend-email
POST /ms-sales/v1/quotations/{quotationId}/e-signature</t>
  </si>
  <si>
    <t>referenceno</t>
  </si>
  <si>
    <t>5</t>
  </si>
  <si>
    <t>plan_code</t>
  </si>
  <si>
    <t>Plan code.
Remark : re-name from plancode</t>
  </si>
  <si>
    <t>TE01</t>
  </si>
  <si>
    <t xml:space="preserve">Favorite Management 
Quotation List 
Create Quotation 
Edit Quotation 
Quotation Preview PDF 
Application Detail 
Edit Quotation in Application 
Edit Quotation Page </t>
  </si>
  <si>
    <t>DELETE /ms-sales/v1/quotationsfavorite-plan
GET /ms-sales/v1/quotations
GET /ms-sales/v1/quotationsaccumulations/{planCode}
GET /ms-sales/v1/quotationsadditional-view-plan
GET /ms-sales/v1/quotationsfavorite-plan
GET /ms-sales/v1/quotationsolselling-description
GET /ms-sales/v1/quotationsol/{quotationId}/temp
GET /ms-sales/v1/quotationsproduct-illustration
GET /ms-sales/v1/quotationsul/{quotationId}/temp
GET /ms-sales/v1/quotations/{quotationId}
GET /ms-sales/v1/quotations/{quotationId}/preview
GET /ms-sales/v2/quotationsproduct-illustration
POST /ms-sales/v1/quotations
POST /ms-sales/v1/quotationsfavorite-plan
POST /ms-sales/v1/quotationsrevise
POST /ms-sales/v1/quotationssubmit-ref-no
POST /ms-sales/v2/quotations
PUT /ms-sales/v1/quotations/{quotationId}
PUT /ms-sales/v2/quotations/{quotationId}</t>
  </si>
  <si>
    <t>plancode</t>
  </si>
  <si>
    <t>6</t>
  </si>
  <si>
    <t>product_type</t>
  </si>
  <si>
    <t>varchar(2)</t>
  </si>
  <si>
    <t>Product type.</t>
  </si>
  <si>
    <t>OL</t>
  </si>
  <si>
    <t>OL
UL
UK</t>
  </si>
  <si>
    <t>OL - Ordinary Life.
UL - Universal Life.
UK - Unit Link.</t>
  </si>
  <si>
    <t xml:space="preserve">Edit Quotation 
Application Detail 
Quotation Preview PDF 
Create Quotation 
Edit Quotation in Application 
Edit Quotation Page </t>
  </si>
  <si>
    <t>GET /ms-sales/v1/quotations/{quotationId}
GET /ms-sales/v1/quotations/{quotationId}/consent-premium-withdrawal
POST /ms-sales/v1/quotations
POST /ms-sales/v1/quotationsrevise
POST /ms-sales/v2/quotations
PUT /ms-sales/v1/quotations/{quotationId}
PUT /ms-sales/v2/quotations/{quotationId}</t>
  </si>
  <si>
    <t>logic</t>
  </si>
  <si>
    <t>quotation.plancode -&gt; product_config.plan_code (lookup key) -&gt; product_config.type</t>
  </si>
  <si>
    <t>7</t>
  </si>
  <si>
    <t>plan_name</t>
  </si>
  <si>
    <t>varchar(255)</t>
  </si>
  <si>
    <t>Plan name.
Remark : re-name from planname</t>
  </si>
  <si>
    <t xml:space="preserve">Quotation List 
Edit Quotation 
Application Detail 
Quotation Preview PDF 
Create Quotation 
Edit Quotation in Application 
Edit Quotation Page </t>
  </si>
  <si>
    <t>GET /ms-sales/v1/quotations
GET /ms-sales/v1/quotationsol/{quotationId}/temp
GET /ms-sales/v1/quotations/{quotationId}
POST /ms-sales/v1/quotations
POST /ms-sales/v1/quotationsrevise
POST /ms-sales/v1/quotationssend-email
POST /ms-sales/v1/quotationssubmit-ref-no
POST /ms-sales/v2/quotations
PUT /ms-sales/v1/quotations/{quotationId}
PUT /ms-sales/v2/quotations/{quotationId}</t>
  </si>
  <si>
    <t>planname</t>
  </si>
  <si>
    <t>8</t>
  </si>
  <si>
    <t>plan_display_name</t>
  </si>
  <si>
    <t>display_name</t>
  </si>
  <si>
    <t> </t>
  </si>
  <si>
    <t xml:space="preserve">Create Quotation 
Edit Quotation in Application 
Edit Quotation Page </t>
  </si>
  <si>
    <t>POST /ms-sales/v1/quotations
POST /ms-sales/v1/quotationsrevise
POST /ms-sales/v2/quotations
PUT /ms-sales/v1/quotations/{quotationId}</t>
  </si>
  <si>
    <t>quotation.plancode -&gt; product_config.plan_code (lookup key) -&gt; product_config.display_name</t>
  </si>
  <si>
    <t>9</t>
  </si>
  <si>
    <t>plan_type</t>
  </si>
  <si>
    <t>Plan type.</t>
  </si>
  <si>
    <t>OL
UL
UK
PA
CANCER
TAKAFUL
PA_MICRO</t>
  </si>
  <si>
    <t>OL - Ordinary Life.
UL - Universal Life.
UK - Unit Link.
PA - Personal Accident
CANCER - Cancer
TAKAFUL - Takaful
PA_MICRO - Micro personal accident</t>
  </si>
  <si>
    <t>GET /ms-sales/v1/quotations/{quotationId}
GET /ms-sales/v1/quotations/{quotationId}/consent-premium-withdrawal
POST /ms-sales/v1/quotations
POST /ms-sales/v1/quotationsrevise
POST /ms-sales/v1/quotationssend-email
POST /ms-sales/v2/quotations
PUT /ms-sales/v1/quotations/{quotationId}
PUT /ms-sales/v2/quotations/{quotationId}</t>
  </si>
  <si>
    <t>quotation.plancode -&gt; product_config.plan_code (lookup key) -&gt; product_config.plan_type</t>
  </si>
  <si>
    <t>10</t>
  </si>
  <si>
    <t>insured_title_code</t>
  </si>
  <si>
    <t>Insured title code.</t>
  </si>
  <si>
    <r>
      <rPr>
        <u/>
        <sz val="12"/>
        <color rgb="FF1155CC"/>
        <rFont val="Calibri Light"/>
      </rPr>
      <t>pre_name Table</t>
    </r>
    <r>
      <rPr>
        <sz val="12"/>
        <rFont val="Calibri Light"/>
      </rPr>
      <t xml:space="preserve"> (code)</t>
    </r>
  </si>
  <si>
    <t>GET /ms-sales/v1/quotations/{quotationId}
POST /ms-sales/v1/quotations
POST /ms-sales/v1/quotationsrevise
POST /ms-sales/v2/quotations
PUT /ms-sales/v1/quotations/{quotationId}
PUT /ms-sales/v2/quotations/{quotationId}</t>
  </si>
  <si>
    <t>**Not available in TLPro</t>
  </si>
  <si>
    <t>11</t>
  </si>
  <si>
    <t>insured_title</t>
  </si>
  <si>
    <t>varchar(30)</t>
  </si>
  <si>
    <t>Insured title name.
Remark : re-name from pname</t>
  </si>
  <si>
    <r>
      <rPr>
        <u/>
        <sz val="12"/>
        <color rgb="FF1155CC"/>
        <rFont val="Calibri Light"/>
      </rPr>
      <t>pre_name Table</t>
    </r>
    <r>
      <rPr>
        <sz val="12"/>
        <rFont val="Calibri Light"/>
      </rPr>
      <t xml:space="preserve"> (pre_name)</t>
    </r>
  </si>
  <si>
    <t>นาย</t>
  </si>
  <si>
    <t>GET /ms-sales/v1/quotationsol/{quotationId}/temp
GET /ms-sales/v1/quotations/{quotationId}
POST /ms-sales/v1/quotations
POST /ms-sales/v1/quotationsrevise
POST /ms-sales/v2/quotations
PUT /ms-sales/v1/quotations/{quotationId}
PUT /ms-sales/v2/quotations/{quotationId}</t>
  </si>
  <si>
    <t>pname</t>
  </si>
  <si>
    <t>12</t>
  </si>
  <si>
    <t>insured_first_name</t>
  </si>
  <si>
    <t>Insured first name.
Remark : re-name from fname</t>
  </si>
  <si>
    <t>มงคล</t>
  </si>
  <si>
    <t>GET /ms-sales/v1/quotations
GET /ms-sales/v1/quotationsol/{quotationId}/temp
GET /ms-sales/v1/quotations/{quotationId}
POST /ms-sales/v1/quotations
POST /ms-sales/v1/quotationsrevise
POST /ms-sales/v1/quotationssend-email
POST /ms-sales/v2/quotations
PUT /ms-sales/v1/quotations/{quotationId}
PUT /ms-sales/v2/quotations/{quotationId}</t>
  </si>
  <si>
    <t>fname</t>
  </si>
  <si>
    <t>13</t>
  </si>
  <si>
    <t>insured_last_name</t>
  </si>
  <si>
    <t>Insured last name.
Remark : re-name from lname</t>
  </si>
  <si>
    <t>สมโชค</t>
  </si>
  <si>
    <t>lname</t>
  </si>
  <si>
    <t>14</t>
  </si>
  <si>
    <t>insured_age</t>
  </si>
  <si>
    <t>integer</t>
  </si>
  <si>
    <t>Insured age.
Remark : re-name from insuredage</t>
  </si>
  <si>
    <t>GET /ms-sales/v1/quotations
GET /ms-sales/v1/quotationsol/{quotationId}/temp
GET /ms-sales/v1/quotations/{quotationId}
POST /ms-sales/v1/quotations
POST /ms-sales/v1/quotationsrevise
POST /ms-sales/v2/quotations
PUT /ms-sales/v1/quotations/{quotationId}
PUT /ms-sales/v2/quotations/{quotationId}</t>
  </si>
  <si>
    <t>insureage</t>
  </si>
  <si>
    <t>15</t>
  </si>
  <si>
    <t>insured_birth_date</t>
  </si>
  <si>
    <t>date</t>
  </si>
  <si>
    <t>Insured birth date.
Remark : re-name from birthdate</t>
  </si>
  <si>
    <t>1994-11-04</t>
  </si>
  <si>
    <t>GET /ms-sales/v1/quotations
GET /ms-sales/v1/quotations/{quotationId}
POST /ms-sales/v1/quotations
POST /ms-sales/v1/quotationsgenerate-ref-no
POST /ms-sales/v1/quotationsrevise
POST /ms-sales/v2/quotations
PUT /ms-sales/v1/quotations/{quotationId}
PUT /ms-sales/v2/quotations/{quotationId}</t>
  </si>
  <si>
    <t>birthdate</t>
  </si>
  <si>
    <t>convert to ISO 8601 timestamp format 
ex. 2000-02-29T00:00:00+07:00</t>
  </si>
  <si>
    <t>16</t>
  </si>
  <si>
    <t>insured_gender</t>
  </si>
  <si>
    <t>Insured gender
Remark : re-name from gender</t>
  </si>
  <si>
    <t>M</t>
  </si>
  <si>
    <t>M
F</t>
  </si>
  <si>
    <t>M = Male
F = Female</t>
  </si>
  <si>
    <t>gender</t>
  </si>
  <si>
    <t>17</t>
  </si>
  <si>
    <t>insured_mobile_no</t>
  </si>
  <si>
    <t>Insured mobile number</t>
  </si>
  <si>
    <t>GET /ms-sales/v1/quotations
GET /ms-sales/v1/quotations/{quotationId}
POST /ms-sales/v1/quotations
POST /ms-sales/v1/quotationsrevise
POST /ms-sales/v2/quotations
PUT /ms-sales/v1/quotations/{quotationId}
PUT /ms-sales/v2/quotations/{quotationId}</t>
  </si>
  <si>
    <t>18</t>
  </si>
  <si>
    <t>insured_identify_type</t>
  </si>
  <si>
    <t>varchar(5)</t>
  </si>
  <si>
    <t>Identify type
Remark : re-name from identifytype</t>
  </si>
  <si>
    <t>TID</t>
  </si>
  <si>
    <t>TID
PPN</t>
  </si>
  <si>
    <t>TID = ID Number.
PPN = Passport Number</t>
  </si>
  <si>
    <t>identifytype</t>
  </si>
  <si>
    <t>Y = คนไทย , คนไม่มีสัญชาติ
N = คนต่างชาติ</t>
  </si>
  <si>
    <t>19</t>
  </si>
  <si>
    <t>insured_citizen_id</t>
  </si>
  <si>
    <t>varchar(20)</t>
  </si>
  <si>
    <t>Citizen id
Remark : re-name from citizenid</t>
  </si>
  <si>
    <t>31287640011</t>
  </si>
  <si>
    <t>fill this data when identify_type = TID</t>
  </si>
  <si>
    <t>citizenid</t>
  </si>
  <si>
    <t>20</t>
  </si>
  <si>
    <t>insured_nationality</t>
  </si>
  <si>
    <t>Nationality</t>
  </si>
  <si>
    <t>THA</t>
  </si>
  <si>
    <t>21</t>
  </si>
  <si>
    <t>insured_passport</t>
  </si>
  <si>
    <t>Passport no.
Remark : re-name from passport</t>
  </si>
  <si>
    <t>fill this data when identify_type = PPN</t>
  </si>
  <si>
    <t>passport</t>
  </si>
  <si>
    <t>22</t>
  </si>
  <si>
    <t>insured_country_code</t>
  </si>
  <si>
    <t>Passport country code.
Remark : re-name from countrycode</t>
  </si>
  <si>
    <r>
      <rPr>
        <u/>
        <sz val="12"/>
        <color rgb="FF1155CC"/>
        <rFont val="Calibri Light"/>
      </rPr>
      <t>country Table</t>
    </r>
    <r>
      <rPr>
        <sz val="12"/>
        <rFont val="Calibri Light"/>
      </rPr>
      <t xml:space="preserve"> (country_code)</t>
    </r>
  </si>
  <si>
    <t>countrycode</t>
  </si>
  <si>
    <t>23</t>
  </si>
  <si>
    <t>occupation</t>
  </si>
  <si>
    <t>Main occupation code. (รหัสอาชีพ)
Remark : re-name from occupation</t>
  </si>
  <si>
    <r>
      <rPr>
        <u/>
        <sz val="12"/>
        <color rgb="FF1155CC"/>
        <rFont val="Calibri Light"/>
      </rPr>
      <t>occupation Table</t>
    </r>
    <r>
      <rPr>
        <sz val="12"/>
        <rFont val="Calibri Light"/>
      </rPr>
      <t xml:space="preserve"> (code)</t>
    </r>
  </si>
  <si>
    <t>50</t>
  </si>
  <si>
    <t xml:space="preserve">Edit Quotation 
Create Quotation 
Application Detail 
Quotation Preview PDF 
Edit Quotation in Application 
Edit Quotation Page </t>
  </si>
  <si>
    <t>GET /ms-sales/v1/quotationsol/{quotationId}/temp
GET /ms-sales/v1/quotationsproduct-illustration
GET /ms-sales/v1/quotationsul/{quotationId}/temp
GET /ms-sales/v1/quotations/{quotationId}
GET /ms-sales/v2/quotationsproduct-illustration
POST /ms-sales/v1/quotations
POST /ms-sales/v1/quotationsrevise
POST /ms-sales/v1/quotationssubmit-ref-no
POST /ms-sales/v2/quotations
PUT /ms-sales/v1/quotations/{quotationId}
PUT /ms-sales/v2/quotations/{quotationId}</t>
  </si>
  <si>
    <t>24</t>
  </si>
  <si>
    <t>occupation_name</t>
  </si>
  <si>
    <t>varchar(100)</t>
  </si>
  <si>
    <t>Main occupation name. (ชื่ออาชีพ)</t>
  </si>
  <si>
    <r>
      <rPr>
        <u/>
        <sz val="12"/>
        <color rgb="FF1155CC"/>
        <rFont val="Calibri Light"/>
      </rPr>
      <t>occupation Table</t>
    </r>
    <r>
      <rPr>
        <sz val="12"/>
        <rFont val="Calibri Light"/>
      </rPr>
      <t xml:space="preserve"> (name)</t>
    </r>
  </si>
  <si>
    <t>GET /ms-sales/v1/quotationsul/{quotationId}/temp
GET /ms-sales/v1/quotations/{quotationId}
POST /ms-sales/v1/quotations
POST /ms-sales/v1/quotationsrevise
POST /ms-sales/v2/quotations
PUT /ms-sales/v1/quotations/{quotationId}
PUT /ms-sales/v2/quotations/{quotationId}</t>
  </si>
  <si>
    <t>25</t>
  </si>
  <si>
    <t>occupation_business</t>
  </si>
  <si>
    <t>Main occupation business type. (รหัสลักษณะงาน)
Remark : re-name from occupationbusiness</t>
  </si>
  <si>
    <r>
      <rPr>
        <u/>
        <sz val="12"/>
        <color rgb="FF1155CC"/>
        <rFont val="Calibri Light"/>
      </rPr>
      <t>occupation_level Table</t>
    </r>
    <r>
      <rPr>
        <sz val="12"/>
        <rFont val="Calibri Light"/>
      </rPr>
      <t xml:space="preserve"> (business_code)</t>
    </r>
  </si>
  <si>
    <t>occupationbusiness</t>
  </si>
  <si>
    <t>26</t>
  </si>
  <si>
    <t>occ_bus_value</t>
  </si>
  <si>
    <t>Main occupation business description. (ลักษณะอาชีพ)
Remark : re-name from occbusvalue</t>
  </si>
  <si>
    <r>
      <rPr>
        <u/>
        <sz val="12"/>
        <color rgb="FF1155CC"/>
        <rFont val="Calibri Light"/>
      </rPr>
      <t>occupation_level Table</t>
    </r>
    <r>
      <rPr>
        <sz val="12"/>
        <rFont val="Calibri Light"/>
      </rPr>
      <t xml:space="preserve"> (business_name)</t>
    </r>
  </si>
  <si>
    <t>เจ้าของร้าน</t>
  </si>
  <si>
    <t>occbusvalue</t>
  </si>
  <si>
    <t>27</t>
  </si>
  <si>
    <t>occupation_type</t>
  </si>
  <si>
    <t>Higest occupation class. (ขั้นอาชีพ)
Remark : re-name from occupationtype</t>
  </si>
  <si>
    <r>
      <rPr>
        <u/>
        <sz val="12"/>
        <color rgb="FF1155CC"/>
        <rFont val="Calibri Light"/>
      </rPr>
      <t>occupation_level Table</t>
    </r>
    <r>
      <rPr>
        <sz val="12"/>
        <rFont val="Calibri Light"/>
      </rPr>
      <t xml:space="preserve"> (type)</t>
    </r>
  </si>
  <si>
    <t>GET /ms-sales/v1/quotationsol/{quotationId}/temp
GET /ms-sales/v1/quotationsproduct-illustration
GET /ms-sales/v1/quotationsul/{quotationId}/temp
GET /ms-sales/v1/quotations/{quotationId}
GET /ms-sales/v2/quotationsproduct-illustration
POST /ms-sales/v1/quotations
POST /ms-sales/v1/quotationsrevise
POST /ms-sales/v2/quotations
PUT /ms-sales/v1/quotations/{quotationId}
PUT /ms-sales/v2/quotations/{quotationId}</t>
  </si>
  <si>
    <t>occupationtype</t>
  </si>
  <si>
    <t>28</t>
  </si>
  <si>
    <t>code_occ_to_uw</t>
  </si>
  <si>
    <t>Main occupation UW code. (รหัสอาชีพ Pre-UW)
Remark : re-name from codeocctouw</t>
  </si>
  <si>
    <r>
      <rPr>
        <u/>
        <sz val="12"/>
        <color rgb="FF1155CC"/>
        <rFont val="Calibri Light"/>
      </rPr>
      <t>occupation_level Table</t>
    </r>
    <r>
      <rPr>
        <sz val="12"/>
        <rFont val="Calibri Light"/>
      </rPr>
      <t xml:space="preserve"> (underwrite_code)</t>
    </r>
  </si>
  <si>
    <t>codeocctouw</t>
  </si>
  <si>
    <t>29</t>
  </si>
  <si>
    <t>occupation_reserve</t>
  </si>
  <si>
    <t>Reserve occupation code. (รหัสอาชีพรอง)
Remark : re-name from occupationreserve</t>
  </si>
  <si>
    <t>occupationreserve</t>
  </si>
  <si>
    <t>30</t>
  </si>
  <si>
    <t>occupation_reserve_name</t>
  </si>
  <si>
    <t>Reserve occupation name. (ชื่ออาชีพรอง)</t>
  </si>
  <si>
    <t>31</t>
  </si>
  <si>
    <t>occupation_business_reserve</t>
  </si>
  <si>
    <t>Reserve occupation business type. (รหัสลักษณะอาชีพรอง).
Remark : re-name from occupationbusinessreserve</t>
  </si>
  <si>
    <t>occupationbusinessreserve</t>
  </si>
  <si>
    <t>32</t>
  </si>
  <si>
    <t>occ_bus_value_reserve</t>
  </si>
  <si>
    <t>Reserve occupation business description. (ลักษณะอาชีพรอง)
Remark : re-name from occbusvaluereserve</t>
  </si>
  <si>
    <t>occbusvaluereserve</t>
  </si>
  <si>
    <t>33</t>
  </si>
  <si>
    <t>code_occ_to_uw_reserve</t>
  </si>
  <si>
    <t>Reserve occupation UW code. (รหัสอาชีพรอง Pre-UW)
Remark : re-name from codeocctouwreserve</t>
  </si>
  <si>
    <r>
      <rPr>
        <u/>
        <sz val="12"/>
        <color rgb="FF1155CC"/>
        <rFont val="Calibri Light"/>
      </rPr>
      <t>occupation_level Table</t>
    </r>
  </si>
  <si>
    <t>codeocctouwreserve</t>
  </si>
  <si>
    <t>34</t>
  </si>
  <si>
    <t>occupation_group</t>
  </si>
  <si>
    <t>Occupation group
Remark : re-name from occgroup</t>
  </si>
  <si>
    <r>
      <rPr>
        <u/>
        <sz val="12"/>
        <color rgb="FF1155CC"/>
        <rFont val="Calibri Light"/>
      </rPr>
      <t>occupation_sub_level Table</t>
    </r>
  </si>
  <si>
    <t>occgroup</t>
  </si>
  <si>
    <t>35</t>
  </si>
  <si>
    <t>parent_title_code</t>
  </si>
  <si>
    <t>Parent title code.</t>
  </si>
  <si>
    <t xml:space="preserve">Edit Quotation 
Application Detail 
Quotation Preview PDF 
E-Signature Quotation </t>
  </si>
  <si>
    <t>GET /ms-sales/v1/quotations/{quotationId}
POST /ms-sales/v1/quotations/{quotationId}/e-signature</t>
  </si>
  <si>
    <t>36</t>
  </si>
  <si>
    <t>parent_title</t>
  </si>
  <si>
    <t>Parent title name.</t>
  </si>
  <si>
    <t>37</t>
  </si>
  <si>
    <t>parent_first_name</t>
  </si>
  <si>
    <t>Parent first name.</t>
  </si>
  <si>
    <t>38</t>
  </si>
  <si>
    <t>parent_last_name</t>
  </si>
  <si>
    <t>Parent last name.</t>
  </si>
  <si>
    <t>39</t>
  </si>
  <si>
    <t>parent_age</t>
  </si>
  <si>
    <t>Parent age.</t>
  </si>
  <si>
    <t>40</t>
  </si>
  <si>
    <t>parent_relation_code</t>
  </si>
  <si>
    <t>Parent relation code.</t>
  </si>
  <si>
    <r>
      <rPr>
        <u/>
        <sz val="12"/>
        <color rgb="FF1155CC"/>
        <rFont val="Calibri Light"/>
      </rPr>
      <t>relation Table</t>
    </r>
    <r>
      <rPr>
        <sz val="12"/>
        <rFont val="Calibri Light"/>
      </rPr>
      <t xml:space="preserve"> (code)</t>
    </r>
  </si>
  <si>
    <t>41</t>
  </si>
  <si>
    <t>parent_relation</t>
  </si>
  <si>
    <t>Parent relation name.</t>
  </si>
  <si>
    <r>
      <rPr>
        <u/>
        <sz val="12"/>
        <color rgb="FF1155CC"/>
        <rFont val="Calibri Light"/>
      </rPr>
      <t>relation Table</t>
    </r>
    <r>
      <rPr>
        <sz val="12"/>
        <rFont val="Calibri Light"/>
      </rPr>
      <t xml:space="preserve"> (name)</t>
    </r>
  </si>
  <si>
    <t>มารดา</t>
  </si>
  <si>
    <t>42</t>
  </si>
  <si>
    <t>life_sum_assured</t>
  </si>
  <si>
    <t>Life sum assured</t>
  </si>
  <si>
    <t>lifesum</t>
  </si>
  <si>
    <t>43</t>
  </si>
  <si>
    <t>life_premium</t>
  </si>
  <si>
    <t>decimal(12,2)</t>
  </si>
  <si>
    <t>Life premium</t>
  </si>
  <si>
    <t>GET /ms-sales/v1/quotationsol/{quotationId}/temp
GET /ms-sales/v1/quotations/{quotationId}
POST /ms-sales/v1/quotations
POST /ms-sales/v1/quotationsrevise
POST /ms-sales/v1/quotationssubmit-ref-no
POST /ms-sales/v2/quotations
PUT /ms-sales/v1/quotations/{quotationId}
PUT /ms-sales/v2/quotations/{quotationId}</t>
  </si>
  <si>
    <t>lifepremium</t>
  </si>
  <si>
    <t>44</t>
  </si>
  <si>
    <t>payment_code</t>
  </si>
  <si>
    <t>Payment mode code</t>
  </si>
  <si>
    <t>FK</t>
  </si>
  <si>
    <r>
      <rPr>
        <u/>
        <sz val="12"/>
        <color rgb="FF1155CC"/>
        <rFont val="Calibri Light"/>
      </rPr>
      <t>product_payment_mode Table</t>
    </r>
    <r>
      <rPr>
        <sz val="12"/>
        <rFont val="Calibri Light"/>
      </rPr>
      <t xml:space="preserve"> (code)</t>
    </r>
  </si>
  <si>
    <t>0</t>
  </si>
  <si>
    <t>0
1
2
4
9</t>
  </si>
  <si>
    <t>0 = MONTHLY
1 = YEARLY
2 = HALF YEAR
4 = QUARTERLY
9 = ONE TIMES</t>
  </si>
  <si>
    <t>mode</t>
  </si>
  <si>
    <t>45</t>
  </si>
  <si>
    <t>payment_type</t>
  </si>
  <si>
    <t>Plan payment period type (pay premium until year or pay premium until age).
Remark : re-name from paytype.</t>
  </si>
  <si>
    <t>1
0</t>
  </si>
  <si>
    <t>1 - Pay premium until age ( payment_period - {insured age}).
0 - Pay premium until year (payment_period).</t>
  </si>
  <si>
    <t xml:space="preserve">Edit Quotation 
Create Quotation 
Edit Quotation in Application 
Edit Quotation Page </t>
  </si>
  <si>
    <t>GET /ms-sales/v1/quotationsol/{quotationId}/temp
POST /ms-sales/v1/quotations
POST /ms-sales/v1/quotationsrevise
POST /ms-sales/v2/quotations
PUT /ms-sales/v1/quotations/{quotationId}
PUT /ms-sales/v2/quotations/{quotationId}</t>
  </si>
  <si>
    <t>paytype</t>
  </si>
  <si>
    <t>46</t>
  </si>
  <si>
    <t>payment_period</t>
  </si>
  <si>
    <t>Plan payment period.
Remark : re-name from ppayyear.</t>
  </si>
  <si>
    <t>GET /ms-sales/v1/quotationsol/{quotationId}/temp
GET /ms-sales/v1/quotationsul/{quotationId}/temp
POST /ms-sales/v1/quotations
POST /ms-sales/v1/quotationsrevise
POST /ms-sales/v2/quotations
PUT /ms-sales/v1/quotations/{quotationId}
PUT /ms-sales/v2/quotations/{quotationId}</t>
  </si>
  <si>
    <t>ppayyear</t>
  </si>
  <si>
    <t>47</t>
  </si>
  <si>
    <t>coverage_type</t>
  </si>
  <si>
    <t>Plan coverage period type (cover until year or cover until age).
Remark : re-name from endowmenttype.</t>
  </si>
  <si>
    <t>1 - cover until age (coverage_period - {insured age}).
0 - cover until year (coverage_period).</t>
  </si>
  <si>
    <t>POST /ms-sales/v1/quotations
POST /ms-sales/v1/quotationsrevise
POST /ms-sales/v2/quotations
PUT /ms-sales/v1/quotations/{quotationId}
PUT /ms-sales/v2/quotations/{quotationId}</t>
  </si>
  <si>
    <t>endowmenttype</t>
  </si>
  <si>
    <t>48</t>
  </si>
  <si>
    <t>coverage_period</t>
  </si>
  <si>
    <t>Plan coverage period.
Remark : re-name from pendowmentyear.</t>
  </si>
  <si>
    <t>pendowmentyear</t>
  </si>
  <si>
    <t>49</t>
  </si>
  <si>
    <t>branch</t>
  </si>
  <si>
    <t>Branch
Remark : re-name from branch.</t>
  </si>
  <si>
    <t>NULL
tlpro ไม่ได้ใช้</t>
  </si>
  <si>
    <t xml:space="preserve">Create Quotation 
Edit Quotation 
Application Detail 
Quotation Preview PDF </t>
  </si>
  <si>
    <t>GET /ms-sales/v1/quotationsinitial
GET /ms-sales/v1/quotationsul/{quotationId}/temp
GET /ms-sales/v1/quotations/{quotationId}</t>
  </si>
  <si>
    <t>package_number</t>
  </si>
  <si>
    <t>Package number
Remark : re-name from packageno.</t>
  </si>
  <si>
    <t>Use in OL</t>
  </si>
  <si>
    <t>GET /ms-sales/v1/quotationsol/{quotationId}/temp
GET /ms-sales/v1/quotationsproduct-illustration
GET /ms-sales/v1/quotations/{quotationId}
GET /ms-sales/v2/quotationsproduct-illustration
POST /ms-sales/v1/quotations
POST /ms-sales/v1/quotationsrevise
POST /ms-sales/v2/quotations
PUT /ms-sales/v1/quotations/{quotationId}
PUT /ms-sales/v2/quotations/{quotationId}</t>
  </si>
  <si>
    <t>packageno</t>
  </si>
  <si>
    <t>51</t>
  </si>
  <si>
    <t>type_app</t>
  </si>
  <si>
    <t>Application type.
Remark : re-name from typeapp.</t>
  </si>
  <si>
    <t>typeapp</t>
  </si>
  <si>
    <t>52</t>
  </si>
  <si>
    <t>tp_flag</t>
  </si>
  <si>
    <t>boolean</t>
  </si>
  <si>
    <t>TP flag (rider)
Remark : re-name from havetp.</t>
  </si>
  <si>
    <t>true
false</t>
  </si>
  <si>
    <t>havetp</t>
  </si>
  <si>
    <t>53</t>
  </si>
  <si>
    <t>kb_coverage_year</t>
  </si>
  <si>
    <t>KB coverage year
Remark : re-name from kbcoverageyear.</t>
  </si>
  <si>
    <t>kbcoverageyear</t>
  </si>
  <si>
    <t>54</t>
  </si>
  <si>
    <t>soldier</t>
  </si>
  <si>
    <t>Soldier
Remark : re-name from soldier.</t>
  </si>
  <si>
    <t>NULL
เก็บอาชีพ ทหาร soldier IN ('0','1','2','3') แต่แบบประกันถูกปิดเลยไม่ได้ใช้</t>
  </si>
  <si>
    <t>55</t>
  </si>
  <si>
    <t>health_check_flag</t>
  </si>
  <si>
    <t>Health check flag
Remark : re-name from healthcheckflag.</t>
  </si>
  <si>
    <t>healthcheckflag</t>
  </si>
  <si>
    <t>56</t>
  </si>
  <si>
    <t>preferred</t>
  </si>
  <si>
    <t>varchar(1)</t>
  </si>
  <si>
    <t>Prefered
Remark : re-name from preferred.</t>
  </si>
  <si>
    <t>Use in HNW
แบบประกัน hnw เช่น W001,W002,W003 เป็น N, Y</t>
  </si>
  <si>
    <t>GET /ms-sales/v1/quotationsol/{quotationId}/temp
POST /ms-sales/v1/quotations
POST /ms-sales/v1/quotationsrevise
POST /ms-sales/v1/quotationssubmit-ref-no
POST /ms-sales/v2/quotations
PUT /ms-sales/v1/quotations/{quotationId}
PUT /ms-sales/v2/quotations/{quotationId}</t>
  </si>
  <si>
    <t>57</t>
  </si>
  <si>
    <t>saving_sum_assure</t>
  </si>
  <si>
    <t>Saving sum assure
Remark : re-name from savingsum</t>
  </si>
  <si>
    <t>savingsum</t>
  </si>
  <si>
    <t>58</t>
  </si>
  <si>
    <t>saving_premium</t>
  </si>
  <si>
    <t>Saving premium.
Remark : re-name from savingpremium.</t>
  </si>
  <si>
    <t>savingpremium</t>
  </si>
  <si>
    <t>59</t>
  </si>
  <si>
    <t>topup_type</t>
  </si>
  <si>
    <t>Top-up type.
Remark : re-name from topuptype.</t>
  </si>
  <si>
    <t>ไม่มี
ครั้งเดียวตอนออกกรมธรรม์
ตามงวดชำระเบี้ยประกันหลัก</t>
  </si>
  <si>
    <t>topuptype</t>
  </si>
  <si>
    <t>60</t>
  </si>
  <si>
    <t>topup_premium</t>
  </si>
  <si>
    <t>Top-up premium.
Remark : re-name from topuppremium.</t>
  </si>
  <si>
    <t>topuppremium</t>
  </si>
  <si>
    <t>61</t>
  </si>
  <si>
    <t>total_premium</t>
  </si>
  <si>
    <t>Total premium.
Remark : re-name from totalpremium.</t>
  </si>
  <si>
    <t>GET /ms-sales/v1/quotationsul/{quotationId}/temp
GET /ms-sales/v1/quotations/{quotationId}
POST /ms-sales/v1/quotations
POST /ms-sales/v1/quotationsrevise
POST /ms-sales/v1/quotationssubmit-ref-no
POST /ms-sales/v2/quotations
PUT /ms-sales/v1/quotations/{quotationId}
PUT /ms-sales/v2/quotations/{quotationId}</t>
  </si>
  <si>
    <t>totalpremium</t>
  </si>
  <si>
    <t>62</t>
  </si>
  <si>
    <t>tax_deduction_type</t>
  </si>
  <si>
    <t>Tax deduction type.</t>
  </si>
  <si>
    <t>N
Y
S
A
C
F</t>
  </si>
  <si>
    <t>N - No tax deduction
Y - Allow tax deduction.
S - Tax Condition
A - Tax sum condition
C - Tax formula
F - Tax fix rate</t>
  </si>
  <si>
    <t>GET /ms-sales/v1/quotationsol/{quotationId}/temp
GET /ms-sales/v1/quotationsul/{quotationId}/temp
GET /ms-sales/v1/quotations/{quotationId}
POST /ms-sales/v1/quotations
POST /ms-sales/v1/quotationsrevise
POST /ms-sales/v2/quotations
PUT /ms-sales/v1/quotations/{quotationId}
PUT /ms-sales/v2/quotations/{quotationId}</t>
  </si>
  <si>
    <t>63</t>
  </si>
  <si>
    <t>tax</t>
  </si>
  <si>
    <t>Tax
Remark : re-name from tax.</t>
  </si>
  <si>
    <t>64</t>
  </si>
  <si>
    <t>discount_type</t>
  </si>
  <si>
    <t>Discount type.
Remark : re-name from discounttype.</t>
  </si>
  <si>
    <t>Null
TE16</t>
  </si>
  <si>
    <t>discounttype</t>
  </si>
  <si>
    <t>65</t>
  </si>
  <si>
    <t>first_discount</t>
  </si>
  <si>
    <t>First discount.
Remark : re-name from firstdiscount.</t>
  </si>
  <si>
    <t>firstdiscount</t>
  </si>
  <si>
    <t>66</t>
  </si>
  <si>
    <t>special_discount</t>
  </si>
  <si>
    <t>Special discount.
Remark : re-name from specialdiscount.</t>
  </si>
  <si>
    <t>specialdiscount</t>
  </si>
  <si>
    <t>67</t>
  </si>
  <si>
    <t>premium_discount</t>
  </si>
  <si>
    <t>Premium discount.
Remark : re-name from premiumdiscount.</t>
  </si>
  <si>
    <t>premiumdiscount</t>
  </si>
  <si>
    <t>68</t>
  </si>
  <si>
    <t>total_premium_after_discount</t>
  </si>
  <si>
    <t>Total premium after discount
Remark : re-name from totalpremiumafterdiscount.</t>
  </si>
  <si>
    <t>totalpremiumafterdiscount</t>
  </si>
  <si>
    <t>69</t>
  </si>
  <si>
    <t>bank_code</t>
  </si>
  <si>
    <t>Bank code
Remark : re-name from bankcode.</t>
  </si>
  <si>
    <t>bankcode</t>
  </si>
  <si>
    <t>70</t>
  </si>
  <si>
    <t>status_odd</t>
  </si>
  <si>
    <t>ODD status
Remark : re-name from statusodd.</t>
  </si>
  <si>
    <t>*ไม่ใช้ใน TLSmart</t>
  </si>
  <si>
    <t xml:space="preserve">Step 1.1 Insured 
Step 1.2 Payor 
Step 1.3 Beneficiary/Guardian 
Step 1.4 Insurance History 
Step 1.5 Health Q 
Step 1.6 FATCA 
Step 1.7 CRS 
Step 1.8 Summary </t>
  </si>
  <si>
    <t>POST /ms-sales/v1/applications</t>
  </si>
  <si>
    <t>statusodd</t>
  </si>
  <si>
    <t>71</t>
  </si>
  <si>
    <t>check_occ_te16</t>
  </si>
  <si>
    <t>Check occ te 16
Remark : re-name from checkoccte16.</t>
  </si>
  <si>
    <t>45
4</t>
  </si>
  <si>
    <t>checkOccTe16 =&gt; เก็บ อาชีพ te16 เก็บ "45" = เลือกเป็นสมาชิกวิสาหกิจชุมชนที่ทำวิถีเกษตรอินทรีย์ และ 4 = เป็นสมาชิกวิสาหกิจชุมชนทั่วไป (มีผลกับส่วนลดที่จะได้รับ)</t>
  </si>
  <si>
    <t>checkoccte16</t>
  </si>
  <si>
    <t>72</t>
  </si>
  <si>
    <t>gen_reference_date</t>
  </si>
  <si>
    <t>Generate reference number date.
Remark : re-name from referencenodate.</t>
  </si>
  <si>
    <t xml:space="preserve">Quotation List 
Edit Quotation 
Application Detail 
Quotation Preview PDF </t>
  </si>
  <si>
    <t>GET /ms-sales/v1/quotations
GET /ms-sales/v1/quotations/{quotationId}
POST /ms-sales/v1/quotationsgenerate-ref-no</t>
  </si>
  <si>
    <t>referencenodate</t>
  </si>
  <si>
    <t>73</t>
  </si>
  <si>
    <t>publish_status</t>
  </si>
  <si>
    <t>Publish status.
Remark : re-name from publishstatus.</t>
  </si>
  <si>
    <t>A</t>
  </si>
  <si>
    <t>A
D</t>
  </si>
  <si>
    <t>A = Active
D = Delete / Expired</t>
  </si>
  <si>
    <t>*เพิ่ม support flow delete</t>
  </si>
  <si>
    <t xml:space="preserve">Quotation List 
Quotation Preview PDF 
Create Quotation 
Edit Quotation in Application </t>
  </si>
  <si>
    <t>GET /ms-sales/v1/quotations
GET /ms-sales/v1/quotationswidgetcounter
GET /ms-sales/v1/quotations/{quotationId}/preview
POST /ms-sales/v1/quotations
POST /ms-sales/v1/quotationsrevise
POST /ms-sales/v2/quotations
PUT /ms-sales/v1/quotationsdelete</t>
  </si>
  <si>
    <t>publishstatus</t>
  </si>
  <si>
    <t>74</t>
  </si>
  <si>
    <t>submit_core_status</t>
  </si>
  <si>
    <t>Submit into core system status
Remark : re-name from submitmqstatus.</t>
  </si>
  <si>
    <t>submitmqstatus</t>
  </si>
  <si>
    <t>75</t>
  </si>
  <si>
    <t>transfer_status</t>
  </si>
  <si>
    <t>Transfer status
Remark : re-name from transferstatus.</t>
  </si>
  <si>
    <t>transferstatus</t>
  </si>
  <si>
    <t>76</t>
  </si>
  <si>
    <t>strid</t>
  </si>
  <si>
    <t>Remark : re-name from strid.</t>
  </si>
  <si>
    <t>Using agent_id instead.</t>
  </si>
  <si>
    <t>GET /ms-members/v1/internalmembersupper-structure
GET /ms-members/v1/membersupper-structure
GET /ms-members/v2/internalmembersupper-structure
GET /ms-members/v2/membersupper-structure
POST /ms-sales/v1/applications</t>
  </si>
  <si>
    <t>77</t>
  </si>
  <si>
    <t>status</t>
  </si>
  <si>
    <t>Status</t>
  </si>
  <si>
    <t>N</t>
  </si>
  <si>
    <t>N
R
S</t>
  </si>
  <si>
    <t>N = New quotation
R = Have reference number already.
S = Prospect signed signature.</t>
  </si>
  <si>
    <t xml:space="preserve">Favorite Management 
Quotation List 
Create Quotation 
Edit Quotation 
Quotation Preview PDF 
Application Detail 
Edit Quotation in Application 
E-Signature Quotation 
Edit Quotation Page </t>
  </si>
  <si>
    <t>DELETE /ms-sales/v1/quotationsfavorite-plan
GET /ms-sales/v1/quotations
GET /ms-sales/v1/quotationsaccumulations/{planCode}
GET /ms-sales/v1/quotationsadditional-view-plan
GET /ms-sales/v1/quotationsadditional-view-plan-file
GET /ms-sales/v1/quotationsfavorite-plan
GET /ms-sales/v1/quotationsinitial
GET /ms-sales/v1/quotationsolhealthinform
GET /ms-sales/v1/quotationsolselling-description
GET /ms-sales/v1/quotationsol/{quotationId}/temp
GET /ms-sales/v1/quotationsproduct-illustration
GET /ms-sales/v1/quotationsul/{quotationId}/temp
GET /ms-sales/v1/quotationswidgetcounter
GET /ms-sales/v1/quotations/{quotationId}
GET /ms-sales/v1/quotations/{quotationId}/consent-premium-withdrawal
GET /ms-sales/v1/quotations/{quotationId}/preview
GET /ms-sales/v1/quotations/{quotationId}/status
GET /ms-sales/v2/quotationsproduct-illustration
POST /ms-sales/v1/quotations
POST /ms-sales/v1/quotationscallback-document-file
POST /ms-sales/v1/quotationsfavorite-plan
POST /ms-sales/v1/quotationsgenerate-ref-no
POST /ms-sales/v1/quotationsrevise
POST /ms-sales/v1/quotationssend-email
POST /ms-sales/v1/quotationssubmit-ref-no
POST /ms-sales/v1/quotations/{quotationId}/e-signature
POST /ms-sales/v2/quotations
PUT /ms-sales/v1/quotationsdelete
PUT /ms-sales/v1/quotations/{quotationId}
PUT /ms-sales/v1/quotations/{quotationId}/consent-premium-withdrawal
PUT /ms-sales/v2/quotations/{quotationId}</t>
  </si>
  <si>
    <t>78</t>
  </si>
  <si>
    <t>submit_reference_no_status</t>
  </si>
  <si>
    <t>Status of submit referenceno to InsureMo</t>
  </si>
  <si>
    <t>S</t>
  </si>
  <si>
    <t>S
F</t>
  </si>
  <si>
    <t>S = Success
F = Fail</t>
  </si>
  <si>
    <t>79</t>
  </si>
  <si>
    <t>queue_status</t>
  </si>
  <si>
    <t>SQS Queue for generate pdf without sign process status (RefNo)</t>
  </si>
  <si>
    <t>W
S
F</t>
  </si>
  <si>
    <t>W = Waiting in queue
S = Success
F = Fail</t>
  </si>
  <si>
    <t xml:space="preserve">Edit Quotation 
Application Detail 
Quotation Preview PDF 
Quotation List </t>
  </si>
  <si>
    <t>GET /ms-sales/v1/quotations/{quotationId}
GET /ms-sales/v1/quotations/{quotationId}/status
POST /ms-sales/v1/quotationscallback-document-file
POST /ms-sales/v1/quotationsgenerate-ref-no
POST /ms-sales/v1/quotationssend-email</t>
  </si>
  <si>
    <t>80</t>
  </si>
  <si>
    <t>e_sign_status</t>
  </si>
  <si>
    <t>SQS Queue for generate pdf with sign process status</t>
  </si>
  <si>
    <t>GET /ms-sales/v1/quotations/{quotationId}
POST /ms-sales/v1/quotationscallback-document-file
POST /ms-sales/v1/quotations/{quotationId}/e-signature</t>
  </si>
  <si>
    <t>81</t>
  </si>
  <si>
    <t>is_include_life_planning</t>
  </si>
  <si>
    <t>include life planning pdf extend quotation pdf</t>
  </si>
  <si>
    <t>true</t>
  </si>
  <si>
    <t>82</t>
  </si>
  <si>
    <t>life_planning_id</t>
  </si>
  <si>
    <t>life planning id</t>
  </si>
  <si>
    <t>99</t>
  </si>
  <si>
    <t>83</t>
  </si>
  <si>
    <t>partial_withdraw_consent_flag</t>
  </si>
  <si>
    <t>string</t>
  </si>
  <si>
    <t>Consent withdrawal flag</t>
  </si>
  <si>
    <t>Y
N</t>
  </si>
  <si>
    <t>Y = Yes
N = No</t>
  </si>
  <si>
    <t xml:space="preserve">Edit Quotation </t>
  </si>
  <si>
    <t>GET /ms-sales/v1/quotations/{quotationId}/consent-premium-withdrawal
PUT /ms-sales/v1/quotations/{quotationId}/consent-premium-withdrawal</t>
  </si>
  <si>
    <t>84</t>
  </si>
  <si>
    <t>submit_refno_attempt</t>
  </si>
  <si>
    <t>attempt for submit ref no</t>
  </si>
  <si>
    <t>85</t>
  </si>
  <si>
    <t>is_draft_edit</t>
  </si>
  <si>
    <t>Indicates this quotation is draft from editing.</t>
  </si>
  <si>
    <t>TRUE, FALSE</t>
  </si>
  <si>
    <t xml:space="preserve">Quotation List 
Edit Quotation 
Application Detail 
Quotation Preview PDF 
Create Quotation 
Edit Quotation in Application </t>
  </si>
  <si>
    <t>GET /ms-sales/v1/quotations
GET /ms-sales/v1/quotations/{quotationId}
POST /ms-sales/v1/quotations
POST /ms-sales/v1/quotationsrevise
POST /ms-sales/v2/quotations</t>
  </si>
  <si>
    <t>86</t>
  </si>
  <si>
    <t>is_example_benefit</t>
  </si>
  <si>
    <t>Flag accepts ตาราง ง life planning</t>
  </si>
  <si>
    <t>true = accepts ตาราง ง life planning</t>
  </si>
  <si>
    <t xml:space="preserve">Edit Quotation 
Application Detail 
Quotation Preview PDF 
Create Quotation 
Edit Quotation Page 
Edit Quotation in Application </t>
  </si>
  <si>
    <t>GET /ms-sales/v1/quotationsul/{quotationId}/temp
GET /ms-sales/v1/quotations/{quotationId}
POST /ms-sales/v1/quotations
POST /ms-sales/v2/quotations
PUT /ms-sales/v1/quotations/{quotationId}
PUT /ms-sales/v2/quotations/{quotationId}</t>
  </si>
  <si>
    <t>87</t>
  </si>
  <si>
    <t>check_status_wn3</t>
  </si>
  <si>
    <t>Check status WN3 flag</t>
  </si>
  <si>
    <t>checkstatuswn3</t>
  </si>
  <si>
    <t>88</t>
  </si>
  <si>
    <t>last_update</t>
  </si>
  <si>
    <t>timestampz</t>
  </si>
  <si>
    <t>The timestamp when this record was last updated.</t>
  </si>
  <si>
    <t>2024-05-22 17:00:00+07</t>
  </si>
  <si>
    <t>Stored in UTC + 7.
Automatically updated to the current timestamp whenever the record is updated.</t>
  </si>
  <si>
    <t>89</t>
  </si>
  <si>
    <t>update_user_code</t>
  </si>
  <si>
    <t>The usercode who was updated this record</t>
  </si>
  <si>
    <t>2901215</t>
  </si>
  <si>
    <t>90</t>
  </si>
  <si>
    <t>delete_time</t>
  </si>
  <si>
    <t>The timestamp when this record was deleted.</t>
  </si>
  <si>
    <t>2024-05-21 17:00:00+07</t>
  </si>
  <si>
    <t>Stored in UTC + 7. 
Defaults to the current timestamp at the time of insertion.</t>
  </si>
  <si>
    <t>91</t>
  </si>
  <si>
    <t>delete_user_code</t>
  </si>
  <si>
    <t>The usercode who was deleted this record</t>
  </si>
  <si>
    <t>TLPro.quotation tab</t>
  </si>
  <si>
    <t>nullab</t>
  </si>
  <si>
    <t>data_type</t>
  </si>
  <si>
    <t>Example</t>
  </si>
  <si>
    <t>quotationno,</t>
  </si>
  <si>
    <t>character varying</t>
  </si>
  <si>
    <t>0000014074UA0220240513092747</t>
  </si>
  <si>
    <t>0000000001EN0820240513120433</t>
  </si>
  <si>
    <t>0000000104UA0220240513165357</t>
  </si>
  <si>
    <t>0000020412PM20240514164519</t>
  </si>
  <si>
    <t>0000728779UZB20240514145401</t>
  </si>
  <si>
    <t>customerid,</t>
  </si>
  <si>
    <t>77a611e4-3bdd-4d9f-bc3c-df7e9b969c59</t>
  </si>
  <si>
    <t>9c4665f8-60b6-4e7b-b8bd-ddbbd9bfcf80</t>
  </si>
  <si>
    <t>55cea6a7-1c09-442a-80b2-5e4bc9da3c91</t>
  </si>
  <si>
    <t>cc4038fd-a249-4edd-a984-aa0faa051188</t>
  </si>
  <si>
    <t>04a3b829-d470-4c0c-a84f-79982087d665</t>
  </si>
  <si>
    <t>agentid,</t>
  </si>
  <si>
    <t>0000014074</t>
  </si>
  <si>
    <t>0000000001</t>
  </si>
  <si>
    <t>0000000104</t>
  </si>
  <si>
    <t>0000020412</t>
  </si>
  <si>
    <t>0000728779</t>
  </si>
  <si>
    <t>devicerefno,</t>
  </si>
  <si>
    <t>plancode,</t>
  </si>
  <si>
    <t>UA02</t>
  </si>
  <si>
    <t>EN08</t>
  </si>
  <si>
    <t>PM</t>
  </si>
  <si>
    <t>UZB</t>
  </si>
  <si>
    <t>UA01</t>
  </si>
  <si>
    <t>planname,</t>
  </si>
  <si>
    <t>ทีแอล ไลฟ์ โซลูชั่น 99/99 (ยูนิตลิงค์)  [UA02]</t>
  </si>
  <si>
    <t>ตะกาฟุล 20/20 [EN08]</t>
  </si>
  <si>
    <t>คุ้มทวี 10 เท่า 20/20 [PM]</t>
  </si>
  <si>
    <t>ทีแอล ยูนิเวอร์แซลไลฟ์ 10/1 [UZB]</t>
  </si>
  <si>
    <t>ทีแอล ไลฟ์ โซลูชั่น 99/1 (ยูนิตลิงค์)  [UA01]</t>
  </si>
  <si>
    <t>mode,</t>
  </si>
  <si>
    <t>occupationtype,</t>
  </si>
  <si>
    <t>insureage,</t>
  </si>
  <si>
    <t>lifesum,</t>
  </si>
  <si>
    <t>1350000</t>
  </si>
  <si>
    <t>3000000</t>
  </si>
  <si>
    <t>900000</t>
  </si>
  <si>
    <t>1000000</t>
  </si>
  <si>
    <t>130000</t>
  </si>
  <si>
    <t>lifepremium,</t>
  </si>
  <si>
    <t>15000</t>
  </si>
  <si>
    <t>148200</t>
  </si>
  <si>
    <t>18000</t>
  </si>
  <si>
    <t>83500</t>
  </si>
  <si>
    <t>100000</t>
  </si>
  <si>
    <t>pname,</t>
  </si>
  <si>
    <t>นางสาว</t>
  </si>
  <si>
    <t>เด็กหญิง</t>
  </si>
  <si>
    <t>fname,</t>
  </si>
  <si>
    <t>ยูเค</t>
  </si>
  <si>
    <t>นาตาชา</t>
  </si>
  <si>
    <t>เคสสอง</t>
  </si>
  <si>
    <t>ยูแอลสอง</t>
  </si>
  <si>
    <t>ไข่ต้ม</t>
  </si>
  <si>
    <t>lname,</t>
  </si>
  <si>
    <t>เพิ่มบริษัทประกัน</t>
  </si>
  <si>
    <t>รังสิมันต์</t>
  </si>
  <si>
    <t>เบิ้ลๆ</t>
  </si>
  <si>
    <t>คอมสองหนึ่ง</t>
  </si>
  <si>
    <t>ทำไลฟ์เนสสส</t>
  </si>
  <si>
    <t>branch,</t>
  </si>
  <si>
    <t>tax,</t>
  </si>
  <si>
    <t>publishstatus,</t>
  </si>
  <si>
    <t>packageno,</t>
  </si>
  <si>
    <t>referenceno,</t>
  </si>
  <si>
    <t>256700001625</t>
  </si>
  <si>
    <t>256790018710</t>
  </si>
  <si>
    <t>256700001659</t>
  </si>
  <si>
    <t>256790018739</t>
  </si>
  <si>
    <t>256790018734</t>
  </si>
  <si>
    <t>createdatetime,</t>
  </si>
  <si>
    <t>timestamp without time zone</t>
  </si>
  <si>
    <t>2024-05-13T09:27:48.326</t>
  </si>
  <si>
    <t>2024-05-13T12:03:50.965</t>
  </si>
  <si>
    <t>2024-05-13T16:53:51.182</t>
  </si>
  <si>
    <t>2024-05-14T16:45:38.051</t>
  </si>
  <si>
    <t>2024-05-14T14:50:47.145</t>
  </si>
  <si>
    <t>lastmodify,</t>
  </si>
  <si>
    <t>2024-05-13T09:28:13.381</t>
  </si>
  <si>
    <t>2024-05-13T14:22:21.849</t>
  </si>
  <si>
    <t>2024-05-13T16:54:51.287</t>
  </si>
  <si>
    <t>2024-05-14T17:05:21.928</t>
  </si>
  <si>
    <t>2024-05-14T15:06:02.093</t>
  </si>
  <si>
    <t>lastsync,</t>
  </si>
  <si>
    <t>2024-05-13T15:35:56.777</t>
  </si>
  <si>
    <t>2024-05-13T14:19:26.829</t>
  </si>
  <si>
    <t>2024-05-13T17:03:25.58</t>
  </si>
  <si>
    <t>2024-05-14T16:56:12.487</t>
  </si>
  <si>
    <t>2024-05-15T10:01:07.599</t>
  </si>
  <si>
    <t>birthdate,</t>
  </si>
  <si>
    <t>1989-05-01T00:00:00</t>
  </si>
  <si>
    <t>1999-01-08T00:00:00</t>
  </si>
  <si>
    <t>1994-05-25T00:00:00</t>
  </si>
  <si>
    <t>1994-05-01T00:00:00</t>
  </si>
  <si>
    <t>2016-05-15T00:00:00</t>
  </si>
  <si>
    <t>status,</t>
  </si>
  <si>
    <t>R</t>
  </si>
  <si>
    <t>pdfpath,</t>
  </si>
  <si>
    <t>0000014074_UA02_25670513_092811</t>
  </si>
  <si>
    <t>EN08_00000000018e8bfa54-7d94-4377-88a2-93b9529021af</t>
  </si>
  <si>
    <t>0000000104_UA02_25670513_165449</t>
  </si>
  <si>
    <t>PM_0000020412023b301b-59eb-40e4-8692-7efab7a7c3f4</t>
  </si>
  <si>
    <t>0000728779_UZB_25670514_150559</t>
  </si>
  <si>
    <t>occgroup,</t>
  </si>
  <si>
    <t>occ,</t>
  </si>
  <si>
    <t>ทุกอาชีพที่เหลือทั้งหมด</t>
  </si>
  <si>
    <t>healthcheckflag,</t>
  </si>
  <si>
    <t>totalpremium,</t>
  </si>
  <si>
    <t>90500</t>
  </si>
  <si>
    <t>typeapp,</t>
  </si>
  <si>
    <t>ULink</t>
  </si>
  <si>
    <t>ISLAM</t>
  </si>
  <si>
    <t>PER</t>
  </si>
  <si>
    <t>UL</t>
  </si>
  <si>
    <t>CAN</t>
  </si>
  <si>
    <t>ppayyear,</t>
  </si>
  <si>
    <t>01</t>
  </si>
  <si>
    <t>pendowmentyear,</t>
  </si>
  <si>
    <t>paytype,</t>
  </si>
  <si>
    <t>endowmenttype,</t>
  </si>
  <si>
    <t>havetp,</t>
  </si>
  <si>
    <t>kbcoverageyear,</t>
  </si>
  <si>
    <t>-5</t>
  </si>
  <si>
    <t>soldier,</t>
  </si>
  <si>
    <t>pdflang,</t>
  </si>
  <si>
    <t>T</t>
  </si>
  <si>
    <t>alfrescoid,</t>
  </si>
  <si>
    <t>workspace://SpacesStore/4e776096-1c19-4df1-9f13-3046f557aef0</t>
  </si>
  <si>
    <t>workspace://SpacesStore/5c8ecae0-32ff-49f5-ad75-04fdd59201f3</t>
  </si>
  <si>
    <t>workspace://SpacesStore/f0f2e092-e8bd-4e28-94e2-f35ea9660fb2</t>
  </si>
  <si>
    <t>workspace://SpacesStore/2eadbc16-52fb-4d40-a563-5dc98bc02b06</t>
  </si>
  <si>
    <t>workspace://SpacesStore/ce107072-df00-49fb-8e7a-2859f4dee28c</t>
  </si>
  <si>
    <t>gender,</t>
  </si>
  <si>
    <t>F</t>
  </si>
  <si>
    <t>topuptype,</t>
  </si>
  <si>
    <t>savingsum,</t>
  </si>
  <si>
    <t>savingpremium,</t>
  </si>
  <si>
    <t>topuppremium,</t>
  </si>
  <si>
    <t>30000</t>
  </si>
  <si>
    <t>1000</t>
  </si>
  <si>
    <t>referencenodate,</t>
  </si>
  <si>
    <t>2024-05-13T09:27:50.483</t>
  </si>
  <si>
    <t>2024-05-13T12:03:54.575</t>
  </si>
  <si>
    <t>2024-05-13T16:53:52.879</t>
  </si>
  <si>
    <t>2024-05-14T16:45:41.551</t>
  </si>
  <si>
    <t>2024-05-14T14:50:49.086</t>
  </si>
  <si>
    <t>preferred,</t>
  </si>
  <si>
    <t>firstdiscount,</t>
  </si>
  <si>
    <t>specialdiscount,</t>
  </si>
  <si>
    <t>premiumdiscount,</t>
  </si>
  <si>
    <t>totalpremiumafterdiscount,</t>
  </si>
  <si>
    <t>43670</t>
  </si>
  <si>
    <t>3759</t>
  </si>
  <si>
    <t>discounttype,</t>
  </si>
  <si>
    <t>bankcode,</t>
  </si>
  <si>
    <t>statusodd,</t>
  </si>
  <si>
    <t>occupation,</t>
  </si>
  <si>
    <t>283</t>
  </si>
  <si>
    <t>147</t>
  </si>
  <si>
    <t>156</t>
  </si>
  <si>
    <t>113</t>
  </si>
  <si>
    <t>214</t>
  </si>
  <si>
    <t>occupationbusiness,</t>
  </si>
  <si>
    <t>06</t>
  </si>
  <si>
    <t>02</t>
  </si>
  <si>
    <t>04</t>
  </si>
  <si>
    <t>occbusvalue,</t>
  </si>
  <si>
    <t>ทำงานในสถานพยาบาล / องค์กรรัฐ-เอกชน</t>
  </si>
  <si>
    <t>รับจ้าง</t>
  </si>
  <si>
    <t>ทำหน้าที่ภายนอกสำนักงาน (บางครั้ง)</t>
  </si>
  <si>
    <t>ข้าราชการทั่วไป (ปฏิบัติหน้าที่ในสำนักงาน)</t>
  </si>
  <si>
    <t>บริหารกิจการ</t>
  </si>
  <si>
    <t>codeocctouw,</t>
  </si>
  <si>
    <t>submitmqstatus,</t>
  </si>
  <si>
    <t>False</t>
  </si>
  <si>
    <t>True</t>
  </si>
  <si>
    <t>checkoccte16,</t>
  </si>
  <si>
    <t>countrycode,</t>
  </si>
  <si>
    <t>citizenid,</t>
  </si>
  <si>
    <t>6507211460100</t>
  </si>
  <si>
    <t>4838487165074</t>
  </si>
  <si>
    <t>3113572646336</t>
  </si>
  <si>
    <t>1454858728255</t>
  </si>
  <si>
    <t>3214754848872</t>
  </si>
  <si>
    <t>passport,</t>
  </si>
  <si>
    <t>identifytype,</t>
  </si>
  <si>
    <t>strid,</t>
  </si>
  <si>
    <t>D59113478V</t>
  </si>
  <si>
    <t>B00100045V</t>
  </si>
  <si>
    <t>G406.18L</t>
  </si>
  <si>
    <t>B99438986V</t>
  </si>
  <si>
    <t>D99462657V</t>
  </si>
  <si>
    <t>occupationreserve,</t>
  </si>
  <si>
    <t>occupationbusinessreserve,</t>
  </si>
  <si>
    <t>occbusvaluereserve,</t>
  </si>
  <si>
    <t>codeocctouwreserve,</t>
  </si>
  <si>
    <t>transferstatus,</t>
  </si>
  <si>
    <t>checkstatuswn3,</t>
  </si>
  <si>
    <t>INSERT INTO asa_sale.quotation</t>
  </si>
  <si>
    <t>VALUES</t>
  </si>
  <si>
    <t>(</t>
  </si>
  <si>
    <t>column_name</t>
  </si>
  <si>
    <t>## TLPro.quotation tab</t>
  </si>
  <si>
    <t>Fixed</t>
  </si>
  <si>
    <t>id,</t>
  </si>
  <si>
    <t>cb15f50f-f0b1-4628-b610-0cf85d8f6464</t>
  </si>
  <si>
    <t>prospect_id,</t>
  </si>
  <si>
    <t>74bb1ead-08bf-4fe1-ae16-9e2b1cf78299</t>
  </si>
  <si>
    <t>agent_id,</t>
  </si>
  <si>
    <t>0000155841</t>
  </si>
  <si>
    <t>quotation.agentid</t>
  </si>
  <si>
    <t>reference_no,</t>
  </si>
  <si>
    <t>quotation.referenceno</t>
  </si>
  <si>
    <t>plan_code,</t>
  </si>
  <si>
    <t>UWD</t>
  </si>
  <si>
    <t>quotation.plancode</t>
  </si>
  <si>
    <t>product_type,</t>
  </si>
  <si>
    <t>product_config.type</t>
  </si>
  <si>
    <t>plan_name,</t>
  </si>
  <si>
    <t>ไลฟ์เวิร์ส เวลท์ ฟิต 99/99 [UWD]</t>
  </si>
  <si>
    <t>quotation.planname</t>
  </si>
  <si>
    <t>plan_display_name,</t>
  </si>
  <si>
    <t>ไลฟ์เวิร์ส เวลท์ ฟิต 99/99</t>
  </si>
  <si>
    <t>product_config.display_name</t>
  </si>
  <si>
    <t>plan_type,</t>
  </si>
  <si>
    <t>LV</t>
  </si>
  <si>
    <t>product_config.plan_type</t>
  </si>
  <si>
    <t>insured_title_code,</t>
  </si>
  <si>
    <t>000001</t>
  </si>
  <si>
    <t>-</t>
  </si>
  <si>
    <t>insured_title,</t>
  </si>
  <si>
    <t>quotation.pname</t>
  </si>
  <si>
    <t>insured_first_name,</t>
  </si>
  <si>
    <t>ทดสอบ</t>
  </si>
  <si>
    <t>quotation.fname</t>
  </si>
  <si>
    <t>insured_last_name,</t>
  </si>
  <si>
    <t>คำนวณเบี้ย</t>
  </si>
  <si>
    <t>quotation.lname</t>
  </si>
  <si>
    <t>insured_age,</t>
  </si>
  <si>
    <t>quotation.insureage</t>
  </si>
  <si>
    <t>insured_birth_date,</t>
  </si>
  <si>
    <t>2005-04-23T00:00:00+07:00</t>
  </si>
  <si>
    <t>quotation.birthdate</t>
  </si>
  <si>
    <t>insured_gender,</t>
  </si>
  <si>
    <t>quotation.gender</t>
  </si>
  <si>
    <t>insured_mobile_no,</t>
  </si>
  <si>
    <t>0876943643</t>
  </si>
  <si>
    <t>insured_identify_type,</t>
  </si>
  <si>
    <t>quotation.identifytype</t>
  </si>
  <si>
    <t>insured_citizen_id,</t>
  </si>
  <si>
    <t>1103701653345</t>
  </si>
  <si>
    <t>quotation.citizenid</t>
  </si>
  <si>
    <t>insured_nationality,</t>
  </si>
  <si>
    <t>insured_passport,</t>
  </si>
  <si>
    <t>quotation.passport</t>
  </si>
  <si>
    <t>insured_country_code,</t>
  </si>
  <si>
    <t>quotation.countrycode</t>
  </si>
  <si>
    <t>quotation.occupation</t>
  </si>
  <si>
    <t>occupation_name,</t>
  </si>
  <si>
    <t>เจ้าของโรงงาน</t>
  </si>
  <si>
    <t>occupation_business,</t>
  </si>
  <si>
    <t>quotation.occupationbusiness</t>
  </si>
  <si>
    <t>occ_bus_value,</t>
  </si>
  <si>
    <t>quotation.occbusvalue</t>
  </si>
  <si>
    <t>occupation_type,</t>
  </si>
  <si>
    <t>quotation.occupationtype</t>
  </si>
  <si>
    <t>code_occ_to_uw,</t>
  </si>
  <si>
    <t>quotation.codeocctouw</t>
  </si>
  <si>
    <t>occupation_reserve,</t>
  </si>
  <si>
    <t>quotation.occupationreserve</t>
  </si>
  <si>
    <t>occupation_reserve_name,</t>
  </si>
  <si>
    <t>occupation_business_reserve,</t>
  </si>
  <si>
    <t>quotation.occupationbusinessreserve</t>
  </si>
  <si>
    <t>occ_bus_value_reserve,</t>
  </si>
  <si>
    <t>quotation.occbusvaluereserve</t>
  </si>
  <si>
    <t>code_occ_to_uw_reserve,</t>
  </si>
  <si>
    <t>quotation.codeocctouwreserve</t>
  </si>
  <si>
    <t>occupation_group,</t>
  </si>
  <si>
    <t>quotation.occgroup</t>
  </si>
  <si>
    <t>parent_title_code,</t>
  </si>
  <si>
    <t>parent_title,</t>
  </si>
  <si>
    <t>parent_first_name,</t>
  </si>
  <si>
    <t>parent_last_name,</t>
  </si>
  <si>
    <t>parent_age,</t>
  </si>
  <si>
    <t>parent_relation_code,</t>
  </si>
  <si>
    <t>parent_relation,</t>
  </si>
  <si>
    <t>life_sum_assured,</t>
  </si>
  <si>
    <t>3210000</t>
  </si>
  <si>
    <t>quotation.lifesum</t>
  </si>
  <si>
    <t>life_premium,</t>
  </si>
  <si>
    <t>18000.0</t>
  </si>
  <si>
    <t>quotation.lifepremium</t>
  </si>
  <si>
    <t>payment_code,</t>
  </si>
  <si>
    <t>quotation.mode</t>
  </si>
  <si>
    <t>payment_type,</t>
  </si>
  <si>
    <t>quotation.paytype</t>
  </si>
  <si>
    <t>payment_period,</t>
  </si>
  <si>
    <t>quotation.ppayyear</t>
  </si>
  <si>
    <t>coverage_type,</t>
  </si>
  <si>
    <t>quotation.endowmenttype</t>
  </si>
  <si>
    <t>coverage_period,</t>
  </si>
  <si>
    <t>quotation.pendowmentyear</t>
  </si>
  <si>
    <t>quotation.branch</t>
  </si>
  <si>
    <t>package_number,</t>
  </si>
  <si>
    <t>quotation.packageno</t>
  </si>
  <si>
    <t>type_app,</t>
  </si>
  <si>
    <t>quotation.typeapp</t>
  </si>
  <si>
    <t>tp_flag,</t>
  </si>
  <si>
    <t>FALSE</t>
  </si>
  <si>
    <t>quotation.havetp</t>
  </si>
  <si>
    <t>kb_coverage_year,</t>
  </si>
  <si>
    <t>quotation.kbcoverageyear</t>
  </si>
  <si>
    <t>quotation.soldier</t>
  </si>
  <si>
    <t>health_check_flag,</t>
  </si>
  <si>
    <t>quotation.healthcheckflag</t>
  </si>
  <si>
    <t>quotation.preferred</t>
  </si>
  <si>
    <t>saving_sum_assure,</t>
  </si>
  <si>
    <t>quotation.savingsum</t>
  </si>
  <si>
    <t>saving_premium,</t>
  </si>
  <si>
    <t>quotation.savingpremium</t>
  </si>
  <si>
    <t>topup_type,</t>
  </si>
  <si>
    <t>ไม่ซื้อ</t>
  </si>
  <si>
    <t>quotation.topuptype</t>
  </si>
  <si>
    <t>topup_premium,</t>
  </si>
  <si>
    <t>0.0</t>
  </si>
  <si>
    <t>quotation.topuppremium</t>
  </si>
  <si>
    <t>total_premium,</t>
  </si>
  <si>
    <t>22880.0</t>
  </si>
  <si>
    <t>quotation.totalpremium</t>
  </si>
  <si>
    <t>tax_deduction_type,</t>
  </si>
  <si>
    <t>36789.6</t>
  </si>
  <si>
    <t>quotation.tax</t>
  </si>
  <si>
    <t>discount_type,</t>
  </si>
  <si>
    <t>quotation.discounttype</t>
  </si>
  <si>
    <t>first_discount,</t>
  </si>
  <si>
    <t>quotation.firstdiscount</t>
  </si>
  <si>
    <t>special_discount,</t>
  </si>
  <si>
    <t>quotation.specialdiscount</t>
  </si>
  <si>
    <t>premium_discount,</t>
  </si>
  <si>
    <t>quotation.premiumdiscount</t>
  </si>
  <si>
    <t>total_premium_after_discount,</t>
  </si>
  <si>
    <t>quotation.totalpremiumafterdiscount</t>
  </si>
  <si>
    <t>bank_code,</t>
  </si>
  <si>
    <t>quotation.bankcode</t>
  </si>
  <si>
    <t>status_odd,</t>
  </si>
  <si>
    <t>quotation.statusodd</t>
  </si>
  <si>
    <t>check_occ_te16,</t>
  </si>
  <si>
    <t>quotation.checkoccte16</t>
  </si>
  <si>
    <t>gen_reference_date,</t>
  </si>
  <si>
    <t>quotation.referencenodate</t>
  </si>
  <si>
    <t>publish_status,</t>
  </si>
  <si>
    <t>quotation.publishstatus</t>
  </si>
  <si>
    <t>submit_core_status,</t>
  </si>
  <si>
    <t>quotation.submitmqstatus</t>
  </si>
  <si>
    <t>transfer_status,</t>
  </si>
  <si>
    <t>quotation.transferstatus</t>
  </si>
  <si>
    <t>quotation.strid</t>
  </si>
  <si>
    <t>quotation.status</t>
  </si>
  <si>
    <t>submit_reference_no_status,</t>
  </si>
  <si>
    <t>queue_status,</t>
  </si>
  <si>
    <t>e_sign_status,</t>
  </si>
  <si>
    <t>is_include_life_planning,</t>
  </si>
  <si>
    <t>life_planning_id,</t>
  </si>
  <si>
    <t>partial_withdraw_consent_flag,</t>
  </si>
  <si>
    <t>submit_refno_attempt,</t>
  </si>
  <si>
    <t>is_draft_edit,</t>
  </si>
  <si>
    <t>is_example_benefit,</t>
  </si>
  <si>
    <t>check_status_wn3,</t>
  </si>
  <si>
    <t>quotation.checkstatuswn3</t>
  </si>
  <si>
    <t>last_update,</t>
  </si>
  <si>
    <t>2026-04-23T16:24:33.915369+07:00</t>
  </si>
  <si>
    <t>NOW()</t>
  </si>
  <si>
    <t>update_user_code,</t>
  </si>
  <si>
    <t>SYSTEM</t>
  </si>
  <si>
    <t>delete_time,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</si>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</sst>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1F4E79"/>
      <name val="Calibri"/>
      <scheme val="minor"/>
    </font>
    <font>
      <b/>
      <sz val="10"/>
      <color rgb="FFFFFFFF"/>
      <name val="Calibri"/>
      <scheme val="minor"/>
    </font>
    <font>
      <sz val="10"/>
      <name val="Calibri"/>
      <scheme val="minor"/>
    </font>
    <font>
      <b/>
      <sz val="11"/>
      <color rgb="FFFFFFFF"/>
      <name val="Calibri"/>
    </font>
    <font>
      <sz val="11"/>
      <color theme="1"/>
      <name val="Calibri Light"/>
    </font>
    <font>
      <sz val="10"/>
      <color theme="1"/>
      <name val="Calibri Light"/>
    </font>
    <font>
      <sz val="10"/>
      <color rgb="FF0000FF"/>
      <name val="Calibri Light"/>
    </font>
    <font>
      <u/>
      <sz val="10"/>
      <color rgb="FF0000FF"/>
      <name val="Calibri Light"/>
    </font>
    <font>
      <sz val="12"/>
      <color rgb="FF292A2E"/>
      <name val="Calibri Light"/>
    </font>
    <font>
      <sz val="11"/>
      <name val="Calibri Light"/>
    </font>
    <font>
      <sz val="12"/>
      <color rgb="FF6B6E76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  <font>
      <sz val="10"/>
      <color rgb="FF000000"/>
      <name val="Calibri Light"/>
    </font>
    <font>
      <sz val="10"/>
      <color rgb="FFFF0000"/>
      <name val="Calibri Light"/>
    </font>
    <font>
      <sz val="12"/>
      <color theme="1"/>
      <name val="Calibri Light"/>
    </font>
    <font>
      <sz val="10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DCFF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EE1"/>
      </left>
      <right/>
      <top style="thin">
        <color rgb="FFDDDEE1"/>
      </top>
      <bottom style="thin">
        <color rgb="FFDDDEE1"/>
      </bottom>
      <diagonal/>
    </border>
    <border>
      <left style="thin">
        <color rgb="FFDDDEE1"/>
      </left>
      <right style="thin">
        <color rgb="FFDDDEE1"/>
      </right>
      <top style="thin">
        <color rgb="FFDDDEE1"/>
      </top>
      <bottom style="thin">
        <color rgb="FFDDDE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EE1"/>
      </left>
      <right style="thin">
        <color rgb="FFDDDEE1"/>
      </right>
      <top style="thin">
        <color rgb="FFDDDEE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11" borderId="8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11" borderId="9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6" fillId="0" borderId="0" xfId="0" applyFont="1" applyAlignment="1">
      <alignment vertical="top"/>
    </xf>
    <xf numFmtId="49" fontId="7" fillId="2" borderId="0" xfId="0" applyNumberFormat="1" applyFont="1" applyFill="1"/>
    <xf numFmtId="49" fontId="7" fillId="2" borderId="0" xfId="0" applyNumberFormat="1" applyFont="1" applyFill="1" applyAlignment="1">
      <alignment vertical="top"/>
    </xf>
    <xf numFmtId="49" fontId="7" fillId="3" borderId="0" xfId="0" applyNumberFormat="1" applyFont="1" applyFill="1"/>
    <xf numFmtId="49" fontId="8" fillId="4" borderId="0" xfId="0" applyNumberFormat="1" applyFont="1" applyFill="1"/>
    <xf numFmtId="49" fontId="7" fillId="0" borderId="0" xfId="0" applyNumberFormat="1" applyFont="1"/>
    <xf numFmtId="49" fontId="7" fillId="0" borderId="0" xfId="0" applyNumberFormat="1" applyFont="1" applyAlignment="1">
      <alignment wrapText="1"/>
    </xf>
    <xf numFmtId="0" fontId="6" fillId="0" borderId="0" xfId="0" applyFont="1"/>
    <xf numFmtId="49" fontId="9" fillId="3" borderId="0" xfId="0" applyNumberFormat="1" applyFont="1" applyFill="1"/>
    <xf numFmtId="49" fontId="10" fillId="5" borderId="1" xfId="0" applyNumberFormat="1" applyFont="1" applyFill="1" applyBorder="1" applyAlignment="1">
      <alignment horizontal="left" vertical="top"/>
    </xf>
    <xf numFmtId="49" fontId="10" fillId="5" borderId="1" xfId="0" applyNumberFormat="1" applyFont="1" applyFill="1" applyBorder="1" applyAlignment="1">
      <alignment horizontal="left" vertical="top" wrapText="1"/>
    </xf>
    <xf numFmtId="49" fontId="7" fillId="0" borderId="0" xfId="0" applyNumberFormat="1" applyFont="1" applyAlignment="1">
      <alignment vertical="top"/>
    </xf>
    <xf numFmtId="49" fontId="7" fillId="10" borderId="1" xfId="0" applyNumberFormat="1" applyFont="1" applyFill="1" applyBorder="1" applyAlignment="1">
      <alignment vertical="top"/>
    </xf>
    <xf numFmtId="0" fontId="11" fillId="10" borderId="1" xfId="0" applyFont="1" applyFill="1" applyBorder="1" applyAlignment="1">
      <alignment horizontal="center" vertical="top" wrapText="1"/>
    </xf>
    <xf numFmtId="49" fontId="12" fillId="6" borderId="1" xfId="0" applyNumberFormat="1" applyFont="1" applyFill="1" applyBorder="1" applyAlignment="1">
      <alignment horizontal="center" vertical="top" wrapText="1"/>
    </xf>
    <xf numFmtId="49" fontId="10" fillId="3" borderId="1" xfId="0" applyNumberFormat="1" applyFont="1" applyFill="1" applyBorder="1" applyAlignment="1">
      <alignment horizontal="left" vertical="top" wrapText="1"/>
    </xf>
    <xf numFmtId="49" fontId="10" fillId="3" borderId="1" xfId="0" applyNumberFormat="1" applyFont="1" applyFill="1" applyBorder="1" applyAlignment="1">
      <alignment horizontal="center" vertical="top" wrapText="1"/>
    </xf>
    <xf numFmtId="0" fontId="7" fillId="0" borderId="0" xfId="0" applyFont="1" applyAlignment="1">
      <alignment vertical="top"/>
    </xf>
    <xf numFmtId="49" fontId="7" fillId="0" borderId="1" xfId="0" applyNumberFormat="1" applyFont="1" applyBorder="1" applyAlignment="1">
      <alignment vertical="top"/>
    </xf>
    <xf numFmtId="0" fontId="6" fillId="8" borderId="1" xfId="0" applyFont="1" applyFill="1" applyBorder="1" applyAlignment="1">
      <alignment vertical="top" wrapText="1"/>
    </xf>
    <xf numFmtId="49" fontId="13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49" fontId="7" fillId="0" borderId="1" xfId="0" applyNumberFormat="1" applyFont="1" applyBorder="1" applyAlignment="1">
      <alignment vertical="top" wrapText="1"/>
    </xf>
    <xf numFmtId="0" fontId="10" fillId="7" borderId="2" xfId="0" applyFont="1" applyFill="1" applyBorder="1"/>
    <xf numFmtId="0" fontId="10" fillId="7" borderId="3" xfId="0" applyFont="1" applyFill="1" applyBorder="1"/>
    <xf numFmtId="49" fontId="7" fillId="0" borderId="4" xfId="0" applyNumberFormat="1" applyFont="1" applyBorder="1" applyAlignment="1">
      <alignment vertical="top"/>
    </xf>
    <xf numFmtId="49" fontId="7" fillId="0" borderId="4" xfId="0" applyNumberFormat="1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49" fontId="18" fillId="0" borderId="1" xfId="0" applyNumberFormat="1" applyFont="1" applyBorder="1" applyAlignment="1">
      <alignment horizontal="center" vertical="top" wrapText="1"/>
    </xf>
    <xf numFmtId="49" fontId="18" fillId="0" borderId="0" xfId="0" applyNumberFormat="1" applyFont="1"/>
    <xf numFmtId="49" fontId="18" fillId="0" borderId="1" xfId="0" applyNumberFormat="1" applyFont="1" applyBorder="1" applyAlignment="1">
      <alignment vertical="top"/>
    </xf>
    <xf numFmtId="49" fontId="18" fillId="0" borderId="1" xfId="0" applyNumberFormat="1" applyFont="1" applyBorder="1" applyAlignment="1">
      <alignment vertical="top" wrapText="1"/>
    </xf>
    <xf numFmtId="49" fontId="18" fillId="0" borderId="1" xfId="0" applyNumberFormat="1" applyFont="1" applyBorder="1" applyAlignment="1">
      <alignment horizontal="left" vertical="top" wrapText="1"/>
    </xf>
    <xf numFmtId="49" fontId="7" fillId="0" borderId="7" xfId="0" applyNumberFormat="1" applyFont="1" applyBorder="1" applyAlignment="1">
      <alignment vertical="top"/>
    </xf>
    <xf numFmtId="49" fontId="7" fillId="0" borderId="7" xfId="0" applyNumberFormat="1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49" fontId="10" fillId="8" borderId="1" xfId="0" applyNumberFormat="1" applyFont="1" applyFill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center" vertical="top" wrapText="1"/>
    </xf>
    <xf numFmtId="49" fontId="10" fillId="9" borderId="1" xfId="0" applyNumberFormat="1" applyFont="1" applyFill="1" applyBorder="1" applyAlignment="1">
      <alignment horizontal="left" vertical="top" wrapText="1"/>
    </xf>
    <xf numFmtId="49" fontId="17" fillId="0" borderId="0" xfId="0" applyNumberFormat="1" applyFont="1"/>
    <xf numFmtId="49" fontId="10" fillId="0" borderId="4" xfId="0" applyNumberFormat="1" applyFont="1" applyBorder="1" applyAlignment="1">
      <alignment horizontal="left" vertical="top" wrapText="1"/>
    </xf>
    <xf numFmtId="49" fontId="10" fillId="0" borderId="4" xfId="0" applyNumberFormat="1" applyFont="1" applyBorder="1" applyAlignment="1">
      <alignment horizontal="center" vertical="top" wrapText="1"/>
    </xf>
    <xf numFmtId="0" fontId="10" fillId="0" borderId="1" xfId="0" applyFont="1" applyBorder="1"/>
    <xf numFmtId="49" fontId="10" fillId="0" borderId="5" xfId="0" applyNumberFormat="1" applyFont="1" applyBorder="1" applyAlignment="1">
      <alignment horizontal="left" vertical="top" wrapText="1"/>
    </xf>
    <xf numFmtId="49" fontId="10" fillId="6" borderId="1" xfId="0" applyNumberFormat="1" applyFont="1" applyFill="1" applyBorder="1" applyAlignment="1">
      <alignment horizontal="left" vertical="top" wrapText="1"/>
    </xf>
    <xf numFmtId="49" fontId="10" fillId="6" borderId="1" xfId="0" applyNumberFormat="1" applyFont="1" applyFill="1" applyBorder="1" applyAlignment="1">
      <alignment horizontal="center" vertical="top" wrapText="1"/>
    </xf>
    <xf numFmtId="0" fontId="10" fillId="0" borderId="6" xfId="0" applyFont="1" applyBorder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49" fontId="19" fillId="0" borderId="0" xfId="0" applyNumberFormat="1" applyFont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2926" TargetMode="External"/><Relationship Id="rId13" Type="http://schemas.openxmlformats.org/officeDocument/2006/relationships/hyperlink" Target="https://bluebik-team.atlassian.net/wiki/spaces/TNS/pages/28494981" TargetMode="External"/><Relationship Id="rId18" Type="http://schemas.openxmlformats.org/officeDocument/2006/relationships/hyperlink" Target="https://bluebik-team.atlassian.net/wiki/spaces/TNS/pages/28498183" TargetMode="External"/><Relationship Id="rId3" Type="http://schemas.openxmlformats.org/officeDocument/2006/relationships/hyperlink" Target="https://bluebik-team.atlassian.net/wiki/spaces/TNS/pages/28498183" TargetMode="External"/><Relationship Id="rId21" Type="http://schemas.openxmlformats.org/officeDocument/2006/relationships/hyperlink" Target="https://bluebik-team.atlassian.net/wiki/spaces/TNS/pages/28486214" TargetMode="External"/><Relationship Id="rId7" Type="http://schemas.openxmlformats.org/officeDocument/2006/relationships/hyperlink" Target="https://bluebik-team.atlassian.net/wiki/spaces/TNS/pages/28494981" TargetMode="External"/><Relationship Id="rId12" Type="http://schemas.openxmlformats.org/officeDocument/2006/relationships/hyperlink" Target="https://bluebik-team.atlassian.net/wiki/spaces/TNS/pages/28494981" TargetMode="External"/><Relationship Id="rId17" Type="http://schemas.openxmlformats.org/officeDocument/2006/relationships/hyperlink" Target="https://bluebik-team.atlassian.net/wiki/spaces/TNS/pages/45088861" TargetMode="External"/><Relationship Id="rId2" Type="http://schemas.openxmlformats.org/officeDocument/2006/relationships/hyperlink" Target="https://bluebik-team.atlassian.net/wiki/spaces/TNS/pages/28481592" TargetMode="External"/><Relationship Id="rId16" Type="http://schemas.openxmlformats.org/officeDocument/2006/relationships/hyperlink" Target="https://bluebik-team.atlassian.net/wiki/spaces/TNS/pages/28492926" TargetMode="External"/><Relationship Id="rId20" Type="http://schemas.openxmlformats.org/officeDocument/2006/relationships/hyperlink" Target="https://bluebik-team.atlassian.net/wiki/spaces/TNS/pages/28486214" TargetMode="External"/><Relationship Id="rId1" Type="http://schemas.openxmlformats.org/officeDocument/2006/relationships/hyperlink" Target="https://bluebik-team.atlassian.net/wiki/spaces/TNS/pages/53543308/quotation+Table" TargetMode="External"/><Relationship Id="rId6" Type="http://schemas.openxmlformats.org/officeDocument/2006/relationships/hyperlink" Target="https://bluebik-team.atlassian.net/wiki/spaces/TNS/pages/28494981" TargetMode="External"/><Relationship Id="rId11" Type="http://schemas.openxmlformats.org/officeDocument/2006/relationships/hyperlink" Target="https://bluebik-team.atlassian.net/wiki/spaces/TNS/pages/28492926" TargetMode="External"/><Relationship Id="rId5" Type="http://schemas.openxmlformats.org/officeDocument/2006/relationships/hyperlink" Target="https://bluebik-team.atlassian.net/wiki/spaces/TNS/pages/28494444" TargetMode="External"/><Relationship Id="rId15" Type="http://schemas.openxmlformats.org/officeDocument/2006/relationships/hyperlink" Target="https://bluebik-team.atlassian.net/wiki/spaces/TNS/pages/28492926" TargetMode="External"/><Relationship Id="rId10" Type="http://schemas.openxmlformats.org/officeDocument/2006/relationships/hyperlink" Target="https://bluebik-team.atlassian.net/wiki/spaces/TNS/pages/28492926" TargetMode="External"/><Relationship Id="rId19" Type="http://schemas.openxmlformats.org/officeDocument/2006/relationships/hyperlink" Target="https://bluebik-team.atlassian.net/wiki/spaces/TNS/pages/28498183" TargetMode="External"/><Relationship Id="rId4" Type="http://schemas.openxmlformats.org/officeDocument/2006/relationships/hyperlink" Target="https://bluebik-team.atlassian.net/wiki/spaces/TNS/pages/28498183" TargetMode="External"/><Relationship Id="rId9" Type="http://schemas.openxmlformats.org/officeDocument/2006/relationships/hyperlink" Target="https://bluebik-team.atlassian.net/wiki/spaces/TNS/pages/28492926" TargetMode="External"/><Relationship Id="rId14" Type="http://schemas.openxmlformats.org/officeDocument/2006/relationships/hyperlink" Target="https://bluebik-team.atlassian.net/wiki/spaces/TNS/pages/28492926" TargetMode="External"/><Relationship Id="rId22" Type="http://schemas.openxmlformats.org/officeDocument/2006/relationships/hyperlink" Target="https://bluebik-team.atlassian.net/wiki/spaces/TNS/pages/561315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workbookViewId="0">
      <pane xSplit="2" topLeftCell="P48" activePane="topRight" state="frozen"/>
      <selection pane="topRight" activeCell="T15" sqref="T15"/>
    </sheetView>
  </sheetViews>
  <sheetFormatPr defaultColWidth="41.42578125" defaultRowHeight="15"/>
  <cols>
    <col min="1" max="1" width="4.7109375" style="16" bestFit="1" customWidth="1"/>
    <col min="2" max="2" width="31.85546875" style="16" bestFit="1" customWidth="1"/>
    <col min="3" max="3" width="73.5703125" style="16" bestFit="1" customWidth="1"/>
    <col min="4" max="4" width="41.42578125" style="16"/>
    <col min="5" max="5" width="9.5703125" style="16" bestFit="1" customWidth="1"/>
    <col min="6" max="6" width="12" style="16" bestFit="1" customWidth="1"/>
    <col min="7" max="7" width="41.42578125" style="16"/>
    <col min="8" max="8" width="26.28515625" style="16" bestFit="1" customWidth="1"/>
    <col min="9" max="9" width="14.7109375" style="16" bestFit="1" customWidth="1"/>
    <col min="10" max="10" width="25.28515625" style="16" bestFit="1" customWidth="1"/>
    <col min="11" max="12" width="41.42578125" style="16"/>
    <col min="13" max="13" width="37.140625" style="16" bestFit="1" customWidth="1"/>
    <col min="14" max="14" width="7.85546875" style="16" bestFit="1" customWidth="1"/>
    <col min="15" max="15" width="8.140625" style="16" bestFit="1" customWidth="1"/>
    <col min="16" max="16" width="31.140625" style="16" bestFit="1" customWidth="1"/>
    <col min="17" max="17" width="41.42578125" style="16"/>
    <col min="18" max="18" width="14" style="16" bestFit="1" customWidth="1"/>
    <col min="19" max="19" width="22.7109375" style="16" bestFit="1" customWidth="1"/>
    <col min="20" max="20" width="25.28515625" style="16" bestFit="1" customWidth="1"/>
    <col min="21" max="21" width="23.42578125" style="16" bestFit="1" customWidth="1"/>
    <col min="22" max="22" width="69.42578125" style="16" bestFit="1" customWidth="1"/>
    <col min="23" max="23" width="72" style="16" bestFit="1" customWidth="1"/>
    <col min="24" max="16384" width="41.42578125" style="16"/>
  </cols>
  <sheetData>
    <row r="1" spans="1:23">
      <c r="A1" s="10"/>
      <c r="B1" s="11" t="s">
        <v>0</v>
      </c>
      <c r="C1" s="12" t="s">
        <v>1</v>
      </c>
      <c r="D1" s="12"/>
      <c r="E1" s="13" t="s">
        <v>2</v>
      </c>
      <c r="F1" s="14"/>
      <c r="G1" s="15"/>
      <c r="H1" s="15"/>
      <c r="I1" s="14"/>
      <c r="J1" s="14"/>
      <c r="K1" s="15"/>
      <c r="L1" s="14"/>
    </row>
    <row r="2" spans="1:23">
      <c r="A2" s="10"/>
      <c r="B2" s="11" t="s">
        <v>3</v>
      </c>
      <c r="C2" s="12" t="s">
        <v>4</v>
      </c>
      <c r="D2" s="12"/>
      <c r="E2" s="14"/>
      <c r="F2" s="14"/>
      <c r="G2" s="15"/>
      <c r="H2" s="15"/>
      <c r="I2" s="14"/>
      <c r="J2" s="14"/>
      <c r="K2" s="15"/>
      <c r="L2" s="14"/>
    </row>
    <row r="3" spans="1:23">
      <c r="A3" s="10"/>
      <c r="B3" s="11" t="s">
        <v>5</v>
      </c>
      <c r="C3" s="17" t="s">
        <v>6</v>
      </c>
      <c r="D3" s="12"/>
      <c r="E3" s="14"/>
      <c r="F3" s="14"/>
      <c r="G3" s="15"/>
      <c r="H3" s="15"/>
      <c r="I3" s="14"/>
      <c r="J3" s="14"/>
      <c r="K3" s="15"/>
      <c r="L3" s="14"/>
    </row>
    <row r="4" spans="1:23" ht="33">
      <c r="A4" s="18" t="s">
        <v>7</v>
      </c>
      <c r="B4" s="18" t="s">
        <v>8</v>
      </c>
      <c r="C4" s="18" t="s">
        <v>9</v>
      </c>
      <c r="D4" s="18" t="s">
        <v>10</v>
      </c>
      <c r="E4" s="18" t="s">
        <v>11</v>
      </c>
      <c r="F4" s="18" t="s">
        <v>12</v>
      </c>
      <c r="G4" s="19" t="s">
        <v>13</v>
      </c>
      <c r="H4" s="19" t="s">
        <v>14</v>
      </c>
      <c r="I4" s="18" t="s">
        <v>15</v>
      </c>
      <c r="J4" s="18" t="s">
        <v>16</v>
      </c>
      <c r="K4" s="19" t="s">
        <v>17</v>
      </c>
      <c r="L4" s="14"/>
      <c r="M4" s="20"/>
      <c r="N4" s="21" t="s">
        <v>18</v>
      </c>
      <c r="O4" s="21" t="s">
        <v>19</v>
      </c>
      <c r="P4" s="21" t="s">
        <v>20</v>
      </c>
      <c r="Q4" s="21" t="s">
        <v>21</v>
      </c>
      <c r="R4" s="22" t="s">
        <v>22</v>
      </c>
      <c r="S4" s="22" t="s">
        <v>23</v>
      </c>
      <c r="T4" s="22" t="s">
        <v>24</v>
      </c>
      <c r="U4" s="22" t="s">
        <v>25</v>
      </c>
      <c r="V4" s="59" t="s">
        <v>26</v>
      </c>
      <c r="W4" s="59" t="s">
        <v>27</v>
      </c>
    </row>
    <row r="5" spans="1:23" ht="50.25">
      <c r="A5" s="23" t="s">
        <v>28</v>
      </c>
      <c r="B5" s="24" t="s">
        <v>29</v>
      </c>
      <c r="C5" s="24" t="s">
        <v>30</v>
      </c>
      <c r="D5" s="24" t="s">
        <v>31</v>
      </c>
      <c r="E5" s="25" t="s">
        <v>32</v>
      </c>
      <c r="F5" s="24" t="s">
        <v>33</v>
      </c>
      <c r="G5" s="24"/>
      <c r="H5" s="24"/>
      <c r="I5" s="24"/>
      <c r="J5" s="24"/>
      <c r="K5" s="24" t="s">
        <v>34</v>
      </c>
      <c r="L5" s="14"/>
      <c r="M5" s="26" t="str">
        <f t="shared" ref="M5:M69" si="0">IF(E5 = "PK", CONCATENATE("primary_key(",A5,") : ", B5), IF(E5 = "FK", CONCATENATE("foreign_key(",A5,") : ", B5),CONCATENATE("column(",A5,") : ", B5)) )</f>
        <v>column(1) : id</v>
      </c>
      <c r="N5" s="27"/>
      <c r="O5" s="27"/>
      <c r="P5" s="27"/>
      <c r="Q5" s="27"/>
      <c r="R5" s="28"/>
      <c r="S5" s="28"/>
      <c r="T5" s="28"/>
      <c r="U5" s="28" t="s">
        <v>35</v>
      </c>
      <c r="V5" s="57"/>
      <c r="W5" s="58"/>
    </row>
    <row r="6" spans="1:23" ht="36">
      <c r="A6" s="23" t="s">
        <v>36</v>
      </c>
      <c r="B6" s="24" t="s">
        <v>37</v>
      </c>
      <c r="C6" s="24" t="s">
        <v>30</v>
      </c>
      <c r="D6" s="24" t="s">
        <v>38</v>
      </c>
      <c r="E6" s="25" t="s">
        <v>32</v>
      </c>
      <c r="F6" s="24"/>
      <c r="G6" s="29" t="s">
        <v>39</v>
      </c>
      <c r="H6" s="24"/>
      <c r="I6" s="24"/>
      <c r="J6" s="24"/>
      <c r="K6" s="24"/>
      <c r="L6" s="14"/>
      <c r="M6" s="26" t="str">
        <f t="shared" si="0"/>
        <v>column(2) : prospect_id</v>
      </c>
      <c r="N6" s="27"/>
      <c r="O6" s="27"/>
      <c r="P6" s="27"/>
      <c r="Q6" s="27"/>
      <c r="R6" s="30" t="s">
        <v>40</v>
      </c>
      <c r="S6" s="30" t="s">
        <v>1</v>
      </c>
      <c r="T6" s="30" t="s">
        <v>41</v>
      </c>
      <c r="U6" s="30"/>
    </row>
    <row r="7" spans="1:23" ht="36">
      <c r="A7" s="23" t="s">
        <v>42</v>
      </c>
      <c r="B7" s="24" t="s">
        <v>43</v>
      </c>
      <c r="C7" s="24" t="s">
        <v>44</v>
      </c>
      <c r="D7" s="24" t="s">
        <v>45</v>
      </c>
      <c r="E7" s="25" t="s">
        <v>32</v>
      </c>
      <c r="F7" s="24"/>
      <c r="G7" s="24"/>
      <c r="H7" s="24"/>
      <c r="I7" s="24"/>
      <c r="J7" s="24"/>
      <c r="K7" s="24"/>
      <c r="L7" s="14"/>
      <c r="M7" s="26" t="str">
        <f t="shared" si="0"/>
        <v>column(3) : agent_id</v>
      </c>
      <c r="N7" s="27"/>
      <c r="O7" s="27"/>
      <c r="P7" s="27"/>
      <c r="Q7" s="27"/>
      <c r="R7" s="30" t="s">
        <v>40</v>
      </c>
      <c r="S7" s="30" t="s">
        <v>1</v>
      </c>
      <c r="T7" s="30" t="s">
        <v>46</v>
      </c>
      <c r="U7" s="30"/>
    </row>
    <row r="8" spans="1:23" ht="117">
      <c r="A8" s="23" t="s">
        <v>47</v>
      </c>
      <c r="B8" s="24" t="s">
        <v>48</v>
      </c>
      <c r="C8" s="24" t="s">
        <v>49</v>
      </c>
      <c r="D8" s="24" t="s">
        <v>50</v>
      </c>
      <c r="E8" s="25" t="s">
        <v>51</v>
      </c>
      <c r="F8" s="24"/>
      <c r="G8" s="24"/>
      <c r="H8" s="24"/>
      <c r="I8" s="24"/>
      <c r="J8" s="24"/>
      <c r="K8" s="24" t="s">
        <v>52</v>
      </c>
      <c r="L8" s="15" t="s">
        <v>53</v>
      </c>
      <c r="M8" s="26" t="str">
        <f t="shared" si="0"/>
        <v>column(4) : reference_no</v>
      </c>
      <c r="N8" s="27" t="s">
        <v>54</v>
      </c>
      <c r="O8" s="27" t="s">
        <v>54</v>
      </c>
      <c r="P8" s="31" t="s">
        <v>55</v>
      </c>
      <c r="Q8" s="31" t="s">
        <v>56</v>
      </c>
      <c r="R8" s="30" t="s">
        <v>40</v>
      </c>
      <c r="S8" s="30" t="s">
        <v>1</v>
      </c>
      <c r="T8" s="30" t="s">
        <v>57</v>
      </c>
      <c r="U8" s="30"/>
    </row>
    <row r="9" spans="1:23" ht="338.25">
      <c r="A9" s="23" t="s">
        <v>58</v>
      </c>
      <c r="B9" s="24" t="s">
        <v>59</v>
      </c>
      <c r="C9" s="24" t="s">
        <v>44</v>
      </c>
      <c r="D9" s="24" t="s">
        <v>60</v>
      </c>
      <c r="E9" s="25" t="s">
        <v>32</v>
      </c>
      <c r="F9" s="24"/>
      <c r="G9" s="24"/>
      <c r="H9" s="24" t="s">
        <v>61</v>
      </c>
      <c r="I9" s="24"/>
      <c r="J9" s="24"/>
      <c r="K9" s="24"/>
      <c r="L9" s="14"/>
      <c r="M9" s="26" t="str">
        <f t="shared" si="0"/>
        <v>column(5) : plan_code</v>
      </c>
      <c r="N9" s="27" t="s">
        <v>54</v>
      </c>
      <c r="O9" s="27" t="s">
        <v>54</v>
      </c>
      <c r="P9" s="31" t="s">
        <v>62</v>
      </c>
      <c r="Q9" s="31" t="s">
        <v>63</v>
      </c>
      <c r="R9" s="30" t="s">
        <v>40</v>
      </c>
      <c r="S9" s="30" t="s">
        <v>1</v>
      </c>
      <c r="T9" s="30" t="s">
        <v>64</v>
      </c>
      <c r="U9" s="30"/>
    </row>
    <row r="10" spans="1:23" ht="117">
      <c r="A10" s="23" t="s">
        <v>65</v>
      </c>
      <c r="B10" s="24" t="s">
        <v>66</v>
      </c>
      <c r="C10" s="24" t="s">
        <v>67</v>
      </c>
      <c r="D10" s="24" t="s">
        <v>68</v>
      </c>
      <c r="E10" s="25" t="s">
        <v>32</v>
      </c>
      <c r="F10" s="24"/>
      <c r="G10" s="24"/>
      <c r="H10" s="24" t="s">
        <v>69</v>
      </c>
      <c r="I10" s="24"/>
      <c r="J10" s="24" t="s">
        <v>70</v>
      </c>
      <c r="K10" s="24" t="s">
        <v>71</v>
      </c>
      <c r="L10" s="14"/>
      <c r="M10" s="26" t="str">
        <f t="shared" si="0"/>
        <v>column(6) : product_type</v>
      </c>
      <c r="N10" s="27" t="s">
        <v>54</v>
      </c>
      <c r="O10" s="27" t="s">
        <v>54</v>
      </c>
      <c r="P10" s="31" t="s">
        <v>72</v>
      </c>
      <c r="Q10" s="31" t="s">
        <v>73</v>
      </c>
      <c r="R10" s="30" t="s">
        <v>74</v>
      </c>
      <c r="S10" s="30"/>
      <c r="T10" s="30"/>
      <c r="U10" s="30" t="s">
        <v>75</v>
      </c>
    </row>
    <row r="11" spans="1:23" ht="161.25">
      <c r="A11" s="23" t="s">
        <v>76</v>
      </c>
      <c r="B11" s="24" t="s">
        <v>77</v>
      </c>
      <c r="C11" s="24" t="s">
        <v>78</v>
      </c>
      <c r="D11" s="24" t="s">
        <v>79</v>
      </c>
      <c r="E11" s="25" t="s">
        <v>32</v>
      </c>
      <c r="F11" s="24"/>
      <c r="G11" s="24"/>
      <c r="H11" s="24"/>
      <c r="I11" s="24"/>
      <c r="J11" s="24"/>
      <c r="K11" s="24"/>
      <c r="L11" s="14"/>
      <c r="M11" s="26" t="str">
        <f t="shared" si="0"/>
        <v>column(7) : plan_name</v>
      </c>
      <c r="N11" s="27" t="s">
        <v>54</v>
      </c>
      <c r="O11" s="27" t="s">
        <v>54</v>
      </c>
      <c r="P11" s="31" t="s">
        <v>80</v>
      </c>
      <c r="Q11" s="31" t="s">
        <v>81</v>
      </c>
      <c r="R11" s="30" t="s">
        <v>40</v>
      </c>
      <c r="S11" s="30" t="s">
        <v>1</v>
      </c>
      <c r="T11" s="30" t="s">
        <v>82</v>
      </c>
      <c r="U11" s="30"/>
    </row>
    <row r="12" spans="1:23" ht="83.25">
      <c r="A12" s="23" t="s">
        <v>83</v>
      </c>
      <c r="B12" s="32" t="s">
        <v>84</v>
      </c>
      <c r="C12" s="32" t="s">
        <v>78</v>
      </c>
      <c r="D12" s="32" t="s">
        <v>85</v>
      </c>
      <c r="E12" s="32" t="s">
        <v>32</v>
      </c>
      <c r="F12" s="33" t="s">
        <v>86</v>
      </c>
      <c r="G12" s="24"/>
      <c r="H12" s="24"/>
      <c r="I12" s="24"/>
      <c r="J12" s="24"/>
      <c r="K12" s="24"/>
      <c r="L12" s="14"/>
      <c r="M12" s="26" t="str">
        <f t="shared" si="0"/>
        <v>column(8) : plan_display_name</v>
      </c>
      <c r="N12" s="27" t="s">
        <v>54</v>
      </c>
      <c r="O12" s="27" t="s">
        <v>54</v>
      </c>
      <c r="P12" s="31" t="s">
        <v>87</v>
      </c>
      <c r="Q12" s="31" t="s">
        <v>88</v>
      </c>
      <c r="R12" s="30" t="s">
        <v>74</v>
      </c>
      <c r="S12" s="30"/>
      <c r="T12" s="30"/>
      <c r="U12" s="30" t="s">
        <v>89</v>
      </c>
    </row>
    <row r="13" spans="1:23" ht="229.5">
      <c r="A13" s="23" t="s">
        <v>90</v>
      </c>
      <c r="B13" s="24" t="s">
        <v>91</v>
      </c>
      <c r="C13" s="24" t="s">
        <v>44</v>
      </c>
      <c r="D13" s="24" t="s">
        <v>92</v>
      </c>
      <c r="E13" s="25" t="s">
        <v>32</v>
      </c>
      <c r="F13" s="24"/>
      <c r="G13" s="24"/>
      <c r="H13" s="24"/>
      <c r="I13" s="24"/>
      <c r="J13" s="24" t="s">
        <v>93</v>
      </c>
      <c r="K13" s="24" t="s">
        <v>94</v>
      </c>
      <c r="L13" s="14"/>
      <c r="M13" s="26" t="str">
        <f t="shared" si="0"/>
        <v>column(9) : plan_type</v>
      </c>
      <c r="N13" s="27" t="s">
        <v>54</v>
      </c>
      <c r="O13" s="27" t="s">
        <v>54</v>
      </c>
      <c r="P13" s="31" t="s">
        <v>72</v>
      </c>
      <c r="Q13" s="31" t="s">
        <v>95</v>
      </c>
      <c r="R13" s="30" t="s">
        <v>74</v>
      </c>
      <c r="S13" s="30"/>
      <c r="T13" s="30"/>
      <c r="U13" s="30" t="s">
        <v>96</v>
      </c>
    </row>
    <row r="14" spans="1:23" ht="88.5">
      <c r="A14" s="23" t="s">
        <v>97</v>
      </c>
      <c r="B14" s="24" t="s">
        <v>98</v>
      </c>
      <c r="C14" s="24" t="s">
        <v>44</v>
      </c>
      <c r="D14" s="24" t="s">
        <v>99</v>
      </c>
      <c r="E14" s="25" t="s">
        <v>51</v>
      </c>
      <c r="F14" s="24"/>
      <c r="G14" s="29" t="s">
        <v>100</v>
      </c>
      <c r="H14" s="24" t="s">
        <v>28</v>
      </c>
      <c r="I14" s="24"/>
      <c r="J14" s="24"/>
      <c r="K14" s="24"/>
      <c r="L14" s="14"/>
      <c r="M14" s="26" t="str">
        <f t="shared" si="0"/>
        <v>column(10) : insured_title_code</v>
      </c>
      <c r="N14" s="27" t="s">
        <v>54</v>
      </c>
      <c r="O14" s="27" t="s">
        <v>54</v>
      </c>
      <c r="P14" s="31" t="s">
        <v>72</v>
      </c>
      <c r="Q14" s="31" t="s">
        <v>101</v>
      </c>
      <c r="R14" s="30"/>
      <c r="S14" s="30" t="s">
        <v>102</v>
      </c>
      <c r="T14" s="30"/>
      <c r="U14" s="30"/>
    </row>
    <row r="15" spans="1:23" ht="117">
      <c r="A15" s="23" t="s">
        <v>103</v>
      </c>
      <c r="B15" s="24" t="s">
        <v>104</v>
      </c>
      <c r="C15" s="24" t="s">
        <v>105</v>
      </c>
      <c r="D15" s="24" t="s">
        <v>106</v>
      </c>
      <c r="E15" s="25" t="s">
        <v>51</v>
      </c>
      <c r="F15" s="24"/>
      <c r="G15" s="29" t="s">
        <v>107</v>
      </c>
      <c r="H15" s="24" t="s">
        <v>108</v>
      </c>
      <c r="I15" s="24"/>
      <c r="J15" s="24"/>
      <c r="K15" s="24"/>
      <c r="L15" s="14"/>
      <c r="M15" s="26" t="str">
        <f t="shared" si="0"/>
        <v>column(11) : insured_title</v>
      </c>
      <c r="N15" s="27" t="s">
        <v>54</v>
      </c>
      <c r="O15" s="27" t="s">
        <v>54</v>
      </c>
      <c r="P15" s="31" t="s">
        <v>72</v>
      </c>
      <c r="Q15" s="31" t="s">
        <v>109</v>
      </c>
      <c r="R15" s="30" t="s">
        <v>40</v>
      </c>
      <c r="S15" s="30" t="s">
        <v>1</v>
      </c>
      <c r="T15" s="30" t="s">
        <v>110</v>
      </c>
      <c r="U15" s="30"/>
    </row>
    <row r="16" spans="1:23" ht="147">
      <c r="A16" s="23" t="s">
        <v>111</v>
      </c>
      <c r="B16" s="24" t="s">
        <v>112</v>
      </c>
      <c r="C16" s="24" t="s">
        <v>49</v>
      </c>
      <c r="D16" s="24" t="s">
        <v>113</v>
      </c>
      <c r="E16" s="25" t="s">
        <v>32</v>
      </c>
      <c r="F16" s="24"/>
      <c r="G16" s="24"/>
      <c r="H16" s="24" t="s">
        <v>114</v>
      </c>
      <c r="I16" s="24"/>
      <c r="J16" s="24"/>
      <c r="K16" s="24"/>
      <c r="L16" s="14"/>
      <c r="M16" s="26" t="str">
        <f t="shared" si="0"/>
        <v>column(12) : insured_first_name</v>
      </c>
      <c r="N16" s="27" t="s">
        <v>54</v>
      </c>
      <c r="O16" s="27" t="s">
        <v>54</v>
      </c>
      <c r="P16" s="31" t="s">
        <v>80</v>
      </c>
      <c r="Q16" s="31" t="s">
        <v>115</v>
      </c>
      <c r="R16" s="30" t="s">
        <v>40</v>
      </c>
      <c r="S16" s="30" t="s">
        <v>1</v>
      </c>
      <c r="T16" s="30" t="s">
        <v>116</v>
      </c>
      <c r="U16" s="30"/>
    </row>
    <row r="17" spans="1:22" ht="147">
      <c r="A17" s="23" t="s">
        <v>117</v>
      </c>
      <c r="B17" s="24" t="s">
        <v>118</v>
      </c>
      <c r="C17" s="24" t="s">
        <v>49</v>
      </c>
      <c r="D17" s="24" t="s">
        <v>119</v>
      </c>
      <c r="E17" s="25" t="s">
        <v>51</v>
      </c>
      <c r="F17" s="24"/>
      <c r="G17" s="24"/>
      <c r="H17" s="24" t="s">
        <v>120</v>
      </c>
      <c r="I17" s="24"/>
      <c r="J17" s="24"/>
      <c r="K17" s="24"/>
      <c r="L17" s="14"/>
      <c r="M17" s="26" t="str">
        <f t="shared" si="0"/>
        <v>column(13) : insured_last_name</v>
      </c>
      <c r="N17" s="34" t="s">
        <v>54</v>
      </c>
      <c r="O17" s="34" t="s">
        <v>54</v>
      </c>
      <c r="P17" s="35" t="s">
        <v>80</v>
      </c>
      <c r="Q17" s="35" t="s">
        <v>115</v>
      </c>
      <c r="R17" s="36" t="s">
        <v>40</v>
      </c>
      <c r="S17" s="36" t="s">
        <v>1</v>
      </c>
      <c r="T17" s="36" t="s">
        <v>121</v>
      </c>
      <c r="U17" s="36"/>
    </row>
    <row r="18" spans="1:22" ht="132.75">
      <c r="A18" s="23" t="s">
        <v>122</v>
      </c>
      <c r="B18" s="24" t="s">
        <v>123</v>
      </c>
      <c r="C18" s="24" t="s">
        <v>124</v>
      </c>
      <c r="D18" s="24" t="s">
        <v>125</v>
      </c>
      <c r="E18" s="25" t="s">
        <v>32</v>
      </c>
      <c r="F18" s="24"/>
      <c r="G18" s="24"/>
      <c r="H18" s="24"/>
      <c r="I18" s="24"/>
      <c r="J18" s="24"/>
      <c r="K18" s="24"/>
      <c r="L18" s="14"/>
      <c r="M18" s="26" t="str">
        <f t="shared" si="0"/>
        <v>column(14) : insured_age</v>
      </c>
      <c r="N18" s="27" t="s">
        <v>54</v>
      </c>
      <c r="O18" s="27" t="s">
        <v>54</v>
      </c>
      <c r="P18" s="31" t="s">
        <v>80</v>
      </c>
      <c r="Q18" s="31" t="s">
        <v>126</v>
      </c>
      <c r="R18" s="30" t="s">
        <v>40</v>
      </c>
      <c r="S18" s="30" t="s">
        <v>1</v>
      </c>
      <c r="T18" s="30" t="s">
        <v>127</v>
      </c>
      <c r="U18" s="30"/>
    </row>
    <row r="19" spans="1:22" ht="117">
      <c r="A19" s="23" t="s">
        <v>128</v>
      </c>
      <c r="B19" s="24" t="s">
        <v>129</v>
      </c>
      <c r="C19" s="24" t="s">
        <v>130</v>
      </c>
      <c r="D19" s="24" t="s">
        <v>131</v>
      </c>
      <c r="E19" s="25" t="s">
        <v>51</v>
      </c>
      <c r="F19" s="24"/>
      <c r="G19" s="24"/>
      <c r="H19" s="24" t="s">
        <v>132</v>
      </c>
      <c r="I19" s="24"/>
      <c r="J19" s="24"/>
      <c r="K19" s="24"/>
      <c r="L19" s="14"/>
      <c r="M19" s="26" t="str">
        <f t="shared" si="0"/>
        <v>column(15) : insured_birth_date</v>
      </c>
      <c r="N19" s="27" t="s">
        <v>54</v>
      </c>
      <c r="O19" s="27" t="s">
        <v>54</v>
      </c>
      <c r="P19" s="31" t="s">
        <v>80</v>
      </c>
      <c r="Q19" s="31" t="s">
        <v>133</v>
      </c>
      <c r="R19" s="30" t="s">
        <v>40</v>
      </c>
      <c r="S19" s="30" t="s">
        <v>1</v>
      </c>
      <c r="T19" s="30" t="s">
        <v>134</v>
      </c>
      <c r="U19" s="30"/>
      <c r="V19" s="9" t="s">
        <v>135</v>
      </c>
    </row>
    <row r="20" spans="1:22" ht="132.75">
      <c r="A20" s="23" t="s">
        <v>136</v>
      </c>
      <c r="B20" s="24" t="s">
        <v>137</v>
      </c>
      <c r="C20" s="24" t="s">
        <v>67</v>
      </c>
      <c r="D20" s="24" t="s">
        <v>138</v>
      </c>
      <c r="E20" s="25" t="s">
        <v>32</v>
      </c>
      <c r="F20" s="24"/>
      <c r="G20" s="24"/>
      <c r="H20" s="24" t="s">
        <v>139</v>
      </c>
      <c r="I20" s="24"/>
      <c r="J20" s="24" t="s">
        <v>140</v>
      </c>
      <c r="K20" s="24" t="s">
        <v>141</v>
      </c>
      <c r="L20" s="14"/>
      <c r="M20" s="26" t="str">
        <f t="shared" si="0"/>
        <v>column(16) : insured_gender</v>
      </c>
      <c r="N20" s="27" t="s">
        <v>54</v>
      </c>
      <c r="O20" s="27" t="s">
        <v>54</v>
      </c>
      <c r="P20" s="31" t="s">
        <v>80</v>
      </c>
      <c r="Q20" s="31" t="s">
        <v>126</v>
      </c>
      <c r="R20" s="30" t="s">
        <v>40</v>
      </c>
      <c r="S20" s="30" t="s">
        <v>1</v>
      </c>
      <c r="T20" s="30" t="s">
        <v>142</v>
      </c>
      <c r="U20" s="30"/>
      <c r="V20" s="9"/>
    </row>
    <row r="21" spans="1:22" ht="102.75">
      <c r="A21" s="23" t="s">
        <v>143</v>
      </c>
      <c r="B21" s="24" t="s">
        <v>144</v>
      </c>
      <c r="C21" s="24" t="s">
        <v>44</v>
      </c>
      <c r="D21" s="24" t="s">
        <v>145</v>
      </c>
      <c r="E21" s="25" t="s">
        <v>51</v>
      </c>
      <c r="F21" s="24"/>
      <c r="G21" s="24"/>
      <c r="H21" s="24"/>
      <c r="I21" s="24"/>
      <c r="J21" s="24"/>
      <c r="K21" s="24"/>
      <c r="L21" s="14"/>
      <c r="M21" s="26" t="str">
        <f t="shared" si="0"/>
        <v>column(17) : insured_mobile_no</v>
      </c>
      <c r="N21" s="27" t="s">
        <v>54</v>
      </c>
      <c r="O21" s="27" t="s">
        <v>54</v>
      </c>
      <c r="P21" s="31" t="s">
        <v>80</v>
      </c>
      <c r="Q21" s="31" t="s">
        <v>146</v>
      </c>
      <c r="R21" s="30"/>
      <c r="S21" s="30" t="s">
        <v>102</v>
      </c>
      <c r="T21" s="30"/>
      <c r="U21" s="30"/>
    </row>
    <row r="22" spans="1:22" ht="159">
      <c r="A22" s="23" t="s">
        <v>147</v>
      </c>
      <c r="B22" s="24" t="s">
        <v>148</v>
      </c>
      <c r="C22" s="24" t="s">
        <v>149</v>
      </c>
      <c r="D22" s="24" t="s">
        <v>150</v>
      </c>
      <c r="E22" s="37" t="s">
        <v>51</v>
      </c>
      <c r="F22" s="24"/>
      <c r="G22" s="24"/>
      <c r="H22" s="24" t="s">
        <v>151</v>
      </c>
      <c r="I22" s="24"/>
      <c r="J22" s="24" t="s">
        <v>152</v>
      </c>
      <c r="K22" s="24" t="s">
        <v>153</v>
      </c>
      <c r="L22" s="38"/>
      <c r="M22" s="26" t="str">
        <f t="shared" si="0"/>
        <v>column(18) : insured_identify_type</v>
      </c>
      <c r="N22" s="39" t="s">
        <v>54</v>
      </c>
      <c r="O22" s="39" t="s">
        <v>54</v>
      </c>
      <c r="P22" s="40" t="s">
        <v>72</v>
      </c>
      <c r="Q22" s="40" t="s">
        <v>101</v>
      </c>
      <c r="R22" s="30" t="s">
        <v>40</v>
      </c>
      <c r="S22" s="30" t="s">
        <v>1</v>
      </c>
      <c r="T22" s="30" t="s">
        <v>154</v>
      </c>
      <c r="U22" s="30" t="s">
        <v>155</v>
      </c>
    </row>
    <row r="23" spans="1:22" ht="36">
      <c r="A23" s="23" t="s">
        <v>156</v>
      </c>
      <c r="B23" s="41" t="s">
        <v>157</v>
      </c>
      <c r="C23" s="24" t="s">
        <v>158</v>
      </c>
      <c r="D23" s="24" t="s">
        <v>159</v>
      </c>
      <c r="E23" s="25" t="s">
        <v>51</v>
      </c>
      <c r="F23" s="24"/>
      <c r="G23" s="24"/>
      <c r="H23" s="24" t="s">
        <v>160</v>
      </c>
      <c r="I23" s="24"/>
      <c r="J23" s="24"/>
      <c r="K23" s="24" t="s">
        <v>161</v>
      </c>
      <c r="L23" s="14"/>
      <c r="M23" s="26" t="str">
        <f t="shared" si="0"/>
        <v>column(19) : insured_citizen_id</v>
      </c>
      <c r="N23" s="27"/>
      <c r="O23" s="27"/>
      <c r="P23" s="27"/>
      <c r="Q23" s="27"/>
      <c r="R23" s="30" t="s">
        <v>40</v>
      </c>
      <c r="S23" s="30" t="s">
        <v>1</v>
      </c>
      <c r="T23" s="30" t="s">
        <v>162</v>
      </c>
      <c r="U23" s="30"/>
    </row>
    <row r="24" spans="1:22" ht="88.5">
      <c r="A24" s="23" t="s">
        <v>163</v>
      </c>
      <c r="B24" s="41" t="s">
        <v>164</v>
      </c>
      <c r="C24" s="24" t="s">
        <v>149</v>
      </c>
      <c r="D24" s="41" t="s">
        <v>165</v>
      </c>
      <c r="E24" s="25" t="s">
        <v>51</v>
      </c>
      <c r="F24" s="24"/>
      <c r="G24" s="24"/>
      <c r="H24" s="24" t="s">
        <v>166</v>
      </c>
      <c r="I24" s="24"/>
      <c r="J24" s="24"/>
      <c r="K24" s="24" t="s">
        <v>161</v>
      </c>
      <c r="L24" s="14"/>
      <c r="M24" s="26" t="str">
        <f t="shared" si="0"/>
        <v>column(20) : insured_nationality</v>
      </c>
      <c r="N24" s="27" t="s">
        <v>54</v>
      </c>
      <c r="O24" s="27" t="s">
        <v>54</v>
      </c>
      <c r="P24" s="31" t="s">
        <v>72</v>
      </c>
      <c r="Q24" s="31" t="s">
        <v>101</v>
      </c>
      <c r="R24" s="30"/>
      <c r="S24" s="30" t="s">
        <v>102</v>
      </c>
      <c r="T24" s="30"/>
      <c r="U24" s="30"/>
    </row>
    <row r="25" spans="1:22" ht="88.5">
      <c r="A25" s="23" t="s">
        <v>167</v>
      </c>
      <c r="B25" s="24" t="s">
        <v>168</v>
      </c>
      <c r="C25" s="24" t="s">
        <v>158</v>
      </c>
      <c r="D25" s="24" t="s">
        <v>169</v>
      </c>
      <c r="E25" s="25" t="s">
        <v>51</v>
      </c>
      <c r="F25" s="24"/>
      <c r="G25" s="24"/>
      <c r="H25" s="24"/>
      <c r="I25" s="24"/>
      <c r="J25" s="24"/>
      <c r="K25" s="24" t="s">
        <v>170</v>
      </c>
      <c r="L25" s="14"/>
      <c r="M25" s="26" t="str">
        <f t="shared" si="0"/>
        <v>column(21) : insured_passport</v>
      </c>
      <c r="N25" s="27" t="s">
        <v>54</v>
      </c>
      <c r="O25" s="27" t="s">
        <v>54</v>
      </c>
      <c r="P25" s="31" t="s">
        <v>72</v>
      </c>
      <c r="Q25" s="31" t="s">
        <v>101</v>
      </c>
      <c r="R25" s="30" t="s">
        <v>40</v>
      </c>
      <c r="S25" s="30" t="s">
        <v>1</v>
      </c>
      <c r="T25" s="30" t="s">
        <v>171</v>
      </c>
      <c r="U25" s="30"/>
    </row>
    <row r="26" spans="1:22" ht="88.5">
      <c r="A26" s="23" t="s">
        <v>172</v>
      </c>
      <c r="B26" s="24" t="s">
        <v>173</v>
      </c>
      <c r="C26" s="24" t="s">
        <v>158</v>
      </c>
      <c r="D26" s="24" t="s">
        <v>174</v>
      </c>
      <c r="E26" s="25" t="s">
        <v>51</v>
      </c>
      <c r="F26" s="24"/>
      <c r="G26" s="29" t="s">
        <v>175</v>
      </c>
      <c r="H26" s="24"/>
      <c r="I26" s="24"/>
      <c r="J26" s="24"/>
      <c r="K26" s="24" t="s">
        <v>170</v>
      </c>
      <c r="L26" s="14"/>
      <c r="M26" s="26" t="str">
        <f t="shared" si="0"/>
        <v>column(22) : insured_country_code</v>
      </c>
      <c r="N26" s="27" t="s">
        <v>54</v>
      </c>
      <c r="O26" s="27" t="s">
        <v>54</v>
      </c>
      <c r="P26" s="31" t="s">
        <v>72</v>
      </c>
      <c r="Q26" s="31" t="s">
        <v>101</v>
      </c>
      <c r="R26" s="30" t="s">
        <v>40</v>
      </c>
      <c r="S26" s="30" t="s">
        <v>1</v>
      </c>
      <c r="T26" s="30" t="s">
        <v>176</v>
      </c>
      <c r="U26" s="30"/>
    </row>
    <row r="27" spans="1:22" ht="191.25">
      <c r="A27" s="23" t="s">
        <v>177</v>
      </c>
      <c r="B27" s="24" t="s">
        <v>178</v>
      </c>
      <c r="C27" s="24" t="s">
        <v>158</v>
      </c>
      <c r="D27" s="24" t="s">
        <v>179</v>
      </c>
      <c r="E27" s="25" t="s">
        <v>51</v>
      </c>
      <c r="F27" s="24"/>
      <c r="G27" s="29" t="s">
        <v>180</v>
      </c>
      <c r="H27" s="24" t="s">
        <v>181</v>
      </c>
      <c r="I27" s="24"/>
      <c r="J27" s="24"/>
      <c r="K27" s="24"/>
      <c r="L27" s="14"/>
      <c r="M27" s="26" t="str">
        <f t="shared" si="0"/>
        <v>column(23) : occupation</v>
      </c>
      <c r="N27" s="42" t="s">
        <v>54</v>
      </c>
      <c r="O27" s="42" t="s">
        <v>54</v>
      </c>
      <c r="P27" s="43" t="s">
        <v>182</v>
      </c>
      <c r="Q27" s="43" t="s">
        <v>183</v>
      </c>
      <c r="R27" s="44" t="s">
        <v>40</v>
      </c>
      <c r="S27" s="44" t="s">
        <v>1</v>
      </c>
      <c r="T27" s="44" t="s">
        <v>178</v>
      </c>
      <c r="U27" s="44"/>
    </row>
    <row r="28" spans="1:22" ht="117">
      <c r="A28" s="23" t="s">
        <v>184</v>
      </c>
      <c r="B28" s="24" t="s">
        <v>185</v>
      </c>
      <c r="C28" s="24" t="s">
        <v>186</v>
      </c>
      <c r="D28" s="24" t="s">
        <v>187</v>
      </c>
      <c r="E28" s="25" t="s">
        <v>51</v>
      </c>
      <c r="F28" s="24"/>
      <c r="G28" s="29" t="s">
        <v>188</v>
      </c>
      <c r="H28" s="24" t="s">
        <v>181</v>
      </c>
      <c r="I28" s="24"/>
      <c r="J28" s="24"/>
      <c r="K28" s="24"/>
      <c r="L28" s="14"/>
      <c r="M28" s="26" t="str">
        <f t="shared" si="0"/>
        <v>column(24) : occupation_name</v>
      </c>
      <c r="N28" s="27" t="s">
        <v>54</v>
      </c>
      <c r="O28" s="27" t="s">
        <v>54</v>
      </c>
      <c r="P28" s="31" t="s">
        <v>72</v>
      </c>
      <c r="Q28" s="31" t="s">
        <v>189</v>
      </c>
      <c r="R28" s="30"/>
      <c r="S28" s="30" t="s">
        <v>102</v>
      </c>
      <c r="T28" s="30"/>
      <c r="U28" s="30"/>
    </row>
    <row r="29" spans="1:22" ht="88.5">
      <c r="A29" s="23" t="s">
        <v>190</v>
      </c>
      <c r="B29" s="24" t="s">
        <v>191</v>
      </c>
      <c r="C29" s="24" t="s">
        <v>158</v>
      </c>
      <c r="D29" s="24" t="s">
        <v>192</v>
      </c>
      <c r="E29" s="25" t="s">
        <v>51</v>
      </c>
      <c r="F29" s="24"/>
      <c r="G29" s="29" t="s">
        <v>193</v>
      </c>
      <c r="H29" s="24" t="s">
        <v>28</v>
      </c>
      <c r="I29" s="24"/>
      <c r="J29" s="24"/>
      <c r="K29" s="24"/>
      <c r="L29" s="14"/>
      <c r="M29" s="26" t="str">
        <f t="shared" si="0"/>
        <v>column(25) : occupation_business</v>
      </c>
      <c r="N29" s="27" t="s">
        <v>54</v>
      </c>
      <c r="O29" s="27" t="s">
        <v>54</v>
      </c>
      <c r="P29" s="31" t="s">
        <v>72</v>
      </c>
      <c r="Q29" s="31" t="s">
        <v>101</v>
      </c>
      <c r="R29" s="30" t="s">
        <v>40</v>
      </c>
      <c r="S29" s="30" t="s">
        <v>1</v>
      </c>
      <c r="T29" s="30" t="s">
        <v>194</v>
      </c>
      <c r="U29" s="30"/>
    </row>
    <row r="30" spans="1:22" ht="88.5">
      <c r="A30" s="23" t="s">
        <v>195</v>
      </c>
      <c r="B30" s="24" t="s">
        <v>196</v>
      </c>
      <c r="C30" s="24" t="s">
        <v>186</v>
      </c>
      <c r="D30" s="24" t="s">
        <v>197</v>
      </c>
      <c r="E30" s="25" t="s">
        <v>51</v>
      </c>
      <c r="F30" s="24"/>
      <c r="G30" s="29" t="s">
        <v>198</v>
      </c>
      <c r="H30" s="24" t="s">
        <v>199</v>
      </c>
      <c r="I30" s="24"/>
      <c r="J30" s="24"/>
      <c r="K30" s="24"/>
      <c r="L30" s="14"/>
      <c r="M30" s="26" t="str">
        <f t="shared" si="0"/>
        <v>column(26) : occ_bus_value</v>
      </c>
      <c r="N30" s="27" t="s">
        <v>54</v>
      </c>
      <c r="O30" s="27" t="s">
        <v>54</v>
      </c>
      <c r="P30" s="31" t="s">
        <v>72</v>
      </c>
      <c r="Q30" s="31" t="s">
        <v>101</v>
      </c>
      <c r="R30" s="30" t="s">
        <v>40</v>
      </c>
      <c r="S30" s="30" t="s">
        <v>1</v>
      </c>
      <c r="T30" s="30" t="s">
        <v>200</v>
      </c>
      <c r="U30" s="30"/>
    </row>
    <row r="31" spans="1:22" ht="176.25">
      <c r="A31" s="23" t="s">
        <v>201</v>
      </c>
      <c r="B31" s="24" t="s">
        <v>202</v>
      </c>
      <c r="C31" s="24" t="s">
        <v>44</v>
      </c>
      <c r="D31" s="24" t="s">
        <v>203</v>
      </c>
      <c r="E31" s="25" t="s">
        <v>32</v>
      </c>
      <c r="F31" s="24"/>
      <c r="G31" s="29" t="s">
        <v>204</v>
      </c>
      <c r="H31" s="24" t="s">
        <v>36</v>
      </c>
      <c r="I31" s="24"/>
      <c r="J31" s="24"/>
      <c r="K31" s="24"/>
      <c r="L31" s="14"/>
      <c r="M31" s="26" t="str">
        <f t="shared" si="0"/>
        <v>column(27) : occupation_type</v>
      </c>
      <c r="N31" s="27" t="s">
        <v>54</v>
      </c>
      <c r="O31" s="27" t="s">
        <v>54</v>
      </c>
      <c r="P31" s="31" t="s">
        <v>182</v>
      </c>
      <c r="Q31" s="31" t="s">
        <v>205</v>
      </c>
      <c r="R31" s="30" t="s">
        <v>40</v>
      </c>
      <c r="S31" s="30" t="s">
        <v>1</v>
      </c>
      <c r="T31" s="30" t="s">
        <v>206</v>
      </c>
      <c r="U31" s="30"/>
    </row>
    <row r="32" spans="1:22" ht="88.5">
      <c r="A32" s="23" t="s">
        <v>207</v>
      </c>
      <c r="B32" s="24" t="s">
        <v>208</v>
      </c>
      <c r="C32" s="24" t="s">
        <v>186</v>
      </c>
      <c r="D32" s="24" t="s">
        <v>209</v>
      </c>
      <c r="E32" s="25" t="s">
        <v>51</v>
      </c>
      <c r="F32" s="24"/>
      <c r="G32" s="29" t="s">
        <v>210</v>
      </c>
      <c r="H32" s="24" t="s">
        <v>83</v>
      </c>
      <c r="I32" s="24"/>
      <c r="J32" s="24"/>
      <c r="K32" s="24"/>
      <c r="L32" s="14"/>
      <c r="M32" s="26" t="str">
        <f t="shared" si="0"/>
        <v>column(28) : code_occ_to_uw</v>
      </c>
      <c r="N32" s="27" t="s">
        <v>54</v>
      </c>
      <c r="O32" s="27" t="s">
        <v>54</v>
      </c>
      <c r="P32" s="31" t="s">
        <v>72</v>
      </c>
      <c r="Q32" s="31" t="s">
        <v>101</v>
      </c>
      <c r="R32" s="30" t="s">
        <v>40</v>
      </c>
      <c r="S32" s="30" t="s">
        <v>1</v>
      </c>
      <c r="T32" s="30" t="s">
        <v>211</v>
      </c>
      <c r="U32" s="30"/>
    </row>
    <row r="33" spans="1:21" ht="88.5">
      <c r="A33" s="23" t="s">
        <v>212</v>
      </c>
      <c r="B33" s="24" t="s">
        <v>213</v>
      </c>
      <c r="C33" s="24" t="s">
        <v>158</v>
      </c>
      <c r="D33" s="24" t="s">
        <v>214</v>
      </c>
      <c r="E33" s="25" t="s">
        <v>51</v>
      </c>
      <c r="F33" s="24"/>
      <c r="G33" s="29" t="s">
        <v>180</v>
      </c>
      <c r="H33" s="24"/>
      <c r="I33" s="24"/>
      <c r="J33" s="24"/>
      <c r="K33" s="24"/>
      <c r="L33" s="14"/>
      <c r="M33" s="26" t="str">
        <f t="shared" si="0"/>
        <v>column(29) : occupation_reserve</v>
      </c>
      <c r="N33" s="27" t="s">
        <v>54</v>
      </c>
      <c r="O33" s="27" t="s">
        <v>54</v>
      </c>
      <c r="P33" s="31" t="s">
        <v>72</v>
      </c>
      <c r="Q33" s="31" t="s">
        <v>101</v>
      </c>
      <c r="R33" s="30" t="s">
        <v>40</v>
      </c>
      <c r="S33" s="30" t="s">
        <v>1</v>
      </c>
      <c r="T33" s="30" t="s">
        <v>215</v>
      </c>
      <c r="U33" s="30"/>
    </row>
    <row r="34" spans="1:21" ht="88.5">
      <c r="A34" s="23" t="s">
        <v>216</v>
      </c>
      <c r="B34" s="24" t="s">
        <v>217</v>
      </c>
      <c r="C34" s="24" t="s">
        <v>186</v>
      </c>
      <c r="D34" s="24" t="s">
        <v>218</v>
      </c>
      <c r="E34" s="25" t="s">
        <v>51</v>
      </c>
      <c r="F34" s="24"/>
      <c r="G34" s="29" t="s">
        <v>188</v>
      </c>
      <c r="H34" s="24"/>
      <c r="I34" s="24"/>
      <c r="J34" s="24"/>
      <c r="K34" s="24"/>
      <c r="L34" s="14"/>
      <c r="M34" s="26" t="str">
        <f t="shared" si="0"/>
        <v>column(30) : occupation_reserve_name</v>
      </c>
      <c r="N34" s="27" t="s">
        <v>54</v>
      </c>
      <c r="O34" s="27" t="s">
        <v>54</v>
      </c>
      <c r="P34" s="31" t="s">
        <v>72</v>
      </c>
      <c r="Q34" s="31" t="s">
        <v>101</v>
      </c>
      <c r="R34" s="30"/>
      <c r="S34" s="30" t="s">
        <v>102</v>
      </c>
      <c r="T34" s="30"/>
      <c r="U34" s="30"/>
    </row>
    <row r="35" spans="1:21" ht="88.5">
      <c r="A35" s="23" t="s">
        <v>219</v>
      </c>
      <c r="B35" s="24" t="s">
        <v>220</v>
      </c>
      <c r="C35" s="24" t="s">
        <v>158</v>
      </c>
      <c r="D35" s="24" t="s">
        <v>221</v>
      </c>
      <c r="E35" s="25" t="s">
        <v>51</v>
      </c>
      <c r="F35" s="24"/>
      <c r="G35" s="29" t="s">
        <v>193</v>
      </c>
      <c r="H35" s="24"/>
      <c r="I35" s="24"/>
      <c r="J35" s="24"/>
      <c r="K35" s="24"/>
      <c r="L35" s="14"/>
      <c r="M35" s="26" t="str">
        <f t="shared" si="0"/>
        <v>column(31) : occupation_business_reserve</v>
      </c>
      <c r="N35" s="27" t="s">
        <v>54</v>
      </c>
      <c r="O35" s="27" t="s">
        <v>54</v>
      </c>
      <c r="P35" s="31" t="s">
        <v>72</v>
      </c>
      <c r="Q35" s="31" t="s">
        <v>101</v>
      </c>
      <c r="R35" s="30" t="s">
        <v>40</v>
      </c>
      <c r="S35" s="30" t="s">
        <v>1</v>
      </c>
      <c r="T35" s="30" t="s">
        <v>222</v>
      </c>
      <c r="U35" s="30"/>
    </row>
    <row r="36" spans="1:21" ht="88.5">
      <c r="A36" s="23" t="s">
        <v>223</v>
      </c>
      <c r="B36" s="24" t="s">
        <v>224</v>
      </c>
      <c r="C36" s="24" t="s">
        <v>158</v>
      </c>
      <c r="D36" s="24" t="s">
        <v>225</v>
      </c>
      <c r="E36" s="25" t="s">
        <v>51</v>
      </c>
      <c r="F36" s="24"/>
      <c r="G36" s="29" t="s">
        <v>198</v>
      </c>
      <c r="H36" s="24"/>
      <c r="I36" s="24"/>
      <c r="J36" s="24"/>
      <c r="K36" s="24"/>
      <c r="L36" s="14"/>
      <c r="M36" s="26" t="str">
        <f t="shared" si="0"/>
        <v>column(32) : occ_bus_value_reserve</v>
      </c>
      <c r="N36" s="27" t="s">
        <v>54</v>
      </c>
      <c r="O36" s="27" t="s">
        <v>54</v>
      </c>
      <c r="P36" s="31" t="s">
        <v>72</v>
      </c>
      <c r="Q36" s="31" t="s">
        <v>101</v>
      </c>
      <c r="R36" s="30" t="s">
        <v>40</v>
      </c>
      <c r="S36" s="30" t="s">
        <v>1</v>
      </c>
      <c r="T36" s="30" t="s">
        <v>226</v>
      </c>
      <c r="U36" s="30"/>
    </row>
    <row r="37" spans="1:21" ht="88.5">
      <c r="A37" s="23" t="s">
        <v>227</v>
      </c>
      <c r="B37" s="24" t="s">
        <v>228</v>
      </c>
      <c r="C37" s="24" t="s">
        <v>186</v>
      </c>
      <c r="D37" s="24" t="s">
        <v>229</v>
      </c>
      <c r="E37" s="25" t="s">
        <v>51</v>
      </c>
      <c r="F37" s="24"/>
      <c r="G37" s="29" t="s">
        <v>230</v>
      </c>
      <c r="H37" s="24"/>
      <c r="I37" s="24"/>
      <c r="J37" s="24"/>
      <c r="K37" s="24"/>
      <c r="L37" s="14"/>
      <c r="M37" s="26" t="str">
        <f t="shared" si="0"/>
        <v>column(33) : code_occ_to_uw_reserve</v>
      </c>
      <c r="N37" s="27" t="s">
        <v>54</v>
      </c>
      <c r="O37" s="27" t="s">
        <v>54</v>
      </c>
      <c r="P37" s="31" t="s">
        <v>72</v>
      </c>
      <c r="Q37" s="31" t="s">
        <v>101</v>
      </c>
      <c r="R37" s="30" t="s">
        <v>40</v>
      </c>
      <c r="S37" s="30" t="s">
        <v>1</v>
      </c>
      <c r="T37" s="30" t="s">
        <v>231</v>
      </c>
      <c r="U37" s="30"/>
    </row>
    <row r="38" spans="1:21" ht="36">
      <c r="A38" s="23" t="s">
        <v>232</v>
      </c>
      <c r="B38" s="24" t="s">
        <v>233</v>
      </c>
      <c r="C38" s="24" t="s">
        <v>158</v>
      </c>
      <c r="D38" s="24" t="s">
        <v>234</v>
      </c>
      <c r="E38" s="25" t="s">
        <v>51</v>
      </c>
      <c r="F38" s="24"/>
      <c r="G38" s="29" t="s">
        <v>235</v>
      </c>
      <c r="H38" s="24"/>
      <c r="I38" s="24"/>
      <c r="J38" s="24"/>
      <c r="K38" s="24"/>
      <c r="L38" s="14"/>
      <c r="M38" s="26" t="str">
        <f t="shared" si="0"/>
        <v>column(34) : occupation_group</v>
      </c>
      <c r="N38" s="27"/>
      <c r="O38" s="27"/>
      <c r="P38" s="27"/>
      <c r="Q38" s="27"/>
      <c r="R38" s="30" t="s">
        <v>40</v>
      </c>
      <c r="S38" s="30" t="s">
        <v>1</v>
      </c>
      <c r="T38" s="30" t="s">
        <v>236</v>
      </c>
      <c r="U38" s="30"/>
    </row>
    <row r="39" spans="1:21" ht="58.5">
      <c r="A39" s="23" t="s">
        <v>237</v>
      </c>
      <c r="B39" s="24" t="s">
        <v>238</v>
      </c>
      <c r="C39" s="24" t="s">
        <v>44</v>
      </c>
      <c r="D39" s="24" t="s">
        <v>239</v>
      </c>
      <c r="E39" s="25" t="s">
        <v>51</v>
      </c>
      <c r="F39" s="24"/>
      <c r="G39" s="29" t="s">
        <v>100</v>
      </c>
      <c r="H39" s="24" t="s">
        <v>28</v>
      </c>
      <c r="I39" s="24"/>
      <c r="J39" s="24"/>
      <c r="K39" s="24"/>
      <c r="L39" s="14"/>
      <c r="M39" s="26" t="str">
        <f t="shared" si="0"/>
        <v>column(35) : parent_title_code</v>
      </c>
      <c r="N39" s="27" t="s">
        <v>54</v>
      </c>
      <c r="O39" s="27" t="s">
        <v>54</v>
      </c>
      <c r="P39" s="31" t="s">
        <v>240</v>
      </c>
      <c r="Q39" s="31" t="s">
        <v>241</v>
      </c>
      <c r="R39" s="30"/>
      <c r="S39" s="30" t="s">
        <v>102</v>
      </c>
      <c r="T39" s="30"/>
      <c r="U39" s="30"/>
    </row>
    <row r="40" spans="1:21" ht="58.5">
      <c r="A40" s="23" t="s">
        <v>242</v>
      </c>
      <c r="B40" s="24" t="s">
        <v>243</v>
      </c>
      <c r="C40" s="24" t="s">
        <v>105</v>
      </c>
      <c r="D40" s="24" t="s">
        <v>244</v>
      </c>
      <c r="E40" s="25" t="s">
        <v>51</v>
      </c>
      <c r="F40" s="24"/>
      <c r="G40" s="29" t="s">
        <v>107</v>
      </c>
      <c r="H40" s="24" t="s">
        <v>108</v>
      </c>
      <c r="I40" s="24"/>
      <c r="J40" s="24"/>
      <c r="K40" s="24"/>
      <c r="L40" s="14"/>
      <c r="M40" s="26" t="str">
        <f t="shared" si="0"/>
        <v>column(36) : parent_title</v>
      </c>
      <c r="N40" s="27" t="s">
        <v>54</v>
      </c>
      <c r="O40" s="27" t="s">
        <v>54</v>
      </c>
      <c r="P40" s="31" t="s">
        <v>240</v>
      </c>
      <c r="Q40" s="31" t="s">
        <v>241</v>
      </c>
      <c r="R40" s="30"/>
      <c r="S40" s="30" t="s">
        <v>102</v>
      </c>
      <c r="T40" s="30"/>
      <c r="U40" s="30"/>
    </row>
    <row r="41" spans="1:21" ht="58.5">
      <c r="A41" s="23" t="s">
        <v>245</v>
      </c>
      <c r="B41" s="24" t="s">
        <v>246</v>
      </c>
      <c r="C41" s="24" t="s">
        <v>49</v>
      </c>
      <c r="D41" s="24" t="s">
        <v>247</v>
      </c>
      <c r="E41" s="25" t="s">
        <v>51</v>
      </c>
      <c r="F41" s="24"/>
      <c r="G41" s="24"/>
      <c r="H41" s="24" t="s">
        <v>114</v>
      </c>
      <c r="I41" s="24"/>
      <c r="J41" s="24"/>
      <c r="K41" s="24"/>
      <c r="L41" s="14"/>
      <c r="M41" s="26" t="str">
        <f t="shared" si="0"/>
        <v>column(37) : parent_first_name</v>
      </c>
      <c r="N41" s="27" t="s">
        <v>54</v>
      </c>
      <c r="O41" s="27" t="s">
        <v>54</v>
      </c>
      <c r="P41" s="31" t="s">
        <v>240</v>
      </c>
      <c r="Q41" s="31" t="s">
        <v>241</v>
      </c>
      <c r="R41" s="30"/>
      <c r="S41" s="30" t="s">
        <v>102</v>
      </c>
      <c r="T41" s="30"/>
      <c r="U41" s="30"/>
    </row>
    <row r="42" spans="1:21" ht="58.5">
      <c r="A42" s="23" t="s">
        <v>248</v>
      </c>
      <c r="B42" s="24" t="s">
        <v>249</v>
      </c>
      <c r="C42" s="24" t="s">
        <v>49</v>
      </c>
      <c r="D42" s="24" t="s">
        <v>250</v>
      </c>
      <c r="E42" s="25" t="s">
        <v>51</v>
      </c>
      <c r="F42" s="24"/>
      <c r="G42" s="24"/>
      <c r="H42" s="24" t="s">
        <v>120</v>
      </c>
      <c r="I42" s="24"/>
      <c r="J42" s="24"/>
      <c r="K42" s="24"/>
      <c r="L42" s="14"/>
      <c r="M42" s="26" t="str">
        <f t="shared" si="0"/>
        <v>column(38) : parent_last_name</v>
      </c>
      <c r="N42" s="27" t="s">
        <v>54</v>
      </c>
      <c r="O42" s="27" t="s">
        <v>54</v>
      </c>
      <c r="P42" s="31" t="s">
        <v>240</v>
      </c>
      <c r="Q42" s="31" t="s">
        <v>241</v>
      </c>
      <c r="R42" s="30"/>
      <c r="S42" s="30" t="s">
        <v>102</v>
      </c>
      <c r="T42" s="30"/>
      <c r="U42" s="30"/>
    </row>
    <row r="43" spans="1:21" ht="58.5">
      <c r="A43" s="23" t="s">
        <v>251</v>
      </c>
      <c r="B43" s="24" t="s">
        <v>252</v>
      </c>
      <c r="C43" s="24" t="s">
        <v>124</v>
      </c>
      <c r="D43" s="24" t="s">
        <v>253</v>
      </c>
      <c r="E43" s="25" t="s">
        <v>51</v>
      </c>
      <c r="F43" s="24"/>
      <c r="G43" s="24"/>
      <c r="H43" s="24"/>
      <c r="I43" s="24"/>
      <c r="J43" s="24"/>
      <c r="K43" s="24"/>
      <c r="L43" s="14"/>
      <c r="M43" s="26" t="str">
        <f t="shared" si="0"/>
        <v>column(39) : parent_age</v>
      </c>
      <c r="N43" s="27" t="s">
        <v>54</v>
      </c>
      <c r="O43" s="27" t="s">
        <v>54</v>
      </c>
      <c r="P43" s="31" t="s">
        <v>240</v>
      </c>
      <c r="Q43" s="31" t="s">
        <v>241</v>
      </c>
      <c r="R43" s="30"/>
      <c r="S43" s="30" t="s">
        <v>102</v>
      </c>
      <c r="T43" s="30"/>
      <c r="U43" s="30"/>
    </row>
    <row r="44" spans="1:21" ht="58.5">
      <c r="A44" s="23" t="s">
        <v>254</v>
      </c>
      <c r="B44" s="24" t="s">
        <v>255</v>
      </c>
      <c r="C44" s="24" t="s">
        <v>67</v>
      </c>
      <c r="D44" s="24" t="s">
        <v>256</v>
      </c>
      <c r="E44" s="25" t="s">
        <v>51</v>
      </c>
      <c r="F44" s="24"/>
      <c r="G44" s="29" t="s">
        <v>257</v>
      </c>
      <c r="H44" s="24" t="s">
        <v>47</v>
      </c>
      <c r="I44" s="24"/>
      <c r="J44" s="24"/>
      <c r="K44" s="24"/>
      <c r="L44" s="14"/>
      <c r="M44" s="26" t="str">
        <f t="shared" si="0"/>
        <v>column(40) : parent_relation_code</v>
      </c>
      <c r="N44" s="27" t="s">
        <v>54</v>
      </c>
      <c r="O44" s="27" t="s">
        <v>54</v>
      </c>
      <c r="P44" s="31" t="s">
        <v>240</v>
      </c>
      <c r="Q44" s="31" t="s">
        <v>241</v>
      </c>
      <c r="R44" s="30"/>
      <c r="S44" s="30" t="s">
        <v>102</v>
      </c>
      <c r="T44" s="30"/>
      <c r="U44" s="30"/>
    </row>
    <row r="45" spans="1:21" ht="58.5">
      <c r="A45" s="23" t="s">
        <v>258</v>
      </c>
      <c r="B45" s="24" t="s">
        <v>259</v>
      </c>
      <c r="C45" s="24" t="s">
        <v>186</v>
      </c>
      <c r="D45" s="24" t="s">
        <v>260</v>
      </c>
      <c r="E45" s="25" t="s">
        <v>51</v>
      </c>
      <c r="F45" s="24"/>
      <c r="G45" s="29" t="s">
        <v>261</v>
      </c>
      <c r="H45" s="24" t="s">
        <v>262</v>
      </c>
      <c r="I45" s="24"/>
      <c r="J45" s="24"/>
      <c r="K45" s="24"/>
      <c r="L45" s="14"/>
      <c r="M45" s="26" t="str">
        <f t="shared" si="0"/>
        <v>column(41) : parent_relation</v>
      </c>
      <c r="N45" s="27" t="s">
        <v>54</v>
      </c>
      <c r="O45" s="27" t="s">
        <v>54</v>
      </c>
      <c r="P45" s="31" t="s">
        <v>240</v>
      </c>
      <c r="Q45" s="31" t="s">
        <v>241</v>
      </c>
      <c r="R45" s="30"/>
      <c r="S45" s="30" t="s">
        <v>102</v>
      </c>
      <c r="T45" s="30"/>
      <c r="U45" s="30"/>
    </row>
    <row r="46" spans="1:21" ht="132.75">
      <c r="A46" s="23" t="s">
        <v>263</v>
      </c>
      <c r="B46" s="24" t="s">
        <v>264</v>
      </c>
      <c r="C46" s="24" t="s">
        <v>124</v>
      </c>
      <c r="D46" s="24" t="s">
        <v>265</v>
      </c>
      <c r="E46" s="25" t="s">
        <v>51</v>
      </c>
      <c r="F46" s="24"/>
      <c r="G46" s="24"/>
      <c r="H46" s="24"/>
      <c r="I46" s="24"/>
      <c r="J46" s="24"/>
      <c r="K46" s="24"/>
      <c r="L46" s="14"/>
      <c r="M46" s="26" t="str">
        <f t="shared" si="0"/>
        <v>column(42) : life_sum_assured</v>
      </c>
      <c r="N46" s="27" t="s">
        <v>54</v>
      </c>
      <c r="O46" s="27" t="s">
        <v>54</v>
      </c>
      <c r="P46" s="31" t="s">
        <v>80</v>
      </c>
      <c r="Q46" s="31" t="s">
        <v>126</v>
      </c>
      <c r="R46" s="30" t="s">
        <v>40</v>
      </c>
      <c r="S46" s="30" t="s">
        <v>1</v>
      </c>
      <c r="T46" s="30" t="s">
        <v>266</v>
      </c>
      <c r="U46" s="30"/>
    </row>
    <row r="47" spans="1:21" ht="132.75">
      <c r="A47" s="23" t="s">
        <v>267</v>
      </c>
      <c r="B47" s="45" t="s">
        <v>268</v>
      </c>
      <c r="C47" s="24" t="s">
        <v>269</v>
      </c>
      <c r="D47" s="24" t="s">
        <v>270</v>
      </c>
      <c r="E47" s="25" t="s">
        <v>51</v>
      </c>
      <c r="F47" s="24"/>
      <c r="G47" s="24"/>
      <c r="H47" s="24"/>
      <c r="I47" s="24"/>
      <c r="J47" s="24"/>
      <c r="K47" s="24"/>
      <c r="L47" s="14"/>
      <c r="M47" s="26" t="str">
        <f t="shared" si="0"/>
        <v>column(43) : life_premium</v>
      </c>
      <c r="N47" s="27" t="s">
        <v>54</v>
      </c>
      <c r="O47" s="27" t="s">
        <v>54</v>
      </c>
      <c r="P47" s="31" t="s">
        <v>72</v>
      </c>
      <c r="Q47" s="31" t="s">
        <v>271</v>
      </c>
      <c r="R47" s="30" t="s">
        <v>40</v>
      </c>
      <c r="S47" s="30" t="s">
        <v>1</v>
      </c>
      <c r="T47" s="30" t="s">
        <v>272</v>
      </c>
      <c r="U47" s="30"/>
    </row>
    <row r="48" spans="1:21" ht="87.75">
      <c r="A48" s="23" t="s">
        <v>273</v>
      </c>
      <c r="B48" s="46" t="s">
        <v>274</v>
      </c>
      <c r="C48" s="46" t="s">
        <v>149</v>
      </c>
      <c r="D48" s="46" t="s">
        <v>275</v>
      </c>
      <c r="E48" s="47" t="s">
        <v>32</v>
      </c>
      <c r="F48" s="46" t="s">
        <v>276</v>
      </c>
      <c r="G48" s="29" t="s">
        <v>277</v>
      </c>
      <c r="H48" s="46" t="s">
        <v>278</v>
      </c>
      <c r="I48" s="46"/>
      <c r="J48" s="46" t="s">
        <v>279</v>
      </c>
      <c r="K48" s="46" t="s">
        <v>280</v>
      </c>
      <c r="L48" s="14"/>
      <c r="M48" s="26" t="str">
        <f t="shared" si="0"/>
        <v>column(44) : payment_code</v>
      </c>
      <c r="N48" s="27"/>
      <c r="O48" s="27"/>
      <c r="P48" s="27"/>
      <c r="Q48" s="27"/>
      <c r="R48" s="30" t="s">
        <v>40</v>
      </c>
      <c r="S48" s="30" t="s">
        <v>1</v>
      </c>
      <c r="T48" s="30" t="s">
        <v>281</v>
      </c>
      <c r="U48" s="30"/>
    </row>
    <row r="49" spans="1:21" ht="102.75">
      <c r="A49" s="23" t="s">
        <v>282</v>
      </c>
      <c r="B49" s="46" t="s">
        <v>283</v>
      </c>
      <c r="C49" s="46" t="s">
        <v>149</v>
      </c>
      <c r="D49" s="46" t="s">
        <v>284</v>
      </c>
      <c r="E49" s="47" t="s">
        <v>32</v>
      </c>
      <c r="F49" s="46"/>
      <c r="G49" s="46"/>
      <c r="H49" s="46"/>
      <c r="I49" s="46"/>
      <c r="J49" s="46" t="s">
        <v>285</v>
      </c>
      <c r="K49" s="46" t="s">
        <v>286</v>
      </c>
      <c r="L49" s="14"/>
      <c r="M49" s="26" t="str">
        <f t="shared" si="0"/>
        <v>column(45) : payment_type</v>
      </c>
      <c r="N49" s="27" t="s">
        <v>54</v>
      </c>
      <c r="O49" s="27" t="s">
        <v>54</v>
      </c>
      <c r="P49" s="31" t="s">
        <v>287</v>
      </c>
      <c r="Q49" s="31" t="s">
        <v>288</v>
      </c>
      <c r="R49" s="30" t="s">
        <v>40</v>
      </c>
      <c r="S49" s="30" t="s">
        <v>1</v>
      </c>
      <c r="T49" s="30" t="s">
        <v>289</v>
      </c>
      <c r="U49" s="30"/>
    </row>
    <row r="50" spans="1:21" ht="132.75">
      <c r="A50" s="23" t="s">
        <v>290</v>
      </c>
      <c r="B50" s="46" t="s">
        <v>291</v>
      </c>
      <c r="C50" s="46" t="s">
        <v>124</v>
      </c>
      <c r="D50" s="46" t="s">
        <v>292</v>
      </c>
      <c r="E50" s="47" t="s">
        <v>32</v>
      </c>
      <c r="F50" s="46"/>
      <c r="G50" s="46"/>
      <c r="H50" s="46"/>
      <c r="I50" s="46"/>
      <c r="J50" s="46"/>
      <c r="K50" s="46"/>
      <c r="L50" s="14"/>
      <c r="M50" s="26" t="str">
        <f t="shared" si="0"/>
        <v>column(46) : payment_period</v>
      </c>
      <c r="N50" s="27" t="s">
        <v>54</v>
      </c>
      <c r="O50" s="27" t="s">
        <v>54</v>
      </c>
      <c r="P50" s="31" t="s">
        <v>287</v>
      </c>
      <c r="Q50" s="31" t="s">
        <v>293</v>
      </c>
      <c r="R50" s="30" t="s">
        <v>40</v>
      </c>
      <c r="S50" s="30" t="s">
        <v>1</v>
      </c>
      <c r="T50" s="30" t="s">
        <v>294</v>
      </c>
      <c r="U50" s="30"/>
    </row>
    <row r="51" spans="1:21" ht="72.75">
      <c r="A51" s="23" t="s">
        <v>295</v>
      </c>
      <c r="B51" s="24" t="s">
        <v>296</v>
      </c>
      <c r="C51" s="24" t="s">
        <v>149</v>
      </c>
      <c r="D51" s="24" t="s">
        <v>297</v>
      </c>
      <c r="E51" s="25" t="s">
        <v>32</v>
      </c>
      <c r="F51" s="24"/>
      <c r="G51" s="24"/>
      <c r="H51" s="24"/>
      <c r="I51" s="24"/>
      <c r="J51" s="24" t="s">
        <v>285</v>
      </c>
      <c r="K51" s="24" t="s">
        <v>298</v>
      </c>
      <c r="L51" s="14"/>
      <c r="M51" s="26" t="str">
        <f t="shared" si="0"/>
        <v>column(47) : coverage_type</v>
      </c>
      <c r="N51" s="27" t="s">
        <v>54</v>
      </c>
      <c r="O51" s="27" t="s">
        <v>54</v>
      </c>
      <c r="P51" s="31" t="s">
        <v>87</v>
      </c>
      <c r="Q51" s="31" t="s">
        <v>299</v>
      </c>
      <c r="R51" s="30" t="s">
        <v>40</v>
      </c>
      <c r="S51" s="30" t="s">
        <v>1</v>
      </c>
      <c r="T51" s="30" t="s">
        <v>300</v>
      </c>
      <c r="U51" s="30"/>
    </row>
    <row r="52" spans="1:21" ht="102.75">
      <c r="A52" s="23" t="s">
        <v>301</v>
      </c>
      <c r="B52" s="24" t="s">
        <v>302</v>
      </c>
      <c r="C52" s="24" t="s">
        <v>124</v>
      </c>
      <c r="D52" s="24" t="s">
        <v>303</v>
      </c>
      <c r="E52" s="25" t="s">
        <v>32</v>
      </c>
      <c r="F52" s="24"/>
      <c r="G52" s="24"/>
      <c r="H52" s="24"/>
      <c r="I52" s="24"/>
      <c r="J52" s="24"/>
      <c r="K52" s="24"/>
      <c r="L52" s="14"/>
      <c r="M52" s="26" t="str">
        <f t="shared" si="0"/>
        <v>column(48) : coverage_period</v>
      </c>
      <c r="N52" s="27" t="s">
        <v>54</v>
      </c>
      <c r="O52" s="27" t="s">
        <v>54</v>
      </c>
      <c r="P52" s="31" t="s">
        <v>287</v>
      </c>
      <c r="Q52" s="31" t="s">
        <v>288</v>
      </c>
      <c r="R52" s="30" t="s">
        <v>40</v>
      </c>
      <c r="S52" s="30" t="s">
        <v>1</v>
      </c>
      <c r="T52" s="30" t="s">
        <v>304</v>
      </c>
      <c r="U52" s="30"/>
    </row>
    <row r="53" spans="1:21" ht="58.5">
      <c r="A53" s="23" t="s">
        <v>305</v>
      </c>
      <c r="B53" s="24" t="s">
        <v>306</v>
      </c>
      <c r="C53" s="24" t="s">
        <v>186</v>
      </c>
      <c r="D53" s="24" t="s">
        <v>307</v>
      </c>
      <c r="E53" s="25" t="s">
        <v>51</v>
      </c>
      <c r="F53" s="24"/>
      <c r="G53" s="24"/>
      <c r="H53" s="24"/>
      <c r="I53" s="24"/>
      <c r="J53" s="24"/>
      <c r="K53" s="24" t="s">
        <v>308</v>
      </c>
      <c r="L53" s="14"/>
      <c r="M53" s="26" t="str">
        <f t="shared" si="0"/>
        <v>column(49) : branch</v>
      </c>
      <c r="N53" s="27" t="s">
        <v>54</v>
      </c>
      <c r="O53" s="27" t="s">
        <v>54</v>
      </c>
      <c r="P53" s="31" t="s">
        <v>309</v>
      </c>
      <c r="Q53" s="31" t="s">
        <v>310</v>
      </c>
      <c r="R53" s="30" t="s">
        <v>40</v>
      </c>
      <c r="S53" s="30" t="s">
        <v>1</v>
      </c>
      <c r="T53" s="30" t="s">
        <v>306</v>
      </c>
      <c r="U53" s="30"/>
    </row>
    <row r="54" spans="1:21" ht="147">
      <c r="A54" s="23" t="s">
        <v>181</v>
      </c>
      <c r="B54" s="24" t="s">
        <v>311</v>
      </c>
      <c r="C54" s="24" t="s">
        <v>158</v>
      </c>
      <c r="D54" s="24" t="s">
        <v>312</v>
      </c>
      <c r="E54" s="25" t="s">
        <v>51</v>
      </c>
      <c r="F54" s="24"/>
      <c r="G54" s="24"/>
      <c r="H54" s="24"/>
      <c r="I54" s="24"/>
      <c r="J54" s="24"/>
      <c r="K54" s="24" t="s">
        <v>313</v>
      </c>
      <c r="L54" s="14"/>
      <c r="M54" s="26" t="str">
        <f t="shared" si="0"/>
        <v>column(50) : package_number</v>
      </c>
      <c r="N54" s="27" t="s">
        <v>54</v>
      </c>
      <c r="O54" s="27" t="s">
        <v>54</v>
      </c>
      <c r="P54" s="31" t="s">
        <v>182</v>
      </c>
      <c r="Q54" s="31" t="s">
        <v>314</v>
      </c>
      <c r="R54" s="30" t="s">
        <v>40</v>
      </c>
      <c r="S54" s="30" t="s">
        <v>1</v>
      </c>
      <c r="T54" s="30" t="s">
        <v>315</v>
      </c>
      <c r="U54" s="30"/>
    </row>
    <row r="55" spans="1:21" ht="72.75">
      <c r="A55" s="23" t="s">
        <v>316</v>
      </c>
      <c r="B55" s="24" t="s">
        <v>317</v>
      </c>
      <c r="C55" s="24" t="s">
        <v>158</v>
      </c>
      <c r="D55" s="24" t="s">
        <v>318</v>
      </c>
      <c r="E55" s="25" t="s">
        <v>51</v>
      </c>
      <c r="F55" s="24"/>
      <c r="G55" s="24"/>
      <c r="H55" s="24"/>
      <c r="I55" s="24"/>
      <c r="J55" s="24"/>
      <c r="K55" s="24"/>
      <c r="L55" s="14"/>
      <c r="M55" s="26" t="str">
        <f t="shared" si="0"/>
        <v>column(51) : type_app</v>
      </c>
      <c r="N55" s="27" t="s">
        <v>54</v>
      </c>
      <c r="O55" s="27" t="s">
        <v>54</v>
      </c>
      <c r="P55" s="31" t="s">
        <v>87</v>
      </c>
      <c r="Q55" s="31" t="s">
        <v>299</v>
      </c>
      <c r="R55" s="30" t="s">
        <v>40</v>
      </c>
      <c r="S55" s="30" t="s">
        <v>1</v>
      </c>
      <c r="T55" s="30" t="s">
        <v>319</v>
      </c>
      <c r="U55" s="30"/>
    </row>
    <row r="56" spans="1:21" ht="88.5">
      <c r="A56" s="23" t="s">
        <v>320</v>
      </c>
      <c r="B56" s="24" t="s">
        <v>321</v>
      </c>
      <c r="C56" s="24" t="s">
        <v>322</v>
      </c>
      <c r="D56" s="24" t="s">
        <v>323</v>
      </c>
      <c r="E56" s="25" t="s">
        <v>32</v>
      </c>
      <c r="F56" s="24"/>
      <c r="G56" s="24"/>
      <c r="H56" s="24"/>
      <c r="I56" s="24"/>
      <c r="J56" s="24" t="s">
        <v>324</v>
      </c>
      <c r="K56" s="24"/>
      <c r="L56" s="14"/>
      <c r="M56" s="26" t="str">
        <f t="shared" si="0"/>
        <v>column(52) : tp_flag</v>
      </c>
      <c r="N56" s="27" t="s">
        <v>54</v>
      </c>
      <c r="O56" s="27" t="s">
        <v>54</v>
      </c>
      <c r="P56" s="31" t="s">
        <v>72</v>
      </c>
      <c r="Q56" s="31" t="s">
        <v>101</v>
      </c>
      <c r="R56" s="30" t="s">
        <v>40</v>
      </c>
      <c r="S56" s="30" t="s">
        <v>1</v>
      </c>
      <c r="T56" s="30" t="s">
        <v>325</v>
      </c>
      <c r="U56" s="30"/>
    </row>
    <row r="57" spans="1:21" ht="88.5">
      <c r="A57" s="23" t="s">
        <v>326</v>
      </c>
      <c r="B57" s="24" t="s">
        <v>327</v>
      </c>
      <c r="C57" s="24" t="s">
        <v>124</v>
      </c>
      <c r="D57" s="24" t="s">
        <v>328</v>
      </c>
      <c r="E57" s="25" t="s">
        <v>51</v>
      </c>
      <c r="F57" s="24"/>
      <c r="G57" s="24"/>
      <c r="H57" s="24"/>
      <c r="I57" s="24"/>
      <c r="J57" s="24"/>
      <c r="K57" s="24"/>
      <c r="L57" s="14"/>
      <c r="M57" s="26" t="str">
        <f t="shared" si="0"/>
        <v>column(53) : kb_coverage_year</v>
      </c>
      <c r="N57" s="27" t="s">
        <v>54</v>
      </c>
      <c r="O57" s="27" t="s">
        <v>54</v>
      </c>
      <c r="P57" s="31" t="s">
        <v>72</v>
      </c>
      <c r="Q57" s="31" t="s">
        <v>101</v>
      </c>
      <c r="R57" s="30" t="s">
        <v>40</v>
      </c>
      <c r="S57" s="30" t="s">
        <v>1</v>
      </c>
      <c r="T57" s="30" t="s">
        <v>329</v>
      </c>
      <c r="U57" s="30"/>
    </row>
    <row r="58" spans="1:21" ht="53.25">
      <c r="A58" s="23" t="s">
        <v>330</v>
      </c>
      <c r="B58" s="24" t="s">
        <v>331</v>
      </c>
      <c r="C58" s="24" t="s">
        <v>158</v>
      </c>
      <c r="D58" s="24" t="s">
        <v>332</v>
      </c>
      <c r="E58" s="25" t="s">
        <v>51</v>
      </c>
      <c r="F58" s="24"/>
      <c r="G58" s="24"/>
      <c r="H58" s="24"/>
      <c r="I58" s="24"/>
      <c r="J58" s="24"/>
      <c r="K58" s="24" t="s">
        <v>333</v>
      </c>
      <c r="L58" s="14"/>
      <c r="M58" s="26" t="str">
        <f t="shared" si="0"/>
        <v>column(54) : soldier</v>
      </c>
      <c r="N58" s="27"/>
      <c r="O58" s="27"/>
      <c r="P58" s="27"/>
      <c r="Q58" s="27"/>
      <c r="R58" s="30" t="s">
        <v>40</v>
      </c>
      <c r="S58" s="30" t="s">
        <v>1</v>
      </c>
      <c r="T58" s="30" t="s">
        <v>331</v>
      </c>
      <c r="U58" s="30"/>
    </row>
    <row r="59" spans="1:21" ht="102.75">
      <c r="A59" s="23" t="s">
        <v>334</v>
      </c>
      <c r="B59" s="24" t="s">
        <v>335</v>
      </c>
      <c r="C59" s="24" t="s">
        <v>322</v>
      </c>
      <c r="D59" s="24" t="s">
        <v>336</v>
      </c>
      <c r="E59" s="25" t="s">
        <v>32</v>
      </c>
      <c r="F59" s="24"/>
      <c r="G59" s="24"/>
      <c r="H59" s="24"/>
      <c r="I59" s="24"/>
      <c r="J59" s="24" t="s">
        <v>324</v>
      </c>
      <c r="K59" s="24"/>
      <c r="L59" s="14"/>
      <c r="M59" s="26" t="str">
        <f t="shared" si="0"/>
        <v>column(55) : health_check_flag</v>
      </c>
      <c r="N59" s="27" t="s">
        <v>54</v>
      </c>
      <c r="O59" s="27" t="s">
        <v>54</v>
      </c>
      <c r="P59" s="31" t="s">
        <v>287</v>
      </c>
      <c r="Q59" s="31" t="s">
        <v>288</v>
      </c>
      <c r="R59" s="30" t="s">
        <v>40</v>
      </c>
      <c r="S59" s="30" t="s">
        <v>1</v>
      </c>
      <c r="T59" s="30" t="s">
        <v>337</v>
      </c>
      <c r="U59" s="30"/>
    </row>
    <row r="60" spans="1:21" ht="117">
      <c r="A60" s="23" t="s">
        <v>338</v>
      </c>
      <c r="B60" s="24" t="s">
        <v>339</v>
      </c>
      <c r="C60" s="24" t="s">
        <v>340</v>
      </c>
      <c r="D60" s="24" t="s">
        <v>341</v>
      </c>
      <c r="E60" s="25" t="s">
        <v>51</v>
      </c>
      <c r="F60" s="24"/>
      <c r="G60" s="24"/>
      <c r="H60" s="24"/>
      <c r="I60" s="24"/>
      <c r="J60" s="24"/>
      <c r="K60" s="24" t="s">
        <v>342</v>
      </c>
      <c r="L60" s="14"/>
      <c r="M60" s="26" t="str">
        <f t="shared" si="0"/>
        <v>column(56) : preferred</v>
      </c>
      <c r="N60" s="27" t="s">
        <v>54</v>
      </c>
      <c r="O60" s="27" t="s">
        <v>54</v>
      </c>
      <c r="P60" s="31" t="s">
        <v>287</v>
      </c>
      <c r="Q60" s="31" t="s">
        <v>343</v>
      </c>
      <c r="R60" s="30" t="s">
        <v>40</v>
      </c>
      <c r="S60" s="30" t="s">
        <v>1</v>
      </c>
      <c r="T60" s="30" t="s">
        <v>339</v>
      </c>
      <c r="U60" s="30"/>
    </row>
    <row r="61" spans="1:21" ht="72.75">
      <c r="A61" s="23" t="s">
        <v>344</v>
      </c>
      <c r="B61" s="24" t="s">
        <v>345</v>
      </c>
      <c r="C61" s="24" t="s">
        <v>124</v>
      </c>
      <c r="D61" s="24" t="s">
        <v>346</v>
      </c>
      <c r="E61" s="25" t="s">
        <v>51</v>
      </c>
      <c r="F61" s="24"/>
      <c r="G61" s="24"/>
      <c r="H61" s="24"/>
      <c r="I61" s="24"/>
      <c r="J61" s="24"/>
      <c r="K61" s="24"/>
      <c r="L61" s="14"/>
      <c r="M61" s="26" t="str">
        <f t="shared" si="0"/>
        <v>column(57) : saving_sum_assure</v>
      </c>
      <c r="N61" s="27" t="s">
        <v>54</v>
      </c>
      <c r="O61" s="27" t="s">
        <v>54</v>
      </c>
      <c r="P61" s="31" t="s">
        <v>87</v>
      </c>
      <c r="Q61" s="31" t="s">
        <v>299</v>
      </c>
      <c r="R61" s="30" t="s">
        <v>40</v>
      </c>
      <c r="S61" s="30" t="s">
        <v>1</v>
      </c>
      <c r="T61" s="30" t="s">
        <v>347</v>
      </c>
      <c r="U61" s="30"/>
    </row>
    <row r="62" spans="1:21" ht="72.75">
      <c r="A62" s="23" t="s">
        <v>348</v>
      </c>
      <c r="B62" s="24" t="s">
        <v>349</v>
      </c>
      <c r="C62" s="24" t="s">
        <v>269</v>
      </c>
      <c r="D62" s="24" t="s">
        <v>350</v>
      </c>
      <c r="E62" s="25" t="s">
        <v>51</v>
      </c>
      <c r="F62" s="24"/>
      <c r="G62" s="24"/>
      <c r="H62" s="24"/>
      <c r="I62" s="24"/>
      <c r="J62" s="24"/>
      <c r="K62" s="24"/>
      <c r="L62" s="14"/>
      <c r="M62" s="26" t="str">
        <f t="shared" si="0"/>
        <v>column(58) : saving_premium</v>
      </c>
      <c r="N62" s="27" t="s">
        <v>54</v>
      </c>
      <c r="O62" s="27" t="s">
        <v>54</v>
      </c>
      <c r="P62" s="31" t="s">
        <v>87</v>
      </c>
      <c r="Q62" s="31" t="s">
        <v>299</v>
      </c>
      <c r="R62" s="30" t="s">
        <v>40</v>
      </c>
      <c r="S62" s="30" t="s">
        <v>1</v>
      </c>
      <c r="T62" s="30" t="s">
        <v>351</v>
      </c>
      <c r="U62" s="30"/>
    </row>
    <row r="63" spans="1:21" ht="117">
      <c r="A63" s="23" t="s">
        <v>352</v>
      </c>
      <c r="B63" s="24" t="s">
        <v>353</v>
      </c>
      <c r="C63" s="24" t="s">
        <v>158</v>
      </c>
      <c r="D63" s="24" t="s">
        <v>354</v>
      </c>
      <c r="E63" s="25" t="s">
        <v>32</v>
      </c>
      <c r="F63" s="24"/>
      <c r="G63" s="24"/>
      <c r="H63" s="24"/>
      <c r="I63" s="24"/>
      <c r="J63" s="24" t="s">
        <v>355</v>
      </c>
      <c r="K63" s="24"/>
      <c r="L63" s="14"/>
      <c r="M63" s="26" t="str">
        <f t="shared" si="0"/>
        <v>column(59) : topup_type</v>
      </c>
      <c r="N63" s="27" t="s">
        <v>54</v>
      </c>
      <c r="O63" s="27" t="s">
        <v>54</v>
      </c>
      <c r="P63" s="31" t="s">
        <v>72</v>
      </c>
      <c r="Q63" s="31" t="s">
        <v>189</v>
      </c>
      <c r="R63" s="30" t="s">
        <v>40</v>
      </c>
      <c r="S63" s="30" t="s">
        <v>1</v>
      </c>
      <c r="T63" s="30" t="s">
        <v>356</v>
      </c>
      <c r="U63" s="30"/>
    </row>
    <row r="64" spans="1:21" ht="117">
      <c r="A64" s="23" t="s">
        <v>357</v>
      </c>
      <c r="B64" s="45" t="s">
        <v>358</v>
      </c>
      <c r="C64" s="24" t="s">
        <v>269</v>
      </c>
      <c r="D64" s="24" t="s">
        <v>359</v>
      </c>
      <c r="E64" s="25" t="s">
        <v>51</v>
      </c>
      <c r="F64" s="24"/>
      <c r="G64" s="24"/>
      <c r="H64" s="24"/>
      <c r="I64" s="24"/>
      <c r="J64" s="24"/>
      <c r="K64" s="24"/>
      <c r="L64" s="14"/>
      <c r="M64" s="26" t="str">
        <f t="shared" si="0"/>
        <v>column(60) : topup_premium</v>
      </c>
      <c r="N64" s="27" t="s">
        <v>54</v>
      </c>
      <c r="O64" s="27" t="s">
        <v>54</v>
      </c>
      <c r="P64" s="31" t="s">
        <v>72</v>
      </c>
      <c r="Q64" s="31" t="s">
        <v>189</v>
      </c>
      <c r="R64" s="30" t="s">
        <v>40</v>
      </c>
      <c r="S64" s="30" t="s">
        <v>1</v>
      </c>
      <c r="T64" s="30" t="s">
        <v>360</v>
      </c>
      <c r="U64" s="30"/>
    </row>
    <row r="65" spans="1:21" ht="132.75">
      <c r="A65" s="23" t="s">
        <v>361</v>
      </c>
      <c r="B65" s="45" t="s">
        <v>362</v>
      </c>
      <c r="C65" s="24" t="s">
        <v>269</v>
      </c>
      <c r="D65" s="24" t="s">
        <v>363</v>
      </c>
      <c r="E65" s="25" t="s">
        <v>32</v>
      </c>
      <c r="F65" s="24"/>
      <c r="G65" s="24"/>
      <c r="H65" s="24"/>
      <c r="I65" s="24"/>
      <c r="J65" s="24"/>
      <c r="K65" s="24"/>
      <c r="L65" s="14"/>
      <c r="M65" s="26" t="str">
        <f t="shared" si="0"/>
        <v>column(61) : total_premium</v>
      </c>
      <c r="N65" s="27" t="s">
        <v>54</v>
      </c>
      <c r="O65" s="27" t="s">
        <v>54</v>
      </c>
      <c r="P65" s="31" t="s">
        <v>72</v>
      </c>
      <c r="Q65" s="31" t="s">
        <v>364</v>
      </c>
      <c r="R65" s="30" t="s">
        <v>40</v>
      </c>
      <c r="S65" s="30" t="s">
        <v>1</v>
      </c>
      <c r="T65" s="30" t="s">
        <v>365</v>
      </c>
      <c r="U65" s="30"/>
    </row>
    <row r="66" spans="1:21" ht="194.25">
      <c r="A66" s="23" t="s">
        <v>366</v>
      </c>
      <c r="B66" s="24" t="s">
        <v>367</v>
      </c>
      <c r="C66" s="24" t="s">
        <v>67</v>
      </c>
      <c r="D66" s="24" t="s">
        <v>368</v>
      </c>
      <c r="E66" s="24"/>
      <c r="F66" s="24"/>
      <c r="G66" s="24"/>
      <c r="H66" s="24"/>
      <c r="I66" s="24"/>
      <c r="J66" s="24" t="s">
        <v>369</v>
      </c>
      <c r="K66" s="24" t="s">
        <v>370</v>
      </c>
      <c r="L66" s="14"/>
      <c r="M66" s="26" t="str">
        <f t="shared" si="0"/>
        <v>column(62) : tax_deduction_type</v>
      </c>
      <c r="N66" s="27" t="s">
        <v>54</v>
      </c>
      <c r="O66" s="27" t="s">
        <v>54</v>
      </c>
      <c r="P66" s="31" t="s">
        <v>72</v>
      </c>
      <c r="Q66" s="31" t="s">
        <v>371</v>
      </c>
      <c r="R66" s="30"/>
      <c r="S66" s="30" t="s">
        <v>102</v>
      </c>
      <c r="T66" s="30"/>
      <c r="U66" s="30"/>
    </row>
    <row r="67" spans="1:21" ht="36">
      <c r="A67" s="23" t="s">
        <v>372</v>
      </c>
      <c r="B67" s="24" t="s">
        <v>373</v>
      </c>
      <c r="C67" s="24" t="s">
        <v>269</v>
      </c>
      <c r="D67" s="24" t="s">
        <v>374</v>
      </c>
      <c r="E67" s="25" t="s">
        <v>51</v>
      </c>
      <c r="F67" s="24"/>
      <c r="G67" s="24"/>
      <c r="H67" s="24"/>
      <c r="I67" s="24"/>
      <c r="J67" s="24"/>
      <c r="K67" s="24"/>
      <c r="L67" s="14"/>
      <c r="M67" s="26" t="str">
        <f t="shared" si="0"/>
        <v>column(63) : tax</v>
      </c>
      <c r="N67" s="27"/>
      <c r="O67" s="27"/>
      <c r="P67" s="27"/>
      <c r="Q67" s="27"/>
      <c r="R67" s="30" t="s">
        <v>40</v>
      </c>
      <c r="S67" s="30" t="s">
        <v>1</v>
      </c>
      <c r="T67" s="30" t="s">
        <v>373</v>
      </c>
      <c r="U67" s="30"/>
    </row>
    <row r="68" spans="1:21" ht="88.5">
      <c r="A68" s="23" t="s">
        <v>375</v>
      </c>
      <c r="B68" s="48" t="s">
        <v>376</v>
      </c>
      <c r="C68" s="24" t="s">
        <v>158</v>
      </c>
      <c r="D68" s="24" t="s">
        <v>377</v>
      </c>
      <c r="E68" s="25" t="s">
        <v>51</v>
      </c>
      <c r="F68" s="24"/>
      <c r="G68" s="24"/>
      <c r="H68" s="24"/>
      <c r="I68" s="24"/>
      <c r="J68" s="24" t="s">
        <v>378</v>
      </c>
      <c r="K68" s="24"/>
      <c r="L68" s="14"/>
      <c r="M68" s="26" t="str">
        <f t="shared" si="0"/>
        <v>column(64) : discount_type</v>
      </c>
      <c r="N68" s="27" t="s">
        <v>54</v>
      </c>
      <c r="O68" s="27" t="s">
        <v>54</v>
      </c>
      <c r="P68" s="31" t="s">
        <v>72</v>
      </c>
      <c r="Q68" s="31" t="s">
        <v>101</v>
      </c>
      <c r="R68" s="30" t="s">
        <v>40</v>
      </c>
      <c r="S68" s="30" t="s">
        <v>1</v>
      </c>
      <c r="T68" s="30" t="s">
        <v>379</v>
      </c>
      <c r="U68" s="30"/>
    </row>
    <row r="69" spans="1:21" ht="117">
      <c r="A69" s="23" t="s">
        <v>380</v>
      </c>
      <c r="B69" s="48" t="s">
        <v>381</v>
      </c>
      <c r="C69" s="24" t="s">
        <v>269</v>
      </c>
      <c r="D69" s="24" t="s">
        <v>382</v>
      </c>
      <c r="E69" s="25" t="s">
        <v>51</v>
      </c>
      <c r="F69" s="24"/>
      <c r="G69" s="24"/>
      <c r="H69" s="24"/>
      <c r="I69" s="24"/>
      <c r="J69" s="24"/>
      <c r="K69" s="24"/>
      <c r="L69" s="49"/>
      <c r="M69" s="26" t="str">
        <f t="shared" si="0"/>
        <v>column(65) : first_discount</v>
      </c>
      <c r="N69" s="27" t="s">
        <v>54</v>
      </c>
      <c r="O69" s="27" t="s">
        <v>54</v>
      </c>
      <c r="P69" s="31" t="s">
        <v>72</v>
      </c>
      <c r="Q69" s="31" t="s">
        <v>109</v>
      </c>
      <c r="R69" s="30" t="s">
        <v>40</v>
      </c>
      <c r="S69" s="30" t="s">
        <v>1</v>
      </c>
      <c r="T69" s="30" t="s">
        <v>383</v>
      </c>
      <c r="U69" s="30"/>
    </row>
    <row r="70" spans="1:21" ht="102.75">
      <c r="A70" s="23" t="s">
        <v>384</v>
      </c>
      <c r="B70" s="48" t="s">
        <v>385</v>
      </c>
      <c r="C70" s="24" t="s">
        <v>269</v>
      </c>
      <c r="D70" s="24" t="s">
        <v>386</v>
      </c>
      <c r="E70" s="25" t="s">
        <v>51</v>
      </c>
      <c r="F70" s="24"/>
      <c r="G70" s="24"/>
      <c r="H70" s="24"/>
      <c r="I70" s="24"/>
      <c r="J70" s="24"/>
      <c r="K70" s="24"/>
      <c r="L70" s="49"/>
      <c r="M70" s="26" t="str">
        <f t="shared" ref="M70:M96" si="1">IF(E70 = "PK", CONCATENATE("primary_key(",A70,") : ", B70), IF(E70 = "FK", CONCATENATE("foreign_key(",A70,") : ", B70),CONCATENATE("column(",A70,") : ", B70)) )</f>
        <v>column(66) : special_discount</v>
      </c>
      <c r="N70" s="27" t="s">
        <v>54</v>
      </c>
      <c r="O70" s="27" t="s">
        <v>54</v>
      </c>
      <c r="P70" s="31" t="s">
        <v>287</v>
      </c>
      <c r="Q70" s="31" t="s">
        <v>288</v>
      </c>
      <c r="R70" s="30" t="s">
        <v>40</v>
      </c>
      <c r="S70" s="30" t="s">
        <v>1</v>
      </c>
      <c r="T70" s="30" t="s">
        <v>387</v>
      </c>
      <c r="U70" s="30"/>
    </row>
    <row r="71" spans="1:21" ht="72.75">
      <c r="A71" s="23" t="s">
        <v>388</v>
      </c>
      <c r="B71" s="48" t="s">
        <v>389</v>
      </c>
      <c r="C71" s="24" t="s">
        <v>269</v>
      </c>
      <c r="D71" s="24" t="s">
        <v>390</v>
      </c>
      <c r="E71" s="25" t="s">
        <v>51</v>
      </c>
      <c r="F71" s="24"/>
      <c r="G71" s="24"/>
      <c r="H71" s="24"/>
      <c r="I71" s="24"/>
      <c r="J71" s="24"/>
      <c r="K71" s="24"/>
      <c r="L71" s="49"/>
      <c r="M71" s="26" t="str">
        <f t="shared" si="1"/>
        <v>column(67) : premium_discount</v>
      </c>
      <c r="N71" s="27" t="s">
        <v>54</v>
      </c>
      <c r="O71" s="27" t="s">
        <v>54</v>
      </c>
      <c r="P71" s="31" t="s">
        <v>87</v>
      </c>
      <c r="Q71" s="31" t="s">
        <v>299</v>
      </c>
      <c r="R71" s="30" t="s">
        <v>40</v>
      </c>
      <c r="S71" s="30" t="s">
        <v>1</v>
      </c>
      <c r="T71" s="30" t="s">
        <v>391</v>
      </c>
      <c r="U71" s="30"/>
    </row>
    <row r="72" spans="1:21" ht="117">
      <c r="A72" s="23" t="s">
        <v>392</v>
      </c>
      <c r="B72" s="48" t="s">
        <v>393</v>
      </c>
      <c r="C72" s="24" t="s">
        <v>269</v>
      </c>
      <c r="D72" s="24" t="s">
        <v>394</v>
      </c>
      <c r="E72" s="25" t="s">
        <v>32</v>
      </c>
      <c r="F72" s="24"/>
      <c r="G72" s="24"/>
      <c r="H72" s="24"/>
      <c r="I72" s="24"/>
      <c r="J72" s="24"/>
      <c r="K72" s="24"/>
      <c r="L72" s="14"/>
      <c r="M72" s="26" t="str">
        <f t="shared" si="1"/>
        <v>column(68) : total_premium_after_discount</v>
      </c>
      <c r="N72" s="27" t="s">
        <v>54</v>
      </c>
      <c r="O72" s="27" t="s">
        <v>54</v>
      </c>
      <c r="P72" s="31" t="s">
        <v>72</v>
      </c>
      <c r="Q72" s="31" t="s">
        <v>109</v>
      </c>
      <c r="R72" s="30" t="s">
        <v>40</v>
      </c>
      <c r="S72" s="30" t="s">
        <v>1</v>
      </c>
      <c r="T72" s="30" t="s">
        <v>395</v>
      </c>
      <c r="U72" s="30"/>
    </row>
    <row r="73" spans="1:21" ht="36">
      <c r="A73" s="23" t="s">
        <v>396</v>
      </c>
      <c r="B73" s="24" t="s">
        <v>397</v>
      </c>
      <c r="C73" s="24" t="s">
        <v>158</v>
      </c>
      <c r="D73" s="24" t="s">
        <v>398</v>
      </c>
      <c r="E73" s="25" t="s">
        <v>51</v>
      </c>
      <c r="F73" s="24"/>
      <c r="G73" s="24"/>
      <c r="H73" s="24"/>
      <c r="I73" s="24"/>
      <c r="J73" s="24"/>
      <c r="K73" s="24"/>
      <c r="L73" s="14"/>
      <c r="M73" s="26" t="str">
        <f t="shared" si="1"/>
        <v>column(69) : bank_code</v>
      </c>
      <c r="N73" s="27"/>
      <c r="O73" s="27"/>
      <c r="P73" s="27"/>
      <c r="Q73" s="27"/>
      <c r="R73" s="30" t="s">
        <v>40</v>
      </c>
      <c r="S73" s="30" t="s">
        <v>1</v>
      </c>
      <c r="T73" s="30" t="s">
        <v>399</v>
      </c>
      <c r="U73" s="30"/>
    </row>
    <row r="74" spans="1:21" ht="117">
      <c r="A74" s="23" t="s">
        <v>400</v>
      </c>
      <c r="B74" s="24" t="s">
        <v>401</v>
      </c>
      <c r="C74" s="24" t="s">
        <v>158</v>
      </c>
      <c r="D74" s="24" t="s">
        <v>402</v>
      </c>
      <c r="E74" s="25" t="s">
        <v>51</v>
      </c>
      <c r="F74" s="24"/>
      <c r="G74" s="24"/>
      <c r="H74" s="24"/>
      <c r="I74" s="24"/>
      <c r="J74" s="24"/>
      <c r="K74" s="24"/>
      <c r="L74" s="49" t="s">
        <v>403</v>
      </c>
      <c r="M74" s="26" t="str">
        <f t="shared" si="1"/>
        <v>column(70) : status_odd</v>
      </c>
      <c r="N74" s="27" t="s">
        <v>54</v>
      </c>
      <c r="O74" s="27" t="s">
        <v>54</v>
      </c>
      <c r="P74" s="31" t="s">
        <v>404</v>
      </c>
      <c r="Q74" s="27" t="s">
        <v>405</v>
      </c>
      <c r="R74" s="30" t="s">
        <v>40</v>
      </c>
      <c r="S74" s="30" t="s">
        <v>1</v>
      </c>
      <c r="T74" s="30" t="s">
        <v>406</v>
      </c>
      <c r="U74" s="30"/>
    </row>
    <row r="75" spans="1:21" ht="88.5">
      <c r="A75" s="23" t="s">
        <v>407</v>
      </c>
      <c r="B75" s="24" t="s">
        <v>408</v>
      </c>
      <c r="C75" s="24" t="s">
        <v>158</v>
      </c>
      <c r="D75" s="24" t="s">
        <v>409</v>
      </c>
      <c r="E75" s="25" t="s">
        <v>51</v>
      </c>
      <c r="F75" s="24"/>
      <c r="G75" s="24"/>
      <c r="H75" s="24"/>
      <c r="I75" s="24"/>
      <c r="J75" s="24" t="s">
        <v>410</v>
      </c>
      <c r="K75" s="24" t="s">
        <v>411</v>
      </c>
      <c r="L75" s="14"/>
      <c r="M75" s="26" t="str">
        <f t="shared" si="1"/>
        <v>column(71) : check_occ_te16</v>
      </c>
      <c r="N75" s="27" t="s">
        <v>54</v>
      </c>
      <c r="O75" s="27" t="s">
        <v>54</v>
      </c>
      <c r="P75" s="31" t="s">
        <v>72</v>
      </c>
      <c r="Q75" s="31" t="s">
        <v>101</v>
      </c>
      <c r="R75" s="30" t="s">
        <v>40</v>
      </c>
      <c r="S75" s="30" t="s">
        <v>1</v>
      </c>
      <c r="T75" s="30" t="s">
        <v>412</v>
      </c>
      <c r="U75" s="30"/>
    </row>
    <row r="76" spans="1:21" ht="58.5">
      <c r="A76" s="23" t="s">
        <v>413</v>
      </c>
      <c r="B76" s="24" t="s">
        <v>414</v>
      </c>
      <c r="C76" s="24" t="s">
        <v>130</v>
      </c>
      <c r="D76" s="24" t="s">
        <v>415</v>
      </c>
      <c r="E76" s="25" t="s">
        <v>51</v>
      </c>
      <c r="F76" s="24"/>
      <c r="G76" s="24"/>
      <c r="H76" s="24"/>
      <c r="I76" s="24"/>
      <c r="J76" s="24"/>
      <c r="K76" s="24"/>
      <c r="L76" s="14"/>
      <c r="M76" s="26" t="str">
        <f t="shared" si="1"/>
        <v>column(72) : gen_reference_date</v>
      </c>
      <c r="N76" s="27" t="s">
        <v>54</v>
      </c>
      <c r="O76" s="27" t="s">
        <v>54</v>
      </c>
      <c r="P76" s="31" t="s">
        <v>416</v>
      </c>
      <c r="Q76" s="31" t="s">
        <v>417</v>
      </c>
      <c r="R76" s="30" t="s">
        <v>40</v>
      </c>
      <c r="S76" s="30" t="s">
        <v>1</v>
      </c>
      <c r="T76" s="30" t="s">
        <v>418</v>
      </c>
      <c r="U76" s="30"/>
    </row>
    <row r="77" spans="1:21" ht="117">
      <c r="A77" s="23" t="s">
        <v>419</v>
      </c>
      <c r="B77" s="24" t="s">
        <v>420</v>
      </c>
      <c r="C77" s="24" t="s">
        <v>158</v>
      </c>
      <c r="D77" s="24" t="s">
        <v>421</v>
      </c>
      <c r="E77" s="25" t="s">
        <v>32</v>
      </c>
      <c r="F77" s="24"/>
      <c r="G77" s="24"/>
      <c r="H77" s="24"/>
      <c r="I77" s="24" t="s">
        <v>422</v>
      </c>
      <c r="J77" s="24" t="s">
        <v>423</v>
      </c>
      <c r="K77" s="24" t="s">
        <v>424</v>
      </c>
      <c r="L77" s="49" t="s">
        <v>425</v>
      </c>
      <c r="M77" s="26" t="str">
        <f t="shared" si="1"/>
        <v>column(73) : publish_status</v>
      </c>
      <c r="N77" s="27" t="s">
        <v>54</v>
      </c>
      <c r="O77" s="27" t="s">
        <v>54</v>
      </c>
      <c r="P77" s="31" t="s">
        <v>426</v>
      </c>
      <c r="Q77" s="31" t="s">
        <v>427</v>
      </c>
      <c r="R77" s="30" t="s">
        <v>40</v>
      </c>
      <c r="S77" s="30" t="s">
        <v>1</v>
      </c>
      <c r="T77" s="30" t="s">
        <v>428</v>
      </c>
      <c r="U77" s="30"/>
    </row>
    <row r="78" spans="1:21" ht="36">
      <c r="A78" s="23" t="s">
        <v>429</v>
      </c>
      <c r="B78" s="24" t="s">
        <v>430</v>
      </c>
      <c r="C78" s="24" t="s">
        <v>158</v>
      </c>
      <c r="D78" s="24" t="s">
        <v>431</v>
      </c>
      <c r="E78" s="25" t="s">
        <v>51</v>
      </c>
      <c r="F78" s="24"/>
      <c r="G78" s="24"/>
      <c r="H78" s="24"/>
      <c r="I78" s="24"/>
      <c r="J78" s="24"/>
      <c r="K78" s="24"/>
      <c r="L78" s="49" t="s">
        <v>425</v>
      </c>
      <c r="M78" s="26" t="str">
        <f t="shared" si="1"/>
        <v>column(74) : submit_core_status</v>
      </c>
      <c r="N78" s="27"/>
      <c r="O78" s="27"/>
      <c r="P78" s="27"/>
      <c r="Q78" s="27"/>
      <c r="R78" s="30" t="s">
        <v>40</v>
      </c>
      <c r="S78" s="30" t="s">
        <v>1</v>
      </c>
      <c r="T78" s="30" t="s">
        <v>432</v>
      </c>
      <c r="U78" s="30"/>
    </row>
    <row r="79" spans="1:21" ht="36">
      <c r="A79" s="23" t="s">
        <v>433</v>
      </c>
      <c r="B79" s="24" t="s">
        <v>434</v>
      </c>
      <c r="C79" s="24" t="s">
        <v>158</v>
      </c>
      <c r="D79" s="24" t="s">
        <v>435</v>
      </c>
      <c r="E79" s="25" t="s">
        <v>51</v>
      </c>
      <c r="F79" s="24"/>
      <c r="G79" s="24"/>
      <c r="H79" s="24"/>
      <c r="I79" s="24"/>
      <c r="J79" s="24"/>
      <c r="K79" s="24"/>
      <c r="L79" s="14"/>
      <c r="M79" s="26" t="str">
        <f t="shared" si="1"/>
        <v>column(75) : transfer_status</v>
      </c>
      <c r="N79" s="27"/>
      <c r="O79" s="27"/>
      <c r="P79" s="27"/>
      <c r="Q79" s="27"/>
      <c r="R79" s="30" t="s">
        <v>40</v>
      </c>
      <c r="S79" s="30" t="s">
        <v>1</v>
      </c>
      <c r="T79" s="30" t="s">
        <v>436</v>
      </c>
      <c r="U79" s="30"/>
    </row>
    <row r="80" spans="1:21" ht="117">
      <c r="A80" s="23" t="s">
        <v>437</v>
      </c>
      <c r="B80" s="24" t="s">
        <v>438</v>
      </c>
      <c r="C80" s="24" t="s">
        <v>158</v>
      </c>
      <c r="D80" s="24" t="s">
        <v>439</v>
      </c>
      <c r="E80" s="25" t="s">
        <v>51</v>
      </c>
      <c r="F80" s="24"/>
      <c r="G80" s="24"/>
      <c r="H80" s="24"/>
      <c r="I80" s="24"/>
      <c r="J80" s="24"/>
      <c r="K80" s="24" t="s">
        <v>440</v>
      </c>
      <c r="L80" s="14"/>
      <c r="M80" s="26" t="str">
        <f t="shared" si="1"/>
        <v>column(76) : strid</v>
      </c>
      <c r="N80" s="27" t="s">
        <v>54</v>
      </c>
      <c r="O80" s="27" t="s">
        <v>54</v>
      </c>
      <c r="P80" s="31" t="s">
        <v>404</v>
      </c>
      <c r="Q80" s="31" t="s">
        <v>441</v>
      </c>
      <c r="R80" s="30" t="s">
        <v>40</v>
      </c>
      <c r="S80" s="30" t="s">
        <v>1</v>
      </c>
      <c r="T80" s="30" t="s">
        <v>438</v>
      </c>
      <c r="U80" s="30"/>
    </row>
    <row r="81" spans="1:21" ht="409.6">
      <c r="A81" s="23" t="s">
        <v>442</v>
      </c>
      <c r="B81" s="24" t="s">
        <v>443</v>
      </c>
      <c r="C81" s="24" t="s">
        <v>149</v>
      </c>
      <c r="D81" s="24" t="s">
        <v>444</v>
      </c>
      <c r="E81" s="25" t="s">
        <v>32</v>
      </c>
      <c r="F81" s="24"/>
      <c r="G81" s="24"/>
      <c r="H81" s="24"/>
      <c r="I81" s="24" t="s">
        <v>445</v>
      </c>
      <c r="J81" s="24" t="s">
        <v>446</v>
      </c>
      <c r="K81" s="24" t="s">
        <v>447</v>
      </c>
      <c r="L81" s="14"/>
      <c r="M81" s="26" t="str">
        <f t="shared" si="1"/>
        <v>column(77) : status</v>
      </c>
      <c r="N81" s="27" t="s">
        <v>54</v>
      </c>
      <c r="O81" s="27" t="s">
        <v>54</v>
      </c>
      <c r="P81" s="31" t="s">
        <v>448</v>
      </c>
      <c r="Q81" s="31" t="s">
        <v>449</v>
      </c>
      <c r="R81" s="30" t="s">
        <v>40</v>
      </c>
      <c r="S81" s="30" t="s">
        <v>1</v>
      </c>
      <c r="T81" s="30" t="s">
        <v>443</v>
      </c>
      <c r="U81" s="30"/>
    </row>
    <row r="82" spans="1:21" ht="53.25">
      <c r="A82" s="23" t="s">
        <v>450</v>
      </c>
      <c r="B82" s="24" t="s">
        <v>451</v>
      </c>
      <c r="C82" s="24" t="s">
        <v>149</v>
      </c>
      <c r="D82" s="24" t="s">
        <v>452</v>
      </c>
      <c r="E82" s="25" t="s">
        <v>51</v>
      </c>
      <c r="F82" s="24"/>
      <c r="G82" s="24"/>
      <c r="H82" s="24"/>
      <c r="I82" s="24" t="s">
        <v>453</v>
      </c>
      <c r="J82" s="24" t="s">
        <v>454</v>
      </c>
      <c r="K82" s="24" t="s">
        <v>455</v>
      </c>
      <c r="L82" s="14"/>
      <c r="M82" s="26" t="str">
        <f t="shared" si="1"/>
        <v>column(78) : submit_reference_no_status</v>
      </c>
      <c r="N82" s="27"/>
      <c r="O82" s="27"/>
      <c r="P82" s="27"/>
      <c r="Q82" s="27"/>
      <c r="R82" s="30"/>
      <c r="S82" s="30" t="s">
        <v>102</v>
      </c>
      <c r="T82" s="30"/>
      <c r="U82" s="30"/>
    </row>
    <row r="83" spans="1:21" ht="88.5">
      <c r="A83" s="23" t="s">
        <v>456</v>
      </c>
      <c r="B83" s="24" t="s">
        <v>457</v>
      </c>
      <c r="C83" s="24" t="s">
        <v>149</v>
      </c>
      <c r="D83" s="24" t="s">
        <v>458</v>
      </c>
      <c r="E83" s="25" t="s">
        <v>51</v>
      </c>
      <c r="F83" s="24"/>
      <c r="G83" s="24"/>
      <c r="H83" s="24"/>
      <c r="I83" s="24" t="s">
        <v>453</v>
      </c>
      <c r="J83" s="24" t="s">
        <v>459</v>
      </c>
      <c r="K83" s="24" t="s">
        <v>460</v>
      </c>
      <c r="L83" s="14"/>
      <c r="M83" s="26" t="str">
        <f t="shared" si="1"/>
        <v>column(79) : queue_status</v>
      </c>
      <c r="N83" s="27" t="s">
        <v>54</v>
      </c>
      <c r="O83" s="27" t="s">
        <v>54</v>
      </c>
      <c r="P83" s="31" t="s">
        <v>461</v>
      </c>
      <c r="Q83" s="31" t="s">
        <v>462</v>
      </c>
      <c r="R83" s="30"/>
      <c r="S83" s="30" t="s">
        <v>102</v>
      </c>
      <c r="T83" s="30"/>
      <c r="U83" s="30"/>
    </row>
    <row r="84" spans="1:21" ht="87.75">
      <c r="A84" s="23" t="s">
        <v>463</v>
      </c>
      <c r="B84" s="24" t="s">
        <v>464</v>
      </c>
      <c r="C84" s="24" t="s">
        <v>149</v>
      </c>
      <c r="D84" s="24" t="s">
        <v>465</v>
      </c>
      <c r="E84" s="25" t="s">
        <v>51</v>
      </c>
      <c r="F84" s="24"/>
      <c r="G84" s="24"/>
      <c r="H84" s="24"/>
      <c r="I84" s="24" t="s">
        <v>453</v>
      </c>
      <c r="J84" s="24" t="s">
        <v>459</v>
      </c>
      <c r="K84" s="24" t="s">
        <v>460</v>
      </c>
      <c r="L84" s="14"/>
      <c r="M84" s="26" t="str">
        <f t="shared" si="1"/>
        <v>column(80) : e_sign_status</v>
      </c>
      <c r="N84" s="27" t="s">
        <v>54</v>
      </c>
      <c r="O84" s="27" t="s">
        <v>54</v>
      </c>
      <c r="P84" s="31" t="s">
        <v>240</v>
      </c>
      <c r="Q84" s="31" t="s">
        <v>466</v>
      </c>
      <c r="R84" s="30"/>
      <c r="S84" s="30" t="s">
        <v>102</v>
      </c>
      <c r="T84" s="30"/>
      <c r="U84" s="30"/>
    </row>
    <row r="85" spans="1:21" ht="53.25">
      <c r="A85" s="23" t="s">
        <v>467</v>
      </c>
      <c r="B85" s="24" t="s">
        <v>468</v>
      </c>
      <c r="C85" s="24" t="s">
        <v>322</v>
      </c>
      <c r="D85" s="24" t="s">
        <v>469</v>
      </c>
      <c r="E85" s="25" t="s">
        <v>51</v>
      </c>
      <c r="F85" s="24"/>
      <c r="G85" s="24"/>
      <c r="H85" s="24"/>
      <c r="I85" s="24" t="s">
        <v>470</v>
      </c>
      <c r="J85" s="24" t="s">
        <v>324</v>
      </c>
      <c r="K85" s="24"/>
      <c r="L85" s="14"/>
      <c r="M85" s="26" t="str">
        <f t="shared" si="1"/>
        <v>column(81) : is_include_life_planning</v>
      </c>
      <c r="N85" s="27"/>
      <c r="O85" s="27"/>
      <c r="P85" s="27"/>
      <c r="Q85" s="27"/>
      <c r="R85" s="30"/>
      <c r="S85" s="30" t="s">
        <v>102</v>
      </c>
      <c r="T85" s="30"/>
      <c r="U85" s="30"/>
    </row>
    <row r="86" spans="1:21" ht="33">
      <c r="A86" s="23" t="s">
        <v>471</v>
      </c>
      <c r="B86" s="24" t="s">
        <v>472</v>
      </c>
      <c r="C86" s="24" t="s">
        <v>124</v>
      </c>
      <c r="D86" s="24" t="s">
        <v>473</v>
      </c>
      <c r="E86" s="25" t="s">
        <v>51</v>
      </c>
      <c r="F86" s="24"/>
      <c r="G86" s="24"/>
      <c r="H86" s="24"/>
      <c r="I86" s="24" t="s">
        <v>474</v>
      </c>
      <c r="J86" s="24"/>
      <c r="K86" s="24"/>
      <c r="L86" s="14"/>
      <c r="M86" s="26" t="str">
        <f t="shared" si="1"/>
        <v>column(82) : life_planning_id</v>
      </c>
      <c r="N86" s="27"/>
      <c r="O86" s="27"/>
      <c r="P86" s="27"/>
      <c r="Q86" s="27"/>
      <c r="R86" s="30"/>
      <c r="S86" s="30" t="s">
        <v>102</v>
      </c>
      <c r="T86" s="30"/>
      <c r="U86" s="30"/>
    </row>
    <row r="87" spans="1:21" ht="58.5">
      <c r="A87" s="23" t="s">
        <v>475</v>
      </c>
      <c r="B87" s="50" t="s">
        <v>476</v>
      </c>
      <c r="C87" s="50" t="s">
        <v>477</v>
      </c>
      <c r="D87" s="50" t="s">
        <v>478</v>
      </c>
      <c r="E87" s="51" t="s">
        <v>51</v>
      </c>
      <c r="F87" s="50"/>
      <c r="G87" s="50"/>
      <c r="H87" s="50"/>
      <c r="I87" s="50"/>
      <c r="J87" s="50" t="s">
        <v>479</v>
      </c>
      <c r="K87" s="46" t="s">
        <v>480</v>
      </c>
      <c r="L87" s="14"/>
      <c r="M87" s="26" t="str">
        <f t="shared" si="1"/>
        <v>column(83) : partial_withdraw_consent_flag</v>
      </c>
      <c r="N87" s="27" t="s">
        <v>54</v>
      </c>
      <c r="O87" s="27" t="s">
        <v>54</v>
      </c>
      <c r="P87" s="27" t="s">
        <v>481</v>
      </c>
      <c r="Q87" s="31" t="s">
        <v>482</v>
      </c>
      <c r="R87" s="30"/>
      <c r="S87" s="30" t="s">
        <v>102</v>
      </c>
      <c r="T87" s="30"/>
      <c r="U87" s="30"/>
    </row>
    <row r="88" spans="1:21" ht="33">
      <c r="A88" s="23" t="s">
        <v>483</v>
      </c>
      <c r="B88" s="52" t="s">
        <v>484</v>
      </c>
      <c r="C88" s="52" t="s">
        <v>124</v>
      </c>
      <c r="D88" s="52" t="s">
        <v>485</v>
      </c>
      <c r="E88" s="52" t="s">
        <v>86</v>
      </c>
      <c r="F88" s="52" t="s">
        <v>86</v>
      </c>
      <c r="G88" s="52" t="s">
        <v>86</v>
      </c>
      <c r="H88" s="52">
        <v>1</v>
      </c>
      <c r="I88" s="46"/>
      <c r="J88" s="46"/>
      <c r="K88" s="53"/>
      <c r="L88" s="14"/>
      <c r="M88" s="26" t="str">
        <f t="shared" si="1"/>
        <v>column(84) : submit_refno_attempt</v>
      </c>
      <c r="N88" s="27"/>
      <c r="O88" s="27"/>
      <c r="P88" s="27"/>
      <c r="Q88" s="27"/>
      <c r="R88" s="30"/>
      <c r="S88" s="30" t="s">
        <v>102</v>
      </c>
      <c r="T88" s="30"/>
      <c r="U88" s="30"/>
    </row>
    <row r="89" spans="1:21" ht="88.5">
      <c r="A89" s="23" t="s">
        <v>486</v>
      </c>
      <c r="B89" s="50" t="s">
        <v>487</v>
      </c>
      <c r="C89" s="50" t="s">
        <v>322</v>
      </c>
      <c r="D89" s="50" t="s">
        <v>488</v>
      </c>
      <c r="E89" s="50" t="s">
        <v>32</v>
      </c>
      <c r="F89" s="50" t="s">
        <v>86</v>
      </c>
      <c r="G89" s="50" t="s">
        <v>86</v>
      </c>
      <c r="H89" s="50" t="s">
        <v>86</v>
      </c>
      <c r="I89" s="50" t="b">
        <v>0</v>
      </c>
      <c r="J89" s="50"/>
      <c r="K89" s="50" t="s">
        <v>489</v>
      </c>
      <c r="L89" s="14"/>
      <c r="M89" s="26" t="str">
        <f t="shared" si="1"/>
        <v>column(85) : is_draft_edit</v>
      </c>
      <c r="N89" s="27" t="s">
        <v>54</v>
      </c>
      <c r="O89" s="27" t="s">
        <v>54</v>
      </c>
      <c r="P89" s="31" t="s">
        <v>490</v>
      </c>
      <c r="Q89" s="31" t="s">
        <v>491</v>
      </c>
      <c r="R89" s="30"/>
      <c r="S89" s="30" t="s">
        <v>102</v>
      </c>
      <c r="T89" s="30"/>
      <c r="U89" s="30"/>
    </row>
    <row r="90" spans="1:21" ht="102.75">
      <c r="A90" s="23" t="s">
        <v>492</v>
      </c>
      <c r="B90" s="50" t="s">
        <v>493</v>
      </c>
      <c r="C90" s="50" t="s">
        <v>322</v>
      </c>
      <c r="D90" s="50" t="s">
        <v>494</v>
      </c>
      <c r="E90" s="50" t="s">
        <v>51</v>
      </c>
      <c r="F90" s="50" t="s">
        <v>86</v>
      </c>
      <c r="G90" s="50" t="s">
        <v>86</v>
      </c>
      <c r="H90" s="50" t="s">
        <v>86</v>
      </c>
      <c r="I90" s="50" t="s">
        <v>86</v>
      </c>
      <c r="J90" s="50" t="s">
        <v>324</v>
      </c>
      <c r="K90" s="50" t="s">
        <v>495</v>
      </c>
      <c r="L90" s="14"/>
      <c r="M90" s="26" t="str">
        <f t="shared" si="1"/>
        <v>column(86) : is_example_benefit</v>
      </c>
      <c r="N90" s="27" t="s">
        <v>54</v>
      </c>
      <c r="O90" s="27" t="s">
        <v>54</v>
      </c>
      <c r="P90" s="31" t="s">
        <v>496</v>
      </c>
      <c r="Q90" s="31" t="s">
        <v>497</v>
      </c>
      <c r="R90" s="30"/>
      <c r="S90" s="30" t="s">
        <v>102</v>
      </c>
      <c r="T90" s="30"/>
      <c r="U90" s="30"/>
    </row>
    <row r="91" spans="1:21" ht="117">
      <c r="A91" s="23" t="s">
        <v>498</v>
      </c>
      <c r="B91" s="50" t="s">
        <v>499</v>
      </c>
      <c r="C91" s="50" t="s">
        <v>340</v>
      </c>
      <c r="D91" s="50" t="s">
        <v>500</v>
      </c>
      <c r="E91" s="50" t="s">
        <v>51</v>
      </c>
      <c r="F91" s="50" t="s">
        <v>86</v>
      </c>
      <c r="G91" s="50" t="s">
        <v>86</v>
      </c>
      <c r="H91" s="50" t="s">
        <v>86</v>
      </c>
      <c r="I91" s="50" t="s">
        <v>86</v>
      </c>
      <c r="J91" s="50" t="s">
        <v>479</v>
      </c>
      <c r="K91" s="50" t="s">
        <v>480</v>
      </c>
      <c r="L91" s="14"/>
      <c r="M91" s="26" t="str">
        <f t="shared" si="1"/>
        <v>column(87) : check_status_wn3</v>
      </c>
      <c r="N91" s="27" t="s">
        <v>54</v>
      </c>
      <c r="O91" s="27" t="s">
        <v>54</v>
      </c>
      <c r="P91" s="31" t="s">
        <v>72</v>
      </c>
      <c r="Q91" s="31" t="s">
        <v>109</v>
      </c>
      <c r="R91" s="30" t="s">
        <v>40</v>
      </c>
      <c r="S91" s="30" t="s">
        <v>1</v>
      </c>
      <c r="T91" s="30" t="s">
        <v>501</v>
      </c>
      <c r="U91" s="30"/>
    </row>
    <row r="92" spans="1:21" ht="70.5">
      <c r="A92" s="23" t="s">
        <v>502</v>
      </c>
      <c r="B92" s="54" t="s">
        <v>503</v>
      </c>
      <c r="C92" s="54" t="s">
        <v>504</v>
      </c>
      <c r="D92" s="54" t="s">
        <v>505</v>
      </c>
      <c r="E92" s="55" t="s">
        <v>32</v>
      </c>
      <c r="F92" s="54"/>
      <c r="G92" s="54"/>
      <c r="H92" s="54" t="s">
        <v>506</v>
      </c>
      <c r="I92" s="54"/>
      <c r="J92" s="54"/>
      <c r="K92" s="54" t="s">
        <v>507</v>
      </c>
      <c r="L92" s="14"/>
      <c r="M92" s="26" t="str">
        <f t="shared" si="1"/>
        <v>column(88) : last_update</v>
      </c>
      <c r="N92" s="27"/>
      <c r="O92" s="27"/>
      <c r="P92" s="27"/>
      <c r="Q92" s="27"/>
      <c r="R92" s="30"/>
      <c r="S92" s="30" t="s">
        <v>102</v>
      </c>
      <c r="T92" s="30"/>
      <c r="U92" s="30"/>
    </row>
    <row r="93" spans="1:21" ht="36">
      <c r="A93" s="23" t="s">
        <v>508</v>
      </c>
      <c r="B93" s="54" t="s">
        <v>509</v>
      </c>
      <c r="C93" s="54" t="s">
        <v>186</v>
      </c>
      <c r="D93" s="54" t="s">
        <v>510</v>
      </c>
      <c r="E93" s="55" t="s">
        <v>32</v>
      </c>
      <c r="F93" s="54"/>
      <c r="G93" s="54"/>
      <c r="H93" s="54" t="s">
        <v>511</v>
      </c>
      <c r="I93" s="54"/>
      <c r="J93" s="54"/>
      <c r="K93" s="54"/>
      <c r="L93" s="56"/>
      <c r="M93" s="26" t="str">
        <f t="shared" si="1"/>
        <v>column(89) : update_user_code</v>
      </c>
      <c r="N93" s="27"/>
      <c r="O93" s="27"/>
      <c r="P93" s="27"/>
      <c r="Q93" s="27"/>
      <c r="R93" s="30"/>
      <c r="S93" s="30" t="s">
        <v>102</v>
      </c>
      <c r="T93" s="30"/>
      <c r="U93" s="30"/>
    </row>
    <row r="94" spans="1:21" ht="53.25">
      <c r="A94" s="23" t="s">
        <v>512</v>
      </c>
      <c r="B94" s="54" t="s">
        <v>513</v>
      </c>
      <c r="C94" s="54" t="s">
        <v>504</v>
      </c>
      <c r="D94" s="54" t="s">
        <v>514</v>
      </c>
      <c r="E94" s="55" t="s">
        <v>51</v>
      </c>
      <c r="F94" s="54"/>
      <c r="G94" s="54"/>
      <c r="H94" s="54" t="s">
        <v>515</v>
      </c>
      <c r="I94" s="54"/>
      <c r="J94" s="54"/>
      <c r="K94" s="54" t="s">
        <v>516</v>
      </c>
      <c r="L94" s="14"/>
      <c r="M94" s="26" t="str">
        <f t="shared" si="1"/>
        <v>column(90) : delete_time</v>
      </c>
      <c r="N94" s="27"/>
      <c r="O94" s="27"/>
      <c r="P94" s="27"/>
      <c r="Q94" s="27"/>
      <c r="R94" s="30"/>
      <c r="S94" s="30" t="s">
        <v>102</v>
      </c>
      <c r="T94" s="30"/>
      <c r="U94" s="30"/>
    </row>
    <row r="95" spans="1:21" ht="36">
      <c r="A95" s="23" t="s">
        <v>517</v>
      </c>
      <c r="B95" s="54" t="s">
        <v>518</v>
      </c>
      <c r="C95" s="54" t="s">
        <v>186</v>
      </c>
      <c r="D95" s="54" t="s">
        <v>519</v>
      </c>
      <c r="E95" s="55" t="s">
        <v>51</v>
      </c>
      <c r="F95" s="54"/>
      <c r="G95" s="54"/>
      <c r="H95" s="54" t="s">
        <v>511</v>
      </c>
      <c r="I95" s="54"/>
      <c r="J95" s="54"/>
      <c r="K95" s="54"/>
      <c r="L95" s="14"/>
      <c r="M95" s="26" t="str">
        <f t="shared" si="1"/>
        <v>column(91) : delete_user_code</v>
      </c>
      <c r="N95" s="27"/>
      <c r="O95" s="27"/>
      <c r="P95" s="27"/>
      <c r="Q95" s="27"/>
      <c r="R95" s="30"/>
      <c r="S95" s="30" t="s">
        <v>102</v>
      </c>
      <c r="T95" s="30"/>
      <c r="U95" s="30"/>
    </row>
    <row r="96" spans="1:21">
      <c r="M96" s="26" t="str">
        <f t="shared" si="1"/>
        <v xml:space="preserve">column() : </v>
      </c>
      <c r="N96" s="9"/>
      <c r="O96" s="9"/>
      <c r="P96" s="9"/>
      <c r="Q96" s="9"/>
      <c r="R96" s="9"/>
      <c r="S96" s="9"/>
      <c r="T96" s="9"/>
      <c r="U96" s="9"/>
    </row>
  </sheetData>
  <hyperlinks>
    <hyperlink ref="C3" r:id="rId1" xr:uid="{54110B69-1696-4A88-A847-0510D99F2213}"/>
    <hyperlink ref="G6" r:id="rId2" xr:uid="{F1338F03-8D67-43EE-82C3-BBC99541D187}"/>
    <hyperlink ref="G14" r:id="rId3" xr:uid="{8F7ED30A-14A4-4245-91CF-6A1313A5DDEC}"/>
    <hyperlink ref="G15" r:id="rId4" xr:uid="{806A3251-B917-4549-B70B-524C8747CCBB}"/>
    <hyperlink ref="G26" r:id="rId5" xr:uid="{BC74AF32-8A0C-46F4-900B-028E7DAE803B}"/>
    <hyperlink ref="G27" r:id="rId6" xr:uid="{19947B0F-3D55-41A2-A242-4753CAEC9049}"/>
    <hyperlink ref="G28" r:id="rId7" xr:uid="{5A3CFC02-AE5A-4858-9299-8FB9691A1BA0}"/>
    <hyperlink ref="G29" r:id="rId8" xr:uid="{578CD69E-0137-4106-B47E-DC53F822D170}"/>
    <hyperlink ref="G30" r:id="rId9" xr:uid="{A9B06B28-3147-4EDB-9AFA-56A0B181610C}"/>
    <hyperlink ref="G31" r:id="rId10" xr:uid="{9295DB7B-F5FD-42D5-89FB-BBD8B91A7969}"/>
    <hyperlink ref="G32" r:id="rId11" xr:uid="{20DE0166-9D37-4A7E-A776-69696F25B262}"/>
    <hyperlink ref="G33" r:id="rId12" xr:uid="{18AA5E7A-2329-4A79-9BF5-C7E4D661C535}"/>
    <hyperlink ref="G34" r:id="rId13" xr:uid="{F0FF716F-1C60-4997-B903-06040943EECA}"/>
    <hyperlink ref="G35" r:id="rId14" xr:uid="{3AA6BD94-F478-4478-BDDD-AF8C3735D276}"/>
    <hyperlink ref="G36" r:id="rId15" xr:uid="{FB33DD39-D6CD-4FE3-BBD1-5E859841A287}"/>
    <hyperlink ref="G37" r:id="rId16" xr:uid="{D714C774-871C-4584-B98B-237BAE01B8F3}"/>
    <hyperlink ref="G38" r:id="rId17" xr:uid="{EB52844F-3DD9-46CA-89C1-368DF2E74180}"/>
    <hyperlink ref="G39" r:id="rId18" xr:uid="{87599190-4DB6-4EBB-A709-49A30F29D3AC}"/>
    <hyperlink ref="G40" r:id="rId19" xr:uid="{8649BDB4-2031-4EA5-BF09-2BB02B078F49}"/>
    <hyperlink ref="G44" r:id="rId20" xr:uid="{8A08E15D-1668-45DB-BCBA-5ADDF6F5D19F}"/>
    <hyperlink ref="G45" r:id="rId21" xr:uid="{2C277EDA-D745-4BD9-81A4-D9E854D002AD}"/>
    <hyperlink ref="G48" r:id="rId22" xr:uid="{7B32518F-D336-4050-BE41-A98B7489D6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1"/>
  <sheetViews>
    <sheetView workbookViewId="0">
      <selection activeCell="D1" sqref="A1:D1"/>
    </sheetView>
  </sheetViews>
  <sheetFormatPr defaultRowHeight="15"/>
  <cols>
    <col min="1" max="1" width="26" bestFit="1" customWidth="1"/>
    <col min="2" max="2" width="6.7109375" bestFit="1" customWidth="1"/>
    <col min="3" max="3" width="27.5703125" bestFit="1" customWidth="1"/>
    <col min="4" max="4" width="61.28515625" bestFit="1" customWidth="1"/>
    <col min="5" max="5" width="60.7109375" bestFit="1" customWidth="1"/>
    <col min="6" max="6" width="61.42578125" bestFit="1" customWidth="1"/>
  </cols>
  <sheetData>
    <row r="1" spans="1:8">
      <c r="A1" s="5" t="s">
        <v>520</v>
      </c>
      <c r="B1" s="5" t="s">
        <v>521</v>
      </c>
      <c r="C1" s="5" t="s">
        <v>522</v>
      </c>
      <c r="D1" s="5" t="s">
        <v>523</v>
      </c>
      <c r="E1" s="6" t="s">
        <v>523</v>
      </c>
      <c r="F1" s="6" t="s">
        <v>523</v>
      </c>
      <c r="G1" s="6" t="s">
        <v>523</v>
      </c>
      <c r="H1" s="6" t="s">
        <v>523</v>
      </c>
    </row>
    <row r="2" spans="1:8" ht="60.75">
      <c r="A2" s="7" t="s">
        <v>524</v>
      </c>
      <c r="B2" s="7" t="s">
        <v>32</v>
      </c>
      <c r="C2" s="7" t="s">
        <v>525</v>
      </c>
      <c r="D2" s="8" t="s">
        <v>526</v>
      </c>
      <c r="E2" s="8" t="s">
        <v>527</v>
      </c>
      <c r="F2" s="8" t="s">
        <v>528</v>
      </c>
      <c r="G2" s="8" t="s">
        <v>529</v>
      </c>
      <c r="H2" s="8" t="s">
        <v>530</v>
      </c>
    </row>
    <row r="3" spans="1:8" ht="106.5">
      <c r="A3" s="7" t="s">
        <v>531</v>
      </c>
      <c r="B3" s="7" t="s">
        <v>32</v>
      </c>
      <c r="C3" s="7" t="s">
        <v>525</v>
      </c>
      <c r="D3" s="8" t="s">
        <v>532</v>
      </c>
      <c r="E3" s="8" t="s">
        <v>533</v>
      </c>
      <c r="F3" s="8" t="s">
        <v>534</v>
      </c>
      <c r="G3" s="8" t="s">
        <v>535</v>
      </c>
      <c r="H3" s="8" t="s">
        <v>536</v>
      </c>
    </row>
    <row r="4" spans="1:8" ht="30.75">
      <c r="A4" s="7" t="s">
        <v>537</v>
      </c>
      <c r="B4" s="7" t="s">
        <v>32</v>
      </c>
      <c r="C4" s="7" t="s">
        <v>124</v>
      </c>
      <c r="D4" s="8" t="s">
        <v>538</v>
      </c>
      <c r="E4" s="8" t="s">
        <v>539</v>
      </c>
      <c r="F4" s="8" t="s">
        <v>540</v>
      </c>
      <c r="G4" s="8" t="s">
        <v>541</v>
      </c>
      <c r="H4" s="8" t="s">
        <v>542</v>
      </c>
    </row>
    <row r="5" spans="1:8">
      <c r="A5" s="7" t="s">
        <v>543</v>
      </c>
      <c r="B5" s="7" t="s">
        <v>51</v>
      </c>
      <c r="C5" s="7" t="s">
        <v>525</v>
      </c>
      <c r="D5" s="8"/>
      <c r="E5" s="8"/>
      <c r="F5" s="8"/>
      <c r="G5" s="8"/>
      <c r="H5" s="8"/>
    </row>
    <row r="6" spans="1:8">
      <c r="A6" s="7" t="s">
        <v>544</v>
      </c>
      <c r="B6" s="7" t="s">
        <v>32</v>
      </c>
      <c r="C6" s="7" t="s">
        <v>525</v>
      </c>
      <c r="D6" s="8" t="s">
        <v>545</v>
      </c>
      <c r="E6" s="8" t="s">
        <v>546</v>
      </c>
      <c r="F6" s="8" t="s">
        <v>547</v>
      </c>
      <c r="G6" s="8" t="s">
        <v>548</v>
      </c>
      <c r="H6" s="8" t="s">
        <v>549</v>
      </c>
    </row>
    <row r="7" spans="1:8" ht="82.5">
      <c r="A7" s="7" t="s">
        <v>550</v>
      </c>
      <c r="B7" s="7" t="s">
        <v>32</v>
      </c>
      <c r="C7" s="7" t="s">
        <v>525</v>
      </c>
      <c r="D7" s="8" t="s">
        <v>551</v>
      </c>
      <c r="E7" s="8" t="s">
        <v>552</v>
      </c>
      <c r="F7" s="8" t="s">
        <v>553</v>
      </c>
      <c r="G7" s="8" t="s">
        <v>554</v>
      </c>
      <c r="H7" s="8" t="s">
        <v>555</v>
      </c>
    </row>
    <row r="8" spans="1:8">
      <c r="A8" s="7" t="s">
        <v>556</v>
      </c>
      <c r="B8" s="7" t="s">
        <v>32</v>
      </c>
      <c r="C8" s="7" t="s">
        <v>124</v>
      </c>
      <c r="D8" s="8" t="s">
        <v>36</v>
      </c>
      <c r="E8" s="8" t="s">
        <v>28</v>
      </c>
      <c r="F8" s="8" t="s">
        <v>90</v>
      </c>
      <c r="G8" s="8"/>
      <c r="H8" s="8"/>
    </row>
    <row r="9" spans="1:8">
      <c r="A9" s="7" t="s">
        <v>557</v>
      </c>
      <c r="B9" s="7" t="s">
        <v>32</v>
      </c>
      <c r="C9" s="7" t="s">
        <v>124</v>
      </c>
      <c r="D9" s="8" t="s">
        <v>36</v>
      </c>
      <c r="E9" s="8" t="s">
        <v>28</v>
      </c>
      <c r="F9" s="8"/>
      <c r="G9" s="8"/>
      <c r="H9" s="8"/>
    </row>
    <row r="10" spans="1:8">
      <c r="A10" s="7" t="s">
        <v>558</v>
      </c>
      <c r="B10" s="7" t="s">
        <v>32</v>
      </c>
      <c r="C10" s="7" t="s">
        <v>124</v>
      </c>
      <c r="D10" s="8" t="s">
        <v>237</v>
      </c>
      <c r="E10" s="8" t="s">
        <v>190</v>
      </c>
      <c r="F10" s="8" t="s">
        <v>216</v>
      </c>
      <c r="G10" s="8" t="s">
        <v>83</v>
      </c>
      <c r="H10" s="8" t="s">
        <v>128</v>
      </c>
    </row>
    <row r="11" spans="1:8">
      <c r="A11" s="7" t="s">
        <v>559</v>
      </c>
      <c r="B11" s="7" t="s">
        <v>32</v>
      </c>
      <c r="C11" s="7" t="s">
        <v>124</v>
      </c>
      <c r="D11" s="8" t="s">
        <v>560</v>
      </c>
      <c r="E11" s="8" t="s">
        <v>561</v>
      </c>
      <c r="F11" s="8" t="s">
        <v>562</v>
      </c>
      <c r="G11" s="8" t="s">
        <v>563</v>
      </c>
      <c r="H11" s="8" t="s">
        <v>564</v>
      </c>
    </row>
    <row r="12" spans="1:8">
      <c r="A12" s="7" t="s">
        <v>565</v>
      </c>
      <c r="B12" s="7" t="s">
        <v>32</v>
      </c>
      <c r="C12" s="7" t="s">
        <v>124</v>
      </c>
      <c r="D12" s="8" t="s">
        <v>566</v>
      </c>
      <c r="E12" s="8" t="s">
        <v>567</v>
      </c>
      <c r="F12" s="8" t="s">
        <v>568</v>
      </c>
      <c r="G12" s="8" t="s">
        <v>569</v>
      </c>
      <c r="H12" s="8" t="s">
        <v>570</v>
      </c>
    </row>
    <row r="13" spans="1:8" ht="16.5">
      <c r="A13" s="7" t="s">
        <v>571</v>
      </c>
      <c r="B13" s="7" t="s">
        <v>32</v>
      </c>
      <c r="C13" s="7" t="s">
        <v>525</v>
      </c>
      <c r="D13" s="8" t="s">
        <v>572</v>
      </c>
      <c r="E13" s="8" t="s">
        <v>573</v>
      </c>
      <c r="F13" s="8" t="s">
        <v>108</v>
      </c>
      <c r="G13" s="8"/>
      <c r="H13" s="8"/>
    </row>
    <row r="14" spans="1:8" ht="16.5">
      <c r="A14" s="7" t="s">
        <v>574</v>
      </c>
      <c r="B14" s="7" t="s">
        <v>32</v>
      </c>
      <c r="C14" s="7" t="s">
        <v>525</v>
      </c>
      <c r="D14" s="8" t="s">
        <v>575</v>
      </c>
      <c r="E14" s="8" t="s">
        <v>576</v>
      </c>
      <c r="F14" s="8" t="s">
        <v>577</v>
      </c>
      <c r="G14" s="8" t="s">
        <v>578</v>
      </c>
      <c r="H14" s="8" t="s">
        <v>579</v>
      </c>
    </row>
    <row r="15" spans="1:8" ht="33">
      <c r="A15" s="7" t="s">
        <v>580</v>
      </c>
      <c r="B15" s="7" t="s">
        <v>32</v>
      </c>
      <c r="C15" s="7" t="s">
        <v>525</v>
      </c>
      <c r="D15" s="8" t="s">
        <v>581</v>
      </c>
      <c r="E15" s="8" t="s">
        <v>582</v>
      </c>
      <c r="F15" s="8" t="s">
        <v>583</v>
      </c>
      <c r="G15" s="8" t="s">
        <v>584</v>
      </c>
      <c r="H15" s="8" t="s">
        <v>585</v>
      </c>
    </row>
    <row r="16" spans="1:8">
      <c r="A16" s="7" t="s">
        <v>586</v>
      </c>
      <c r="B16" s="7" t="s">
        <v>51</v>
      </c>
      <c r="C16" s="7" t="s">
        <v>525</v>
      </c>
      <c r="D16" s="8"/>
      <c r="E16" s="8"/>
      <c r="F16" s="8"/>
      <c r="G16" s="8"/>
      <c r="H16" s="8"/>
    </row>
    <row r="17" spans="1:8">
      <c r="A17" s="7" t="s">
        <v>587</v>
      </c>
      <c r="B17" s="7" t="s">
        <v>51</v>
      </c>
      <c r="C17" s="7" t="s">
        <v>525</v>
      </c>
      <c r="D17" s="8"/>
      <c r="E17" s="8"/>
      <c r="F17" s="8"/>
      <c r="G17" s="8"/>
      <c r="H17" s="8"/>
    </row>
    <row r="18" spans="1:8">
      <c r="A18" s="7" t="s">
        <v>588</v>
      </c>
      <c r="B18" s="7" t="s">
        <v>51</v>
      </c>
      <c r="C18" s="7" t="s">
        <v>525</v>
      </c>
      <c r="D18" s="8"/>
      <c r="E18" s="8"/>
      <c r="F18" s="8"/>
      <c r="G18" s="8"/>
      <c r="H18" s="8"/>
    </row>
    <row r="19" spans="1:8">
      <c r="A19" s="7" t="s">
        <v>589</v>
      </c>
      <c r="B19" s="7" t="s">
        <v>51</v>
      </c>
      <c r="C19" s="7" t="s">
        <v>124</v>
      </c>
      <c r="D19" s="8" t="s">
        <v>28</v>
      </c>
      <c r="E19" s="8"/>
      <c r="F19" s="8"/>
      <c r="G19" s="8"/>
      <c r="H19" s="8"/>
    </row>
    <row r="20" spans="1:8" ht="30.75">
      <c r="A20" s="7" t="s">
        <v>590</v>
      </c>
      <c r="B20" s="7" t="s">
        <v>32</v>
      </c>
      <c r="C20" s="7" t="s">
        <v>124</v>
      </c>
      <c r="D20" s="8" t="s">
        <v>591</v>
      </c>
      <c r="E20" s="8" t="s">
        <v>592</v>
      </c>
      <c r="F20" s="8" t="s">
        <v>593</v>
      </c>
      <c r="G20" s="8" t="s">
        <v>594</v>
      </c>
      <c r="H20" s="8" t="s">
        <v>595</v>
      </c>
    </row>
    <row r="21" spans="1:8" ht="45.75">
      <c r="A21" s="7" t="s">
        <v>596</v>
      </c>
      <c r="B21" s="7" t="s">
        <v>32</v>
      </c>
      <c r="C21" s="7" t="s">
        <v>597</v>
      </c>
      <c r="D21" s="8" t="s">
        <v>598</v>
      </c>
      <c r="E21" s="8" t="s">
        <v>599</v>
      </c>
      <c r="F21" s="8" t="s">
        <v>600</v>
      </c>
      <c r="G21" s="8" t="s">
        <v>601</v>
      </c>
      <c r="H21" s="8" t="s">
        <v>602</v>
      </c>
    </row>
    <row r="22" spans="1:8" ht="45.75">
      <c r="A22" s="7" t="s">
        <v>603</v>
      </c>
      <c r="B22" s="7" t="s">
        <v>32</v>
      </c>
      <c r="C22" s="7" t="s">
        <v>597</v>
      </c>
      <c r="D22" s="8" t="s">
        <v>604</v>
      </c>
      <c r="E22" s="8" t="s">
        <v>605</v>
      </c>
      <c r="F22" s="8" t="s">
        <v>606</v>
      </c>
      <c r="G22" s="8" t="s">
        <v>607</v>
      </c>
      <c r="H22" s="8" t="s">
        <v>608</v>
      </c>
    </row>
    <row r="23" spans="1:8" ht="45.75">
      <c r="A23" s="7" t="s">
        <v>609</v>
      </c>
      <c r="B23" s="7" t="s">
        <v>32</v>
      </c>
      <c r="C23" s="7" t="s">
        <v>597</v>
      </c>
      <c r="D23" s="8" t="s">
        <v>610</v>
      </c>
      <c r="E23" s="8" t="s">
        <v>611</v>
      </c>
      <c r="F23" s="8" t="s">
        <v>612</v>
      </c>
      <c r="G23" s="8" t="s">
        <v>613</v>
      </c>
      <c r="H23" s="8" t="s">
        <v>614</v>
      </c>
    </row>
    <row r="24" spans="1:8" ht="45.75">
      <c r="A24" s="7" t="s">
        <v>615</v>
      </c>
      <c r="B24" s="7" t="s">
        <v>32</v>
      </c>
      <c r="C24" s="7" t="s">
        <v>597</v>
      </c>
      <c r="D24" s="8" t="s">
        <v>616</v>
      </c>
      <c r="E24" s="8" t="s">
        <v>617</v>
      </c>
      <c r="F24" s="8" t="s">
        <v>618</v>
      </c>
      <c r="G24" s="8" t="s">
        <v>619</v>
      </c>
      <c r="H24" s="8" t="s">
        <v>620</v>
      </c>
    </row>
    <row r="25" spans="1:8">
      <c r="A25" s="7" t="s">
        <v>621</v>
      </c>
      <c r="B25" s="7" t="s">
        <v>32</v>
      </c>
      <c r="C25" s="7" t="s">
        <v>525</v>
      </c>
      <c r="D25" s="8" t="s">
        <v>453</v>
      </c>
      <c r="E25" s="8" t="s">
        <v>622</v>
      </c>
      <c r="F25" s="8"/>
      <c r="G25" s="8"/>
      <c r="H25" s="8"/>
    </row>
    <row r="26" spans="1:8" ht="106.5">
      <c r="A26" s="7" t="s">
        <v>623</v>
      </c>
      <c r="B26" s="7" t="s">
        <v>32</v>
      </c>
      <c r="C26" s="7" t="s">
        <v>525</v>
      </c>
      <c r="D26" s="8" t="s">
        <v>624</v>
      </c>
      <c r="E26" s="8" t="s">
        <v>625</v>
      </c>
      <c r="F26" s="8" t="s">
        <v>626</v>
      </c>
      <c r="G26" s="8" t="s">
        <v>627</v>
      </c>
      <c r="H26" s="8" t="s">
        <v>628</v>
      </c>
    </row>
    <row r="27" spans="1:8">
      <c r="A27" s="7" t="s">
        <v>629</v>
      </c>
      <c r="B27" s="7" t="s">
        <v>51</v>
      </c>
      <c r="C27" s="7" t="s">
        <v>124</v>
      </c>
      <c r="D27" s="8" t="s">
        <v>36</v>
      </c>
      <c r="E27" s="8"/>
      <c r="F27" s="8"/>
      <c r="G27" s="8"/>
      <c r="H27" s="8"/>
    </row>
    <row r="28" spans="1:8" ht="16.5">
      <c r="A28" s="7" t="s">
        <v>630</v>
      </c>
      <c r="B28" s="7" t="s">
        <v>51</v>
      </c>
      <c r="C28" s="7" t="s">
        <v>525</v>
      </c>
      <c r="D28" s="8" t="s">
        <v>631</v>
      </c>
      <c r="E28" s="8"/>
      <c r="F28" s="8"/>
      <c r="G28" s="8"/>
      <c r="H28" s="8"/>
    </row>
    <row r="29" spans="1:8">
      <c r="A29" s="7" t="s">
        <v>632</v>
      </c>
      <c r="B29" s="7" t="s">
        <v>32</v>
      </c>
      <c r="C29" s="7" t="s">
        <v>525</v>
      </c>
      <c r="D29" s="8" t="s">
        <v>445</v>
      </c>
      <c r="E29" s="8"/>
      <c r="F29" s="8"/>
      <c r="G29" s="8"/>
      <c r="H29" s="8"/>
    </row>
    <row r="30" spans="1:8">
      <c r="A30" s="7" t="s">
        <v>633</v>
      </c>
      <c r="B30" s="7" t="s">
        <v>32</v>
      </c>
      <c r="C30" s="7" t="s">
        <v>124</v>
      </c>
      <c r="D30" s="8" t="s">
        <v>566</v>
      </c>
      <c r="E30" s="8" t="s">
        <v>567</v>
      </c>
      <c r="F30" s="8" t="s">
        <v>568</v>
      </c>
      <c r="G30" s="8" t="s">
        <v>634</v>
      </c>
      <c r="H30" s="8" t="s">
        <v>570</v>
      </c>
    </row>
    <row r="31" spans="1:8">
      <c r="A31" s="7" t="s">
        <v>635</v>
      </c>
      <c r="B31" s="7" t="s">
        <v>32</v>
      </c>
      <c r="C31" s="7" t="s">
        <v>525</v>
      </c>
      <c r="D31" s="8" t="s">
        <v>636</v>
      </c>
      <c r="E31" s="8" t="s">
        <v>637</v>
      </c>
      <c r="F31" s="8" t="s">
        <v>638</v>
      </c>
      <c r="G31" s="8" t="s">
        <v>639</v>
      </c>
      <c r="H31" s="8" t="s">
        <v>640</v>
      </c>
    </row>
    <row r="32" spans="1:8">
      <c r="A32" s="7" t="s">
        <v>641</v>
      </c>
      <c r="B32" s="7" t="s">
        <v>32</v>
      </c>
      <c r="C32" s="7" t="s">
        <v>124</v>
      </c>
      <c r="D32" s="8" t="s">
        <v>375</v>
      </c>
      <c r="E32" s="8" t="s">
        <v>163</v>
      </c>
      <c r="F32" s="8" t="s">
        <v>396</v>
      </c>
      <c r="G32" s="8" t="s">
        <v>642</v>
      </c>
      <c r="H32" s="8" t="s">
        <v>357</v>
      </c>
    </row>
    <row r="33" spans="1:8">
      <c r="A33" s="7" t="s">
        <v>643</v>
      </c>
      <c r="B33" s="7" t="s">
        <v>32</v>
      </c>
      <c r="C33" s="7" t="s">
        <v>124</v>
      </c>
      <c r="D33" s="8" t="s">
        <v>375</v>
      </c>
      <c r="E33" s="8" t="s">
        <v>163</v>
      </c>
      <c r="F33" s="8" t="s">
        <v>396</v>
      </c>
      <c r="G33" s="8" t="s">
        <v>97</v>
      </c>
      <c r="H33" s="8" t="s">
        <v>517</v>
      </c>
    </row>
    <row r="34" spans="1:8">
      <c r="A34" s="7" t="s">
        <v>644</v>
      </c>
      <c r="B34" s="7" t="s">
        <v>32</v>
      </c>
      <c r="C34" s="7" t="s">
        <v>124</v>
      </c>
      <c r="D34" s="8" t="s">
        <v>28</v>
      </c>
      <c r="E34" s="8" t="s">
        <v>278</v>
      </c>
      <c r="F34" s="8"/>
      <c r="G34" s="8"/>
      <c r="H34" s="8"/>
    </row>
    <row r="35" spans="1:8">
      <c r="A35" s="7" t="s">
        <v>645</v>
      </c>
      <c r="B35" s="7" t="s">
        <v>32</v>
      </c>
      <c r="C35" s="7" t="s">
        <v>124</v>
      </c>
      <c r="D35" s="8" t="s">
        <v>28</v>
      </c>
      <c r="E35" s="8" t="s">
        <v>278</v>
      </c>
      <c r="F35" s="8"/>
      <c r="G35" s="8"/>
      <c r="H35" s="8"/>
    </row>
    <row r="36" spans="1:8">
      <c r="A36" s="7" t="s">
        <v>646</v>
      </c>
      <c r="B36" s="7" t="s">
        <v>51</v>
      </c>
      <c r="C36" s="7" t="s">
        <v>525</v>
      </c>
      <c r="D36" s="8" t="s">
        <v>54</v>
      </c>
      <c r="E36" s="8" t="s">
        <v>445</v>
      </c>
      <c r="F36" s="8"/>
      <c r="G36" s="8"/>
      <c r="H36" s="8"/>
    </row>
    <row r="37" spans="1:8">
      <c r="A37" s="7" t="s">
        <v>647</v>
      </c>
      <c r="B37" s="7" t="s">
        <v>32</v>
      </c>
      <c r="C37" s="7" t="s">
        <v>124</v>
      </c>
      <c r="D37" s="8" t="s">
        <v>278</v>
      </c>
      <c r="E37" s="8" t="s">
        <v>58</v>
      </c>
      <c r="F37" s="8" t="s">
        <v>648</v>
      </c>
      <c r="G37" s="8"/>
      <c r="H37" s="8"/>
    </row>
    <row r="38" spans="1:8">
      <c r="A38" s="7" t="s">
        <v>649</v>
      </c>
      <c r="B38" s="7" t="s">
        <v>51</v>
      </c>
      <c r="C38" s="7" t="s">
        <v>525</v>
      </c>
      <c r="D38" s="8"/>
      <c r="E38" s="8"/>
      <c r="F38" s="8"/>
      <c r="G38" s="8"/>
      <c r="H38" s="8"/>
    </row>
    <row r="39" spans="1:8">
      <c r="A39" s="7" t="s">
        <v>650</v>
      </c>
      <c r="B39" s="7" t="s">
        <v>32</v>
      </c>
      <c r="C39" s="7" t="s">
        <v>525</v>
      </c>
      <c r="D39" s="8" t="s">
        <v>651</v>
      </c>
      <c r="E39" s="8"/>
      <c r="F39" s="8"/>
      <c r="G39" s="8"/>
      <c r="H39" s="8"/>
    </row>
    <row r="40" spans="1:8" ht="152.25">
      <c r="A40" s="7" t="s">
        <v>652</v>
      </c>
      <c r="B40" s="7" t="s">
        <v>32</v>
      </c>
      <c r="C40" s="7" t="s">
        <v>525</v>
      </c>
      <c r="D40" s="8" t="s">
        <v>653</v>
      </c>
      <c r="E40" s="8" t="s">
        <v>654</v>
      </c>
      <c r="F40" s="8" t="s">
        <v>655</v>
      </c>
      <c r="G40" s="8" t="s">
        <v>656</v>
      </c>
      <c r="H40" s="8" t="s">
        <v>657</v>
      </c>
    </row>
    <row r="41" spans="1:8">
      <c r="A41" s="7" t="s">
        <v>658</v>
      </c>
      <c r="B41" s="7" t="s">
        <v>32</v>
      </c>
      <c r="C41" s="7" t="s">
        <v>525</v>
      </c>
      <c r="D41" s="8" t="s">
        <v>659</v>
      </c>
      <c r="E41" s="8" t="s">
        <v>139</v>
      </c>
      <c r="F41" s="8"/>
      <c r="G41" s="8"/>
      <c r="H41" s="8"/>
    </row>
    <row r="42" spans="1:8">
      <c r="A42" s="7" t="s">
        <v>660</v>
      </c>
      <c r="B42" s="7" t="s">
        <v>51</v>
      </c>
      <c r="C42" s="7" t="s">
        <v>525</v>
      </c>
      <c r="D42" s="8" t="s">
        <v>445</v>
      </c>
      <c r="E42" s="8" t="s">
        <v>28</v>
      </c>
      <c r="F42" s="8"/>
      <c r="G42" s="8"/>
      <c r="H42" s="8"/>
    </row>
    <row r="43" spans="1:8">
      <c r="A43" s="7" t="s">
        <v>661</v>
      </c>
      <c r="B43" s="7" t="s">
        <v>51</v>
      </c>
      <c r="C43" s="7" t="s">
        <v>124</v>
      </c>
      <c r="D43" s="8" t="s">
        <v>278</v>
      </c>
      <c r="E43" s="8"/>
      <c r="F43" s="8"/>
      <c r="G43" s="8"/>
      <c r="H43" s="8"/>
    </row>
    <row r="44" spans="1:8">
      <c r="A44" s="7" t="s">
        <v>662</v>
      </c>
      <c r="B44" s="7" t="s">
        <v>51</v>
      </c>
      <c r="C44" s="7" t="s">
        <v>124</v>
      </c>
      <c r="D44" s="8" t="s">
        <v>278</v>
      </c>
      <c r="E44" s="8"/>
      <c r="F44" s="8"/>
      <c r="G44" s="8"/>
      <c r="H44" s="8"/>
    </row>
    <row r="45" spans="1:8">
      <c r="A45" s="7" t="s">
        <v>663</v>
      </c>
      <c r="B45" s="7" t="s">
        <v>51</v>
      </c>
      <c r="C45" s="7" t="s">
        <v>124</v>
      </c>
      <c r="D45" s="8" t="s">
        <v>278</v>
      </c>
      <c r="E45" s="8" t="s">
        <v>664</v>
      </c>
      <c r="F45" s="8" t="s">
        <v>665</v>
      </c>
      <c r="G45" s="8"/>
      <c r="H45" s="8"/>
    </row>
    <row r="46" spans="1:8" ht="45.75">
      <c r="A46" s="7" t="s">
        <v>666</v>
      </c>
      <c r="B46" s="7" t="s">
        <v>32</v>
      </c>
      <c r="C46" s="7" t="s">
        <v>597</v>
      </c>
      <c r="D46" s="8" t="s">
        <v>667</v>
      </c>
      <c r="E46" s="8" t="s">
        <v>668</v>
      </c>
      <c r="F46" s="8" t="s">
        <v>669</v>
      </c>
      <c r="G46" s="8" t="s">
        <v>670</v>
      </c>
      <c r="H46" s="8" t="s">
        <v>671</v>
      </c>
    </row>
    <row r="47" spans="1:8">
      <c r="A47" s="7" t="s">
        <v>672</v>
      </c>
      <c r="B47" s="7" t="s">
        <v>51</v>
      </c>
      <c r="C47" s="7" t="s">
        <v>525</v>
      </c>
      <c r="D47" s="8" t="s">
        <v>445</v>
      </c>
      <c r="E47" s="8"/>
      <c r="F47" s="8"/>
      <c r="G47" s="8"/>
      <c r="H47" s="8"/>
    </row>
    <row r="48" spans="1:8">
      <c r="A48" s="7" t="s">
        <v>673</v>
      </c>
      <c r="B48" s="7" t="s">
        <v>32</v>
      </c>
      <c r="C48" s="7" t="s">
        <v>124</v>
      </c>
      <c r="D48" s="8" t="s">
        <v>278</v>
      </c>
      <c r="E48" s="8"/>
      <c r="F48" s="8"/>
      <c r="G48" s="8"/>
      <c r="H48" s="8"/>
    </row>
    <row r="49" spans="1:8">
      <c r="A49" s="7" t="s">
        <v>674</v>
      </c>
      <c r="B49" s="7" t="s">
        <v>32</v>
      </c>
      <c r="C49" s="7" t="s">
        <v>124</v>
      </c>
      <c r="D49" s="8" t="s">
        <v>278</v>
      </c>
      <c r="E49" s="8"/>
      <c r="F49" s="8"/>
      <c r="G49" s="8"/>
      <c r="H49" s="8"/>
    </row>
    <row r="50" spans="1:8">
      <c r="A50" s="7" t="s">
        <v>675</v>
      </c>
      <c r="B50" s="7" t="s">
        <v>32</v>
      </c>
      <c r="C50" s="7" t="s">
        <v>124</v>
      </c>
      <c r="D50" s="8" t="s">
        <v>278</v>
      </c>
      <c r="E50" s="8"/>
      <c r="F50" s="8"/>
      <c r="G50" s="8"/>
      <c r="H50" s="8"/>
    </row>
    <row r="51" spans="1:8">
      <c r="A51" s="7" t="s">
        <v>676</v>
      </c>
      <c r="B51" s="7" t="s">
        <v>32</v>
      </c>
      <c r="C51" s="7" t="s">
        <v>124</v>
      </c>
      <c r="D51" s="8" t="s">
        <v>278</v>
      </c>
      <c r="E51" s="8" t="s">
        <v>567</v>
      </c>
      <c r="F51" s="8" t="s">
        <v>634</v>
      </c>
      <c r="G51" s="8" t="s">
        <v>677</v>
      </c>
      <c r="H51" s="8" t="s">
        <v>678</v>
      </c>
    </row>
    <row r="52" spans="1:8">
      <c r="A52" s="7" t="s">
        <v>679</v>
      </c>
      <c r="B52" s="7" t="s">
        <v>51</v>
      </c>
      <c r="C52" s="7" t="s">
        <v>525</v>
      </c>
      <c r="D52" s="8"/>
      <c r="E52" s="8"/>
      <c r="F52" s="8"/>
      <c r="G52" s="8"/>
      <c r="H52" s="8"/>
    </row>
    <row r="53" spans="1:8">
      <c r="A53" s="7" t="s">
        <v>680</v>
      </c>
      <c r="B53" s="7" t="s">
        <v>51</v>
      </c>
      <c r="C53" s="7" t="s">
        <v>525</v>
      </c>
      <c r="D53" s="8"/>
      <c r="E53" s="8"/>
      <c r="F53" s="8"/>
      <c r="G53" s="8"/>
      <c r="H53" s="8"/>
    </row>
    <row r="54" spans="1:8">
      <c r="A54" s="7" t="s">
        <v>681</v>
      </c>
      <c r="B54" s="7" t="s">
        <v>51</v>
      </c>
      <c r="C54" s="7" t="s">
        <v>525</v>
      </c>
      <c r="D54" s="8"/>
      <c r="E54" s="8"/>
      <c r="F54" s="8"/>
      <c r="G54" s="8"/>
      <c r="H54" s="8"/>
    </row>
    <row r="55" spans="1:8">
      <c r="A55" s="7" t="s">
        <v>682</v>
      </c>
      <c r="B55" s="7" t="s">
        <v>32</v>
      </c>
      <c r="C55" s="7" t="s">
        <v>124</v>
      </c>
      <c r="D55" s="8" t="s">
        <v>683</v>
      </c>
      <c r="E55" s="8" t="s">
        <v>684</v>
      </c>
      <c r="F55" s="8" t="s">
        <v>685</v>
      </c>
      <c r="G55" s="8" t="s">
        <v>686</v>
      </c>
      <c r="H55" s="8" t="s">
        <v>687</v>
      </c>
    </row>
    <row r="56" spans="1:8">
      <c r="A56" s="7" t="s">
        <v>688</v>
      </c>
      <c r="B56" s="7" t="s">
        <v>32</v>
      </c>
      <c r="C56" s="7" t="s">
        <v>124</v>
      </c>
      <c r="D56" s="8" t="s">
        <v>642</v>
      </c>
      <c r="E56" s="8" t="s">
        <v>689</v>
      </c>
      <c r="F56" s="8" t="s">
        <v>690</v>
      </c>
      <c r="G56" s="8" t="s">
        <v>691</v>
      </c>
      <c r="H56" s="8"/>
    </row>
    <row r="57" spans="1:8" ht="83.25">
      <c r="A57" s="7" t="s">
        <v>692</v>
      </c>
      <c r="B57" s="7" t="s">
        <v>32</v>
      </c>
      <c r="C57" s="7" t="s">
        <v>525</v>
      </c>
      <c r="D57" s="8" t="s">
        <v>693</v>
      </c>
      <c r="E57" s="8" t="s">
        <v>694</v>
      </c>
      <c r="F57" s="8" t="s">
        <v>695</v>
      </c>
      <c r="G57" s="8" t="s">
        <v>696</v>
      </c>
      <c r="H57" s="8" t="s">
        <v>697</v>
      </c>
    </row>
    <row r="58" spans="1:8">
      <c r="A58" s="7" t="s">
        <v>698</v>
      </c>
      <c r="B58" s="7" t="s">
        <v>32</v>
      </c>
      <c r="C58" s="7" t="s">
        <v>124</v>
      </c>
      <c r="D58" s="8" t="s">
        <v>216</v>
      </c>
      <c r="E58" s="8" t="s">
        <v>184</v>
      </c>
      <c r="F58" s="8" t="s">
        <v>143</v>
      </c>
      <c r="G58" s="8" t="s">
        <v>689</v>
      </c>
      <c r="H58" s="8" t="s">
        <v>97</v>
      </c>
    </row>
    <row r="59" spans="1:8">
      <c r="A59" s="7" t="s">
        <v>699</v>
      </c>
      <c r="B59" s="7" t="s">
        <v>32</v>
      </c>
      <c r="C59" s="7" t="s">
        <v>322</v>
      </c>
      <c r="D59" s="8" t="s">
        <v>700</v>
      </c>
      <c r="E59" s="8" t="s">
        <v>701</v>
      </c>
      <c r="F59" s="8"/>
      <c r="G59" s="8"/>
      <c r="H59" s="8"/>
    </row>
    <row r="60" spans="1:8">
      <c r="A60" s="7" t="s">
        <v>702</v>
      </c>
      <c r="B60" s="7" t="s">
        <v>51</v>
      </c>
      <c r="C60" s="7" t="s">
        <v>525</v>
      </c>
      <c r="D60" s="8"/>
      <c r="E60" s="8"/>
      <c r="F60" s="8"/>
      <c r="G60" s="8"/>
      <c r="H60" s="8"/>
    </row>
    <row r="61" spans="1:8">
      <c r="A61" s="7" t="s">
        <v>703</v>
      </c>
      <c r="B61" s="7" t="s">
        <v>51</v>
      </c>
      <c r="C61" s="7" t="s">
        <v>525</v>
      </c>
      <c r="D61" s="8"/>
      <c r="E61" s="8"/>
      <c r="F61" s="8"/>
      <c r="G61" s="8"/>
      <c r="H61" s="8"/>
    </row>
    <row r="62" spans="1:8" ht="30.75">
      <c r="A62" s="7" t="s">
        <v>704</v>
      </c>
      <c r="B62" s="7" t="s">
        <v>32</v>
      </c>
      <c r="C62" s="7" t="s">
        <v>124</v>
      </c>
      <c r="D62" s="8" t="s">
        <v>705</v>
      </c>
      <c r="E62" s="8" t="s">
        <v>706</v>
      </c>
      <c r="F62" s="8" t="s">
        <v>707</v>
      </c>
      <c r="G62" s="8" t="s">
        <v>708</v>
      </c>
      <c r="H62" s="8" t="s">
        <v>709</v>
      </c>
    </row>
    <row r="63" spans="1:8">
      <c r="A63" s="7" t="s">
        <v>710</v>
      </c>
      <c r="B63" s="7" t="s">
        <v>51</v>
      </c>
      <c r="C63" s="7" t="s">
        <v>525</v>
      </c>
      <c r="D63" s="8"/>
      <c r="E63" s="8"/>
      <c r="F63" s="8"/>
      <c r="G63" s="8"/>
      <c r="H63" s="8"/>
    </row>
    <row r="64" spans="1:8">
      <c r="A64" s="7" t="s">
        <v>711</v>
      </c>
      <c r="B64" s="7" t="s">
        <v>32</v>
      </c>
      <c r="C64" s="7" t="s">
        <v>525</v>
      </c>
      <c r="D64" s="8" t="s">
        <v>54</v>
      </c>
      <c r="E64" s="8"/>
      <c r="F64" s="8"/>
      <c r="G64" s="8"/>
      <c r="H64" s="8"/>
    </row>
    <row r="65" spans="1:8" ht="30.75">
      <c r="A65" s="7" t="s">
        <v>712</v>
      </c>
      <c r="B65" s="7" t="s">
        <v>32</v>
      </c>
      <c r="C65" s="7" t="s">
        <v>525</v>
      </c>
      <c r="D65" s="8" t="s">
        <v>713</v>
      </c>
      <c r="E65" s="8" t="s">
        <v>714</v>
      </c>
      <c r="F65" s="8" t="s">
        <v>715</v>
      </c>
      <c r="G65" s="8" t="s">
        <v>716</v>
      </c>
      <c r="H65" s="8" t="s">
        <v>717</v>
      </c>
    </row>
    <row r="66" spans="1:8">
      <c r="A66" s="7" t="s">
        <v>718</v>
      </c>
      <c r="B66" s="7" t="s">
        <v>51</v>
      </c>
      <c r="C66" s="7" t="s">
        <v>525</v>
      </c>
      <c r="D66" s="8"/>
      <c r="E66" s="8"/>
      <c r="F66" s="8"/>
      <c r="G66" s="8"/>
      <c r="H66" s="8"/>
    </row>
    <row r="67" spans="1:8">
      <c r="A67" s="7" t="s">
        <v>719</v>
      </c>
      <c r="B67" s="7" t="s">
        <v>51</v>
      </c>
      <c r="C67" s="7" t="s">
        <v>525</v>
      </c>
      <c r="D67" s="8"/>
      <c r="E67" s="8"/>
      <c r="F67" s="8"/>
      <c r="G67" s="8"/>
      <c r="H67" s="8"/>
    </row>
    <row r="68" spans="1:8">
      <c r="A68" s="7" t="s">
        <v>720</v>
      </c>
      <c r="B68" s="7" t="s">
        <v>51</v>
      </c>
      <c r="C68" s="7" t="s">
        <v>525</v>
      </c>
      <c r="D68" s="8"/>
      <c r="E68" s="8"/>
      <c r="F68" s="8"/>
      <c r="G68" s="8"/>
      <c r="H68" s="8"/>
    </row>
    <row r="69" spans="1:8">
      <c r="A69" s="7" t="s">
        <v>721</v>
      </c>
      <c r="B69" s="7" t="s">
        <v>51</v>
      </c>
      <c r="C69" s="7" t="s">
        <v>525</v>
      </c>
      <c r="D69" s="8"/>
      <c r="E69" s="8"/>
      <c r="F69" s="8"/>
      <c r="G69" s="8"/>
      <c r="H69" s="8"/>
    </row>
    <row r="70" spans="1:8">
      <c r="A70" s="7" t="s">
        <v>722</v>
      </c>
      <c r="B70" s="7" t="s">
        <v>32</v>
      </c>
      <c r="C70" s="7" t="s">
        <v>322</v>
      </c>
      <c r="D70" s="8" t="s">
        <v>700</v>
      </c>
      <c r="E70" s="8"/>
      <c r="F70" s="8"/>
      <c r="G70" s="8"/>
      <c r="H70" s="8"/>
    </row>
    <row r="71" spans="1:8">
      <c r="A71" s="7" t="s">
        <v>723</v>
      </c>
      <c r="B71" s="7" t="s">
        <v>51</v>
      </c>
      <c r="C71" s="7" t="s">
        <v>525</v>
      </c>
      <c r="D71" s="8"/>
      <c r="E71" s="8"/>
      <c r="F71" s="8"/>
      <c r="G71" s="8"/>
      <c r="H7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95"/>
  <sheetViews>
    <sheetView tabSelected="1" topLeftCell="A74" workbookViewId="0">
      <selection activeCell="H90" sqref="H90"/>
    </sheetView>
  </sheetViews>
  <sheetFormatPr defaultRowHeight="15"/>
  <cols>
    <col min="1" max="1" width="30.5703125" bestFit="1" customWidth="1"/>
    <col min="2" max="2" width="6" bestFit="1" customWidth="1"/>
    <col min="3" max="3" width="11.42578125" bestFit="1" customWidth="1"/>
    <col min="4" max="4" width="33" bestFit="1" customWidth="1"/>
    <col min="6" max="6" width="22.140625" bestFit="1" customWidth="1"/>
    <col min="7" max="7" width="7.140625" bestFit="1" customWidth="1"/>
  </cols>
  <sheetData>
    <row r="1" spans="1:8">
      <c r="A1" s="1" t="s">
        <v>724</v>
      </c>
      <c r="B1" s="60"/>
      <c r="C1" s="60"/>
      <c r="D1" s="60"/>
      <c r="E1" s="60"/>
      <c r="F1" s="1" t="s">
        <v>725</v>
      </c>
      <c r="G1" s="60"/>
    </row>
    <row r="2" spans="1:8">
      <c r="A2" s="60" t="s">
        <v>726</v>
      </c>
      <c r="B2" s="60"/>
      <c r="C2" s="60"/>
      <c r="D2" s="60"/>
      <c r="E2" s="60"/>
      <c r="F2" s="60" t="s">
        <v>726</v>
      </c>
      <c r="G2" s="60"/>
    </row>
    <row r="3" spans="1:8">
      <c r="A3" s="2" t="s">
        <v>727</v>
      </c>
      <c r="B3" s="2" t="s">
        <v>521</v>
      </c>
      <c r="C3" s="2" t="s">
        <v>522</v>
      </c>
      <c r="D3" s="2" t="s">
        <v>523</v>
      </c>
      <c r="E3" s="60"/>
      <c r="F3" s="2" t="s">
        <v>728</v>
      </c>
      <c r="G3" s="2" t="s">
        <v>729</v>
      </c>
    </row>
    <row r="4" spans="1:8">
      <c r="A4" s="3" t="s">
        <v>730</v>
      </c>
      <c r="B4" s="3" t="s">
        <v>32</v>
      </c>
      <c r="C4" s="3" t="s">
        <v>30</v>
      </c>
      <c r="D4" s="3" t="s">
        <v>731</v>
      </c>
      <c r="E4" s="4"/>
      <c r="F4" s="3"/>
      <c r="G4" s="3"/>
      <c r="H4" t="s">
        <v>35</v>
      </c>
    </row>
    <row r="5" spans="1:8">
      <c r="A5" s="3" t="s">
        <v>732</v>
      </c>
      <c r="B5" s="3" t="s">
        <v>32</v>
      </c>
      <c r="C5" s="3" t="s">
        <v>30</v>
      </c>
      <c r="D5" s="3" t="s">
        <v>733</v>
      </c>
      <c r="E5" s="4"/>
      <c r="F5" s="3" t="s">
        <v>41</v>
      </c>
      <c r="G5" s="3"/>
    </row>
    <row r="6" spans="1:8">
      <c r="A6" s="3" t="s">
        <v>734</v>
      </c>
      <c r="B6" s="3" t="s">
        <v>32</v>
      </c>
      <c r="C6" s="3" t="s">
        <v>44</v>
      </c>
      <c r="D6" s="3" t="s">
        <v>735</v>
      </c>
      <c r="E6" s="4"/>
      <c r="F6" s="3" t="s">
        <v>736</v>
      </c>
      <c r="G6" s="3"/>
    </row>
    <row r="7" spans="1:8">
      <c r="A7" s="4" t="s">
        <v>737</v>
      </c>
      <c r="B7" s="4" t="s">
        <v>51</v>
      </c>
      <c r="C7" s="4" t="s">
        <v>49</v>
      </c>
      <c r="D7" s="4"/>
      <c r="E7" s="4"/>
      <c r="F7" s="4" t="s">
        <v>738</v>
      </c>
      <c r="G7" s="4"/>
    </row>
    <row r="8" spans="1:8">
      <c r="A8" s="3" t="s">
        <v>739</v>
      </c>
      <c r="B8" s="3" t="s">
        <v>32</v>
      </c>
      <c r="C8" s="3" t="s">
        <v>44</v>
      </c>
      <c r="D8" s="3" t="s">
        <v>740</v>
      </c>
      <c r="E8" s="4"/>
      <c r="F8" s="3" t="s">
        <v>741</v>
      </c>
      <c r="G8" s="3"/>
    </row>
    <row r="9" spans="1:8">
      <c r="A9" s="3" t="s">
        <v>742</v>
      </c>
      <c r="B9" s="3" t="s">
        <v>32</v>
      </c>
      <c r="C9" s="3" t="s">
        <v>67</v>
      </c>
      <c r="D9" s="3" t="s">
        <v>639</v>
      </c>
      <c r="E9" s="4"/>
      <c r="F9" s="3" t="s">
        <v>743</v>
      </c>
      <c r="G9" s="3"/>
      <c r="H9" t="s">
        <v>75</v>
      </c>
    </row>
    <row r="10" spans="1:8">
      <c r="A10" s="3" t="s">
        <v>744</v>
      </c>
      <c r="B10" s="3" t="s">
        <v>32</v>
      </c>
      <c r="C10" s="3" t="s">
        <v>78</v>
      </c>
      <c r="D10" s="3" t="s">
        <v>745</v>
      </c>
      <c r="E10" s="4"/>
      <c r="F10" s="3" t="s">
        <v>746</v>
      </c>
      <c r="G10" s="3"/>
    </row>
    <row r="11" spans="1:8">
      <c r="A11" s="3" t="s">
        <v>747</v>
      </c>
      <c r="B11" s="3" t="s">
        <v>32</v>
      </c>
      <c r="C11" s="3" t="s">
        <v>78</v>
      </c>
      <c r="D11" s="3" t="s">
        <v>748</v>
      </c>
      <c r="E11" s="4"/>
      <c r="F11" s="3" t="s">
        <v>749</v>
      </c>
      <c r="G11" s="3"/>
      <c r="H11" t="s">
        <v>89</v>
      </c>
    </row>
    <row r="12" spans="1:8">
      <c r="A12" s="3" t="s">
        <v>750</v>
      </c>
      <c r="B12" s="3" t="s">
        <v>32</v>
      </c>
      <c r="C12" s="3" t="s">
        <v>44</v>
      </c>
      <c r="D12" s="3" t="s">
        <v>751</v>
      </c>
      <c r="E12" s="4"/>
      <c r="F12" s="3" t="s">
        <v>752</v>
      </c>
      <c r="G12" s="3"/>
      <c r="H12" t="s">
        <v>96</v>
      </c>
    </row>
    <row r="13" spans="1:8">
      <c r="A13" s="4" t="s">
        <v>753</v>
      </c>
      <c r="B13" s="4" t="s">
        <v>51</v>
      </c>
      <c r="C13" s="4" t="s">
        <v>44</v>
      </c>
      <c r="D13" s="4" t="s">
        <v>754</v>
      </c>
      <c r="E13" s="4"/>
      <c r="F13" s="4" t="s">
        <v>755</v>
      </c>
      <c r="G13" s="4"/>
    </row>
    <row r="14" spans="1:8">
      <c r="A14" s="4" t="s">
        <v>756</v>
      </c>
      <c r="B14" s="4" t="s">
        <v>51</v>
      </c>
      <c r="C14" s="4" t="s">
        <v>105</v>
      </c>
      <c r="D14" s="4" t="s">
        <v>108</v>
      </c>
      <c r="E14" s="4"/>
      <c r="F14" s="4" t="s">
        <v>757</v>
      </c>
      <c r="G14" s="4"/>
    </row>
    <row r="15" spans="1:8">
      <c r="A15" s="3" t="s">
        <v>758</v>
      </c>
      <c r="B15" s="3" t="s">
        <v>32</v>
      </c>
      <c r="C15" s="3" t="s">
        <v>49</v>
      </c>
      <c r="D15" s="3" t="s">
        <v>759</v>
      </c>
      <c r="E15" s="4"/>
      <c r="F15" s="3" t="s">
        <v>760</v>
      </c>
      <c r="G15" s="3"/>
    </row>
    <row r="16" spans="1:8">
      <c r="A16" s="4" t="s">
        <v>761</v>
      </c>
      <c r="B16" s="4" t="s">
        <v>51</v>
      </c>
      <c r="C16" s="4" t="s">
        <v>49</v>
      </c>
      <c r="D16" s="4" t="s">
        <v>762</v>
      </c>
      <c r="E16" s="4"/>
      <c r="F16" s="4" t="s">
        <v>763</v>
      </c>
      <c r="G16" s="4"/>
    </row>
    <row r="17" spans="1:7">
      <c r="A17" s="3" t="s">
        <v>764</v>
      </c>
      <c r="B17" s="3" t="s">
        <v>32</v>
      </c>
      <c r="C17" s="3" t="s">
        <v>124</v>
      </c>
      <c r="D17" s="3" t="s">
        <v>167</v>
      </c>
      <c r="E17" s="4"/>
      <c r="F17" s="3" t="s">
        <v>765</v>
      </c>
      <c r="G17" s="3"/>
    </row>
    <row r="18" spans="1:7">
      <c r="A18" s="4" t="s">
        <v>766</v>
      </c>
      <c r="B18" s="4" t="s">
        <v>51</v>
      </c>
      <c r="C18" s="4" t="s">
        <v>130</v>
      </c>
      <c r="D18" s="4" t="s">
        <v>767</v>
      </c>
      <c r="E18" s="4"/>
      <c r="F18" s="4" t="s">
        <v>768</v>
      </c>
      <c r="G18" s="4"/>
    </row>
    <row r="19" spans="1:7">
      <c r="A19" s="3" t="s">
        <v>769</v>
      </c>
      <c r="B19" s="3" t="s">
        <v>32</v>
      </c>
      <c r="C19" s="3" t="s">
        <v>67</v>
      </c>
      <c r="D19" s="3" t="s">
        <v>139</v>
      </c>
      <c r="E19" s="4"/>
      <c r="F19" s="3" t="s">
        <v>770</v>
      </c>
      <c r="G19" s="3"/>
    </row>
    <row r="20" spans="1:7">
      <c r="A20" s="4" t="s">
        <v>771</v>
      </c>
      <c r="B20" s="4" t="s">
        <v>51</v>
      </c>
      <c r="C20" s="4" t="s">
        <v>44</v>
      </c>
      <c r="D20" s="4" t="s">
        <v>772</v>
      </c>
      <c r="E20" s="4"/>
      <c r="F20" s="4" t="s">
        <v>755</v>
      </c>
      <c r="G20" s="4"/>
    </row>
    <row r="21" spans="1:7">
      <c r="A21" s="4" t="s">
        <v>773</v>
      </c>
      <c r="B21" s="4" t="s">
        <v>51</v>
      </c>
      <c r="C21" s="4" t="s">
        <v>149</v>
      </c>
      <c r="D21" s="4" t="s">
        <v>151</v>
      </c>
      <c r="E21" s="4"/>
      <c r="F21" s="4" t="s">
        <v>774</v>
      </c>
      <c r="G21" s="4"/>
    </row>
    <row r="22" spans="1:7">
      <c r="A22" s="4" t="s">
        <v>775</v>
      </c>
      <c r="B22" s="4" t="s">
        <v>51</v>
      </c>
      <c r="C22" s="4" t="s">
        <v>158</v>
      </c>
      <c r="D22" s="4" t="s">
        <v>776</v>
      </c>
      <c r="E22" s="4"/>
      <c r="F22" s="4" t="s">
        <v>777</v>
      </c>
      <c r="G22" s="4"/>
    </row>
    <row r="23" spans="1:7">
      <c r="A23" s="4" t="s">
        <v>778</v>
      </c>
      <c r="B23" s="4" t="s">
        <v>51</v>
      </c>
      <c r="C23" s="4" t="s">
        <v>149</v>
      </c>
      <c r="D23" s="4" t="s">
        <v>166</v>
      </c>
      <c r="E23" s="4"/>
      <c r="F23" s="4" t="s">
        <v>755</v>
      </c>
      <c r="G23" s="4"/>
    </row>
    <row r="24" spans="1:7">
      <c r="A24" s="4" t="s">
        <v>779</v>
      </c>
      <c r="B24" s="4" t="s">
        <v>51</v>
      </c>
      <c r="C24" s="4" t="s">
        <v>158</v>
      </c>
      <c r="D24" s="4"/>
      <c r="E24" s="4"/>
      <c r="F24" s="4" t="s">
        <v>780</v>
      </c>
      <c r="G24" s="4"/>
    </row>
    <row r="25" spans="1:7">
      <c r="A25" s="4" t="s">
        <v>781</v>
      </c>
      <c r="B25" s="4" t="s">
        <v>51</v>
      </c>
      <c r="C25" s="4" t="s">
        <v>158</v>
      </c>
      <c r="D25" s="4"/>
      <c r="E25" s="4"/>
      <c r="F25" s="4" t="s">
        <v>782</v>
      </c>
      <c r="G25" s="4"/>
    </row>
    <row r="26" spans="1:7">
      <c r="A26" s="4" t="s">
        <v>682</v>
      </c>
      <c r="B26" s="4" t="s">
        <v>51</v>
      </c>
      <c r="C26" s="4" t="s">
        <v>158</v>
      </c>
      <c r="D26" s="4" t="s">
        <v>450</v>
      </c>
      <c r="E26" s="4"/>
      <c r="F26" s="4" t="s">
        <v>783</v>
      </c>
      <c r="G26" s="4"/>
    </row>
    <row r="27" spans="1:7">
      <c r="A27" s="4" t="s">
        <v>784</v>
      </c>
      <c r="B27" s="4" t="s">
        <v>51</v>
      </c>
      <c r="C27" s="4" t="s">
        <v>186</v>
      </c>
      <c r="D27" s="4" t="s">
        <v>785</v>
      </c>
      <c r="E27" s="4"/>
      <c r="F27" s="4" t="s">
        <v>755</v>
      </c>
      <c r="G27" s="4"/>
    </row>
    <row r="28" spans="1:7">
      <c r="A28" s="4" t="s">
        <v>786</v>
      </c>
      <c r="B28" s="4" t="s">
        <v>51</v>
      </c>
      <c r="C28" s="4" t="s">
        <v>158</v>
      </c>
      <c r="D28" s="4" t="s">
        <v>642</v>
      </c>
      <c r="E28" s="4"/>
      <c r="F28" s="4" t="s">
        <v>787</v>
      </c>
      <c r="G28" s="4"/>
    </row>
    <row r="29" spans="1:7">
      <c r="A29" s="4" t="s">
        <v>788</v>
      </c>
      <c r="B29" s="4" t="s">
        <v>51</v>
      </c>
      <c r="C29" s="4" t="s">
        <v>186</v>
      </c>
      <c r="D29" s="4" t="s">
        <v>697</v>
      </c>
      <c r="E29" s="4"/>
      <c r="F29" s="4" t="s">
        <v>789</v>
      </c>
      <c r="G29" s="4"/>
    </row>
    <row r="30" spans="1:7">
      <c r="A30" s="3" t="s">
        <v>790</v>
      </c>
      <c r="B30" s="3" t="s">
        <v>32</v>
      </c>
      <c r="C30" s="3" t="s">
        <v>44</v>
      </c>
      <c r="D30" s="3" t="s">
        <v>28</v>
      </c>
      <c r="E30" s="4"/>
      <c r="F30" s="3" t="s">
        <v>791</v>
      </c>
      <c r="G30" s="3"/>
    </row>
    <row r="31" spans="1:7">
      <c r="A31" s="4" t="s">
        <v>792</v>
      </c>
      <c r="B31" s="4" t="s">
        <v>51</v>
      </c>
      <c r="C31" s="4" t="s">
        <v>186</v>
      </c>
      <c r="D31" s="4" t="s">
        <v>97</v>
      </c>
      <c r="E31" s="4"/>
      <c r="F31" s="4" t="s">
        <v>793</v>
      </c>
      <c r="G31" s="4"/>
    </row>
    <row r="32" spans="1:7">
      <c r="A32" s="4" t="s">
        <v>794</v>
      </c>
      <c r="B32" s="4" t="s">
        <v>51</v>
      </c>
      <c r="C32" s="4" t="s">
        <v>158</v>
      </c>
      <c r="D32" s="4"/>
      <c r="E32" s="4"/>
      <c r="F32" s="4" t="s">
        <v>795</v>
      </c>
      <c r="G32" s="4"/>
    </row>
    <row r="33" spans="1:7">
      <c r="A33" s="4" t="s">
        <v>796</v>
      </c>
      <c r="B33" s="4" t="s">
        <v>51</v>
      </c>
      <c r="C33" s="4" t="s">
        <v>186</v>
      </c>
      <c r="D33" s="4"/>
      <c r="E33" s="4"/>
      <c r="F33" s="4" t="s">
        <v>755</v>
      </c>
      <c r="G33" s="4"/>
    </row>
    <row r="34" spans="1:7">
      <c r="A34" s="4" t="s">
        <v>797</v>
      </c>
      <c r="B34" s="4" t="s">
        <v>51</v>
      </c>
      <c r="C34" s="4" t="s">
        <v>158</v>
      </c>
      <c r="D34" s="4"/>
      <c r="E34" s="4"/>
      <c r="F34" s="4" t="s">
        <v>798</v>
      </c>
      <c r="G34" s="4"/>
    </row>
    <row r="35" spans="1:7">
      <c r="A35" s="4" t="s">
        <v>799</v>
      </c>
      <c r="B35" s="4" t="s">
        <v>51</v>
      </c>
      <c r="C35" s="4" t="s">
        <v>158</v>
      </c>
      <c r="D35" s="4"/>
      <c r="E35" s="4"/>
      <c r="F35" s="4" t="s">
        <v>800</v>
      </c>
      <c r="G35" s="4"/>
    </row>
    <row r="36" spans="1:7">
      <c r="A36" s="4" t="s">
        <v>801</v>
      </c>
      <c r="B36" s="4" t="s">
        <v>51</v>
      </c>
      <c r="C36" s="4" t="s">
        <v>186</v>
      </c>
      <c r="D36" s="4"/>
      <c r="E36" s="4"/>
      <c r="F36" s="4" t="s">
        <v>802</v>
      </c>
      <c r="G36" s="4"/>
    </row>
    <row r="37" spans="1:7">
      <c r="A37" s="4" t="s">
        <v>803</v>
      </c>
      <c r="B37" s="4" t="s">
        <v>51</v>
      </c>
      <c r="C37" s="4" t="s">
        <v>158</v>
      </c>
      <c r="D37" s="4"/>
      <c r="E37" s="4"/>
      <c r="F37" s="4" t="s">
        <v>804</v>
      </c>
      <c r="G37" s="4"/>
    </row>
    <row r="38" spans="1:7">
      <c r="A38" s="4" t="s">
        <v>805</v>
      </c>
      <c r="B38" s="4" t="s">
        <v>51</v>
      </c>
      <c r="C38" s="4" t="s">
        <v>44</v>
      </c>
      <c r="D38" s="4"/>
      <c r="E38" s="4"/>
      <c r="F38" s="4" t="s">
        <v>755</v>
      </c>
      <c r="G38" s="4"/>
    </row>
    <row r="39" spans="1:7">
      <c r="A39" s="4" t="s">
        <v>806</v>
      </c>
      <c r="B39" s="4" t="s">
        <v>51</v>
      </c>
      <c r="C39" s="4" t="s">
        <v>105</v>
      </c>
      <c r="D39" s="4"/>
      <c r="E39" s="4"/>
      <c r="F39" s="4" t="s">
        <v>755</v>
      </c>
      <c r="G39" s="4"/>
    </row>
    <row r="40" spans="1:7">
      <c r="A40" s="4" t="s">
        <v>807</v>
      </c>
      <c r="B40" s="4" t="s">
        <v>51</v>
      </c>
      <c r="C40" s="4" t="s">
        <v>49</v>
      </c>
      <c r="D40" s="4"/>
      <c r="E40" s="4"/>
      <c r="F40" s="4" t="s">
        <v>755</v>
      </c>
      <c r="G40" s="4"/>
    </row>
    <row r="41" spans="1:7">
      <c r="A41" s="4" t="s">
        <v>808</v>
      </c>
      <c r="B41" s="4" t="s">
        <v>51</v>
      </c>
      <c r="C41" s="4" t="s">
        <v>49</v>
      </c>
      <c r="D41" s="4"/>
      <c r="E41" s="4"/>
      <c r="F41" s="4" t="s">
        <v>755</v>
      </c>
      <c r="G41" s="4"/>
    </row>
    <row r="42" spans="1:7">
      <c r="A42" s="4" t="s">
        <v>809</v>
      </c>
      <c r="B42" s="4" t="s">
        <v>51</v>
      </c>
      <c r="C42" s="4" t="s">
        <v>124</v>
      </c>
      <c r="D42" s="4"/>
      <c r="E42" s="4"/>
      <c r="F42" s="4" t="s">
        <v>755</v>
      </c>
      <c r="G42" s="4"/>
    </row>
    <row r="43" spans="1:7">
      <c r="A43" s="4" t="s">
        <v>810</v>
      </c>
      <c r="B43" s="4" t="s">
        <v>51</v>
      </c>
      <c r="C43" s="4" t="s">
        <v>67</v>
      </c>
      <c r="D43" s="4"/>
      <c r="E43" s="4"/>
      <c r="F43" s="4" t="s">
        <v>755</v>
      </c>
      <c r="G43" s="4"/>
    </row>
    <row r="44" spans="1:7">
      <c r="A44" s="4" t="s">
        <v>811</v>
      </c>
      <c r="B44" s="4" t="s">
        <v>51</v>
      </c>
      <c r="C44" s="4" t="s">
        <v>186</v>
      </c>
      <c r="D44" s="4"/>
      <c r="E44" s="4"/>
      <c r="F44" s="4" t="s">
        <v>755</v>
      </c>
      <c r="G44" s="4"/>
    </row>
    <row r="45" spans="1:7">
      <c r="A45" s="4" t="s">
        <v>812</v>
      </c>
      <c r="B45" s="4" t="s">
        <v>51</v>
      </c>
      <c r="C45" s="4" t="s">
        <v>124</v>
      </c>
      <c r="D45" s="4" t="s">
        <v>813</v>
      </c>
      <c r="E45" s="4"/>
      <c r="F45" s="4" t="s">
        <v>814</v>
      </c>
      <c r="G45" s="4"/>
    </row>
    <row r="46" spans="1:7">
      <c r="A46" s="4" t="s">
        <v>815</v>
      </c>
      <c r="B46" s="4" t="s">
        <v>51</v>
      </c>
      <c r="C46" s="4" t="s">
        <v>269</v>
      </c>
      <c r="D46" s="4" t="s">
        <v>816</v>
      </c>
      <c r="E46" s="4"/>
      <c r="F46" s="4" t="s">
        <v>817</v>
      </c>
      <c r="G46" s="4"/>
    </row>
    <row r="47" spans="1:7">
      <c r="A47" s="3" t="s">
        <v>818</v>
      </c>
      <c r="B47" s="3" t="s">
        <v>32</v>
      </c>
      <c r="C47" s="3" t="s">
        <v>149</v>
      </c>
      <c r="D47" s="3" t="s">
        <v>36</v>
      </c>
      <c r="E47" s="4"/>
      <c r="F47" s="3" t="s">
        <v>819</v>
      </c>
      <c r="G47" s="3"/>
    </row>
    <row r="48" spans="1:7">
      <c r="A48" s="3" t="s">
        <v>820</v>
      </c>
      <c r="B48" s="3" t="s">
        <v>32</v>
      </c>
      <c r="C48" s="3" t="s">
        <v>149</v>
      </c>
      <c r="D48" s="3" t="s">
        <v>28</v>
      </c>
      <c r="E48" s="4"/>
      <c r="F48" s="3" t="s">
        <v>821</v>
      </c>
      <c r="G48" s="3"/>
    </row>
    <row r="49" spans="1:7">
      <c r="A49" s="3" t="s">
        <v>822</v>
      </c>
      <c r="B49" s="3" t="s">
        <v>32</v>
      </c>
      <c r="C49" s="3" t="s">
        <v>124</v>
      </c>
      <c r="D49" s="3" t="s">
        <v>474</v>
      </c>
      <c r="E49" s="4"/>
      <c r="F49" s="3" t="s">
        <v>823</v>
      </c>
      <c r="G49" s="3"/>
    </row>
    <row r="50" spans="1:7">
      <c r="A50" s="3" t="s">
        <v>824</v>
      </c>
      <c r="B50" s="3" t="s">
        <v>32</v>
      </c>
      <c r="C50" s="3" t="s">
        <v>149</v>
      </c>
      <c r="D50" s="3" t="s">
        <v>28</v>
      </c>
      <c r="E50" s="4"/>
      <c r="F50" s="3" t="s">
        <v>825</v>
      </c>
      <c r="G50" s="3"/>
    </row>
    <row r="51" spans="1:7">
      <c r="A51" s="3" t="s">
        <v>826</v>
      </c>
      <c r="B51" s="3" t="s">
        <v>32</v>
      </c>
      <c r="C51" s="3" t="s">
        <v>124</v>
      </c>
      <c r="D51" s="3" t="s">
        <v>474</v>
      </c>
      <c r="E51" s="4"/>
      <c r="F51" s="3" t="s">
        <v>827</v>
      </c>
      <c r="G51" s="3"/>
    </row>
    <row r="52" spans="1:7">
      <c r="A52" s="4" t="s">
        <v>586</v>
      </c>
      <c r="B52" s="4" t="s">
        <v>51</v>
      </c>
      <c r="C52" s="4" t="s">
        <v>186</v>
      </c>
      <c r="D52" s="4"/>
      <c r="E52" s="4"/>
      <c r="F52" s="4" t="s">
        <v>828</v>
      </c>
      <c r="G52" s="4"/>
    </row>
    <row r="53" spans="1:7">
      <c r="A53" s="4" t="s">
        <v>829</v>
      </c>
      <c r="B53" s="4" t="s">
        <v>51</v>
      </c>
      <c r="C53" s="4" t="s">
        <v>158</v>
      </c>
      <c r="D53" s="4"/>
      <c r="E53" s="4"/>
      <c r="F53" s="4" t="s">
        <v>830</v>
      </c>
      <c r="G53" s="4"/>
    </row>
    <row r="54" spans="1:7">
      <c r="A54" s="4" t="s">
        <v>831</v>
      </c>
      <c r="B54" s="4" t="s">
        <v>51</v>
      </c>
      <c r="C54" s="4" t="s">
        <v>158</v>
      </c>
      <c r="D54" s="4"/>
      <c r="E54" s="4"/>
      <c r="F54" s="4" t="s">
        <v>832</v>
      </c>
      <c r="G54" s="4"/>
    </row>
    <row r="55" spans="1:7">
      <c r="A55" s="3" t="s">
        <v>833</v>
      </c>
      <c r="B55" s="3" t="s">
        <v>32</v>
      </c>
      <c r="C55" s="3" t="s">
        <v>322</v>
      </c>
      <c r="D55" s="3" t="s">
        <v>834</v>
      </c>
      <c r="E55" s="4"/>
      <c r="F55" s="3" t="s">
        <v>835</v>
      </c>
      <c r="G55" s="3"/>
    </row>
    <row r="56" spans="1:7">
      <c r="A56" s="4" t="s">
        <v>836</v>
      </c>
      <c r="B56" s="4" t="s">
        <v>51</v>
      </c>
      <c r="C56" s="4" t="s">
        <v>124</v>
      </c>
      <c r="D56" s="4"/>
      <c r="E56" s="4"/>
      <c r="F56" s="4" t="s">
        <v>837</v>
      </c>
      <c r="G56" s="4"/>
    </row>
    <row r="57" spans="1:7">
      <c r="A57" s="4" t="s">
        <v>649</v>
      </c>
      <c r="B57" s="4" t="s">
        <v>51</v>
      </c>
      <c r="C57" s="4" t="s">
        <v>158</v>
      </c>
      <c r="D57" s="4"/>
      <c r="E57" s="4"/>
      <c r="F57" s="4" t="s">
        <v>838</v>
      </c>
      <c r="G57" s="4"/>
    </row>
    <row r="58" spans="1:7">
      <c r="A58" s="3" t="s">
        <v>839</v>
      </c>
      <c r="B58" s="3" t="s">
        <v>32</v>
      </c>
      <c r="C58" s="3" t="s">
        <v>322</v>
      </c>
      <c r="D58" s="3" t="s">
        <v>834</v>
      </c>
      <c r="E58" s="4"/>
      <c r="F58" s="3" t="s">
        <v>840</v>
      </c>
      <c r="G58" s="3"/>
    </row>
    <row r="59" spans="1:7">
      <c r="A59" s="4" t="s">
        <v>672</v>
      </c>
      <c r="B59" s="4" t="s">
        <v>51</v>
      </c>
      <c r="C59" s="4" t="s">
        <v>340</v>
      </c>
      <c r="D59" s="4"/>
      <c r="E59" s="4"/>
      <c r="F59" s="4" t="s">
        <v>841</v>
      </c>
      <c r="G59" s="4"/>
    </row>
    <row r="60" spans="1:7">
      <c r="A60" s="4" t="s">
        <v>842</v>
      </c>
      <c r="B60" s="4" t="s">
        <v>51</v>
      </c>
      <c r="C60" s="4" t="s">
        <v>124</v>
      </c>
      <c r="D60" s="4"/>
      <c r="E60" s="4"/>
      <c r="F60" s="4" t="s">
        <v>843</v>
      </c>
      <c r="G60" s="4"/>
    </row>
    <row r="61" spans="1:7">
      <c r="A61" s="4" t="s">
        <v>844</v>
      </c>
      <c r="B61" s="4" t="s">
        <v>51</v>
      </c>
      <c r="C61" s="4" t="s">
        <v>269</v>
      </c>
      <c r="D61" s="4"/>
      <c r="E61" s="4"/>
      <c r="F61" s="4" t="s">
        <v>845</v>
      </c>
      <c r="G61" s="4"/>
    </row>
    <row r="62" spans="1:7">
      <c r="A62" s="3" t="s">
        <v>846</v>
      </c>
      <c r="B62" s="3" t="s">
        <v>32</v>
      </c>
      <c r="C62" s="3" t="s">
        <v>158</v>
      </c>
      <c r="D62" s="3" t="s">
        <v>847</v>
      </c>
      <c r="E62" s="4"/>
      <c r="F62" s="3" t="s">
        <v>848</v>
      </c>
      <c r="G62" s="3"/>
    </row>
    <row r="63" spans="1:7">
      <c r="A63" s="4" t="s">
        <v>849</v>
      </c>
      <c r="B63" s="4" t="s">
        <v>51</v>
      </c>
      <c r="C63" s="4" t="s">
        <v>269</v>
      </c>
      <c r="D63" s="4" t="s">
        <v>850</v>
      </c>
      <c r="E63" s="4"/>
      <c r="F63" s="4" t="s">
        <v>851</v>
      </c>
      <c r="G63" s="4"/>
    </row>
    <row r="64" spans="1:7">
      <c r="A64" s="3" t="s">
        <v>852</v>
      </c>
      <c r="B64" s="3" t="s">
        <v>32</v>
      </c>
      <c r="C64" s="3" t="s">
        <v>269</v>
      </c>
      <c r="D64" s="3" t="s">
        <v>853</v>
      </c>
      <c r="E64" s="4"/>
      <c r="F64" s="3" t="s">
        <v>854</v>
      </c>
      <c r="G64" s="3"/>
    </row>
    <row r="65" spans="1:7">
      <c r="A65" s="4" t="s">
        <v>855</v>
      </c>
      <c r="B65" s="4" t="s">
        <v>51</v>
      </c>
      <c r="C65" s="4" t="s">
        <v>67</v>
      </c>
      <c r="D65" s="4" t="s">
        <v>54</v>
      </c>
      <c r="E65" s="4"/>
      <c r="F65" s="4" t="s">
        <v>755</v>
      </c>
      <c r="G65" s="4"/>
    </row>
    <row r="66" spans="1:7">
      <c r="A66" s="4" t="s">
        <v>587</v>
      </c>
      <c r="B66" s="4" t="s">
        <v>51</v>
      </c>
      <c r="C66" s="4" t="s">
        <v>269</v>
      </c>
      <c r="D66" s="4" t="s">
        <v>856</v>
      </c>
      <c r="E66" s="4"/>
      <c r="F66" s="4" t="s">
        <v>857</v>
      </c>
      <c r="G66" s="4"/>
    </row>
    <row r="67" spans="1:7">
      <c r="A67" s="4" t="s">
        <v>858</v>
      </c>
      <c r="B67" s="4" t="s">
        <v>51</v>
      </c>
      <c r="C67" s="4" t="s">
        <v>158</v>
      </c>
      <c r="D67" s="4"/>
      <c r="E67" s="4"/>
      <c r="F67" s="4" t="s">
        <v>859</v>
      </c>
      <c r="G67" s="4"/>
    </row>
    <row r="68" spans="1:7">
      <c r="A68" s="4" t="s">
        <v>860</v>
      </c>
      <c r="B68" s="4" t="s">
        <v>51</v>
      </c>
      <c r="C68" s="4" t="s">
        <v>269</v>
      </c>
      <c r="D68" s="4"/>
      <c r="E68" s="4"/>
      <c r="F68" s="4" t="s">
        <v>861</v>
      </c>
      <c r="G68" s="4"/>
    </row>
    <row r="69" spans="1:7">
      <c r="A69" s="4" t="s">
        <v>862</v>
      </c>
      <c r="B69" s="4" t="s">
        <v>51</v>
      </c>
      <c r="C69" s="4" t="s">
        <v>269</v>
      </c>
      <c r="D69" s="4"/>
      <c r="E69" s="4"/>
      <c r="F69" s="4" t="s">
        <v>863</v>
      </c>
      <c r="G69" s="4"/>
    </row>
    <row r="70" spans="1:7">
      <c r="A70" s="4" t="s">
        <v>864</v>
      </c>
      <c r="B70" s="4" t="s">
        <v>51</v>
      </c>
      <c r="C70" s="4" t="s">
        <v>269</v>
      </c>
      <c r="D70" s="4"/>
      <c r="E70" s="4"/>
      <c r="F70" s="4" t="s">
        <v>865</v>
      </c>
      <c r="G70" s="4"/>
    </row>
    <row r="71" spans="1:7">
      <c r="A71" s="3" t="s">
        <v>866</v>
      </c>
      <c r="B71" s="3" t="s">
        <v>32</v>
      </c>
      <c r="C71" s="3" t="s">
        <v>269</v>
      </c>
      <c r="D71" s="3" t="s">
        <v>853</v>
      </c>
      <c r="E71" s="4"/>
      <c r="F71" s="3" t="s">
        <v>867</v>
      </c>
      <c r="G71" s="3"/>
    </row>
    <row r="72" spans="1:7">
      <c r="A72" s="4" t="s">
        <v>868</v>
      </c>
      <c r="B72" s="4" t="s">
        <v>51</v>
      </c>
      <c r="C72" s="4" t="s">
        <v>158</v>
      </c>
      <c r="D72" s="4"/>
      <c r="E72" s="4"/>
      <c r="F72" s="4" t="s">
        <v>869</v>
      </c>
      <c r="G72" s="4"/>
    </row>
    <row r="73" spans="1:7">
      <c r="A73" s="4" t="s">
        <v>870</v>
      </c>
      <c r="B73" s="4" t="s">
        <v>51</v>
      </c>
      <c r="C73" s="4" t="s">
        <v>158</v>
      </c>
      <c r="D73" s="4"/>
      <c r="E73" s="4"/>
      <c r="F73" s="4" t="s">
        <v>871</v>
      </c>
      <c r="G73" s="4"/>
    </row>
    <row r="74" spans="1:7">
      <c r="A74" s="4" t="s">
        <v>872</v>
      </c>
      <c r="B74" s="4" t="s">
        <v>51</v>
      </c>
      <c r="C74" s="4" t="s">
        <v>158</v>
      </c>
      <c r="D74" s="4"/>
      <c r="E74" s="4"/>
      <c r="F74" s="4" t="s">
        <v>873</v>
      </c>
      <c r="G74" s="4"/>
    </row>
    <row r="75" spans="1:7">
      <c r="A75" s="4" t="s">
        <v>874</v>
      </c>
      <c r="B75" s="4" t="s">
        <v>51</v>
      </c>
      <c r="C75" s="4" t="s">
        <v>130</v>
      </c>
      <c r="D75" s="4"/>
      <c r="E75" s="4"/>
      <c r="F75" s="4" t="s">
        <v>875</v>
      </c>
      <c r="G75" s="4"/>
    </row>
    <row r="76" spans="1:7">
      <c r="A76" s="3" t="s">
        <v>876</v>
      </c>
      <c r="B76" s="3" t="s">
        <v>32</v>
      </c>
      <c r="C76" s="3" t="s">
        <v>158</v>
      </c>
      <c r="D76" s="3" t="s">
        <v>422</v>
      </c>
      <c r="E76" s="4"/>
      <c r="F76" s="3" t="s">
        <v>877</v>
      </c>
      <c r="G76" s="3"/>
    </row>
    <row r="77" spans="1:7">
      <c r="A77" s="4" t="s">
        <v>878</v>
      </c>
      <c r="B77" s="4" t="s">
        <v>51</v>
      </c>
      <c r="C77" s="4" t="s">
        <v>158</v>
      </c>
      <c r="D77" s="4"/>
      <c r="E77" s="4"/>
      <c r="F77" s="4" t="s">
        <v>879</v>
      </c>
      <c r="G77" s="4"/>
    </row>
    <row r="78" spans="1:7">
      <c r="A78" s="4" t="s">
        <v>880</v>
      </c>
      <c r="B78" s="4" t="s">
        <v>51</v>
      </c>
      <c r="C78" s="4" t="s">
        <v>158</v>
      </c>
      <c r="D78" s="4"/>
      <c r="E78" s="4"/>
      <c r="F78" s="4" t="s">
        <v>881</v>
      </c>
      <c r="G78" s="4"/>
    </row>
    <row r="79" spans="1:7">
      <c r="A79" s="4" t="s">
        <v>712</v>
      </c>
      <c r="B79" s="4" t="s">
        <v>51</v>
      </c>
      <c r="C79" s="4" t="s">
        <v>158</v>
      </c>
      <c r="D79" s="4"/>
      <c r="E79" s="4"/>
      <c r="F79" s="4" t="s">
        <v>882</v>
      </c>
      <c r="G79" s="4"/>
    </row>
    <row r="80" spans="1:7">
      <c r="A80" s="3" t="s">
        <v>621</v>
      </c>
      <c r="B80" s="3" t="s">
        <v>32</v>
      </c>
      <c r="C80" s="3" t="s">
        <v>149</v>
      </c>
      <c r="D80" s="3" t="s">
        <v>445</v>
      </c>
      <c r="E80" s="4"/>
      <c r="F80" s="3" t="s">
        <v>883</v>
      </c>
      <c r="G80" s="3"/>
    </row>
    <row r="81" spans="1:7">
      <c r="A81" s="4" t="s">
        <v>884</v>
      </c>
      <c r="B81" s="4" t="s">
        <v>51</v>
      </c>
      <c r="C81" s="4" t="s">
        <v>149</v>
      </c>
      <c r="D81" s="4"/>
      <c r="E81" s="4"/>
      <c r="F81" s="4" t="s">
        <v>755</v>
      </c>
      <c r="G81" s="4"/>
    </row>
    <row r="82" spans="1:7">
      <c r="A82" s="4" t="s">
        <v>885</v>
      </c>
      <c r="B82" s="4" t="s">
        <v>51</v>
      </c>
      <c r="C82" s="4" t="s">
        <v>149</v>
      </c>
      <c r="D82" s="4"/>
      <c r="E82" s="4"/>
      <c r="F82" s="4" t="s">
        <v>755</v>
      </c>
      <c r="G82" s="4"/>
    </row>
    <row r="83" spans="1:7">
      <c r="A83" s="4" t="s">
        <v>886</v>
      </c>
      <c r="B83" s="4" t="s">
        <v>51</v>
      </c>
      <c r="C83" s="4" t="s">
        <v>149</v>
      </c>
      <c r="D83" s="4"/>
      <c r="E83" s="4"/>
      <c r="F83" s="4" t="s">
        <v>755</v>
      </c>
      <c r="G83" s="4"/>
    </row>
    <row r="84" spans="1:7">
      <c r="A84" s="4" t="s">
        <v>887</v>
      </c>
      <c r="B84" s="4" t="s">
        <v>51</v>
      </c>
      <c r="C84" s="4" t="s">
        <v>322</v>
      </c>
      <c r="D84" s="4"/>
      <c r="E84" s="4"/>
      <c r="F84" s="4" t="s">
        <v>755</v>
      </c>
      <c r="G84" s="4"/>
    </row>
    <row r="85" spans="1:7">
      <c r="A85" s="4" t="s">
        <v>888</v>
      </c>
      <c r="B85" s="4" t="s">
        <v>51</v>
      </c>
      <c r="C85" s="4" t="s">
        <v>124</v>
      </c>
      <c r="D85" s="4"/>
      <c r="E85" s="4"/>
      <c r="F85" s="4" t="s">
        <v>755</v>
      </c>
      <c r="G85" s="4"/>
    </row>
    <row r="86" spans="1:7">
      <c r="A86" s="4" t="s">
        <v>889</v>
      </c>
      <c r="B86" s="4" t="s">
        <v>51</v>
      </c>
      <c r="C86" s="4" t="s">
        <v>477</v>
      </c>
      <c r="D86" s="4"/>
      <c r="E86" s="4"/>
      <c r="F86" s="4" t="s">
        <v>755</v>
      </c>
      <c r="G86" s="4"/>
    </row>
    <row r="87" spans="1:7">
      <c r="A87" s="4" t="s">
        <v>890</v>
      </c>
      <c r="B87" s="4" t="s">
        <v>86</v>
      </c>
      <c r="C87" s="4" t="s">
        <v>124</v>
      </c>
      <c r="D87" s="4"/>
      <c r="E87" s="4"/>
      <c r="F87" s="4" t="s">
        <v>755</v>
      </c>
      <c r="G87" s="4"/>
    </row>
    <row r="88" spans="1:7">
      <c r="A88" s="3" t="s">
        <v>891</v>
      </c>
      <c r="B88" s="3" t="s">
        <v>32</v>
      </c>
      <c r="C88" s="3" t="s">
        <v>322</v>
      </c>
      <c r="D88" s="3" t="s">
        <v>834</v>
      </c>
      <c r="E88" s="4"/>
      <c r="F88" s="3" t="s">
        <v>755</v>
      </c>
      <c r="G88" s="3"/>
    </row>
    <row r="89" spans="1:7">
      <c r="A89" s="4" t="s">
        <v>892</v>
      </c>
      <c r="B89" s="4" t="s">
        <v>51</v>
      </c>
      <c r="C89" s="4" t="s">
        <v>322</v>
      </c>
      <c r="D89" s="4"/>
      <c r="E89" s="4"/>
      <c r="F89" s="4" t="s">
        <v>755</v>
      </c>
      <c r="G89" s="4"/>
    </row>
    <row r="90" spans="1:7">
      <c r="A90" s="4" t="s">
        <v>893</v>
      </c>
      <c r="B90" s="4" t="s">
        <v>51</v>
      </c>
      <c r="C90" s="4" t="s">
        <v>340</v>
      </c>
      <c r="D90" s="4"/>
      <c r="E90" s="4"/>
      <c r="F90" s="4" t="s">
        <v>894</v>
      </c>
      <c r="G90" s="4"/>
    </row>
    <row r="91" spans="1:7">
      <c r="A91" s="3" t="s">
        <v>895</v>
      </c>
      <c r="B91" s="3" t="s">
        <v>32</v>
      </c>
      <c r="C91" s="3" t="s">
        <v>504</v>
      </c>
      <c r="D91" s="3" t="s">
        <v>896</v>
      </c>
      <c r="E91" s="4"/>
      <c r="F91" s="3" t="s">
        <v>755</v>
      </c>
      <c r="G91" s="3" t="s">
        <v>897</v>
      </c>
    </row>
    <row r="92" spans="1:7">
      <c r="A92" s="3" t="s">
        <v>898</v>
      </c>
      <c r="B92" s="3" t="s">
        <v>32</v>
      </c>
      <c r="C92" s="3" t="s">
        <v>186</v>
      </c>
      <c r="D92" s="3" t="s">
        <v>735</v>
      </c>
      <c r="E92" s="4"/>
      <c r="F92" s="3" t="s">
        <v>755</v>
      </c>
      <c r="G92" s="3" t="s">
        <v>899</v>
      </c>
    </row>
    <row r="93" spans="1:7">
      <c r="A93" s="4" t="s">
        <v>900</v>
      </c>
      <c r="B93" s="4" t="s">
        <v>51</v>
      </c>
      <c r="C93" s="4" t="s">
        <v>504</v>
      </c>
      <c r="D93" s="4"/>
      <c r="E93" s="4"/>
      <c r="F93" s="4" t="s">
        <v>755</v>
      </c>
      <c r="G93" s="4"/>
    </row>
    <row r="94" spans="1:7">
      <c r="A94" s="4" t="s">
        <v>518</v>
      </c>
      <c r="B94" s="4" t="s">
        <v>51</v>
      </c>
      <c r="C94" s="4" t="s">
        <v>186</v>
      </c>
      <c r="D94" s="4"/>
      <c r="E94" s="4"/>
      <c r="F94" s="4" t="s">
        <v>755</v>
      </c>
      <c r="G94" s="4"/>
    </row>
    <row r="95" spans="1:7">
      <c r="A95" s="60" t="s">
        <v>901</v>
      </c>
      <c r="B95" s="60"/>
      <c r="C95" s="60"/>
      <c r="D95" s="60"/>
      <c r="E95" s="60"/>
      <c r="F95" s="60" t="s">
        <v>902</v>
      </c>
      <c r="G95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2026-07-23T06:39:19Z</dcterms:modified>
  <cp:category/>
  <cp:contentStatus/>
</cp:coreProperties>
</file>