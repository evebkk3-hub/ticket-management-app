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C50F9E33-E039-4946-832C-E4A3C97EC0F9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EN60" sheetId="1" r:id="rId1"/>
    <sheet name="เงินคืน EN60(age 0-10)" sheetId="2" r:id="rId2"/>
    <sheet name="เงินคืน EN60(age 11-25)" sheetId="3" r:id="rId3"/>
    <sheet name="เงินคืน EN60(age 16-45)" sheetId="4" r:id="rId4"/>
    <sheet name="เงินคืน EN60(age 46-65)" sheetId="5" r:id="rId5"/>
    <sheet name="Sheet2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2" l="1"/>
  <c r="C3" i="2"/>
  <c r="A25" i="6"/>
  <c r="A24" i="6"/>
  <c r="A23" i="6"/>
  <c r="A22" i="6"/>
  <c r="A21" i="6"/>
  <c r="A20" i="6"/>
  <c r="A19" i="6"/>
  <c r="A18" i="6"/>
  <c r="A17" i="6"/>
  <c r="A16" i="6"/>
  <c r="A15" i="6"/>
  <c r="A14" i="6"/>
  <c r="B13" i="6"/>
  <c r="A13" i="6"/>
  <c r="G12" i="6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F12" i="6"/>
  <c r="D12" i="6"/>
  <c r="I12" i="6" s="1"/>
  <c r="A12" i="6"/>
  <c r="H12" i="6" s="1"/>
  <c r="C7" i="6"/>
  <c r="B7" i="6"/>
  <c r="C3" i="6"/>
  <c r="A3" i="6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B526" i="5"/>
  <c r="A526" i="5"/>
  <c r="G525" i="5"/>
  <c r="G526" i="5" s="1"/>
  <c r="G527" i="5" s="1"/>
  <c r="G528" i="5" s="1"/>
  <c r="G529" i="5" s="1"/>
  <c r="G530" i="5" s="1"/>
  <c r="G531" i="5" s="1"/>
  <c r="G532" i="5" s="1"/>
  <c r="G533" i="5" s="1"/>
  <c r="G534" i="5" s="1"/>
  <c r="G535" i="5" s="1"/>
  <c r="G536" i="5" s="1"/>
  <c r="G537" i="5" s="1"/>
  <c r="G538" i="5" s="1"/>
  <c r="G539" i="5" s="1"/>
  <c r="F525" i="5"/>
  <c r="D525" i="5"/>
  <c r="I525" i="5" s="1"/>
  <c r="A525" i="5"/>
  <c r="H525" i="5" s="1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B508" i="5"/>
  <c r="A508" i="5"/>
  <c r="G507" i="5"/>
  <c r="G508" i="5" s="1"/>
  <c r="G509" i="5" s="1"/>
  <c r="G510" i="5" s="1"/>
  <c r="G511" i="5" s="1"/>
  <c r="G512" i="5" s="1"/>
  <c r="G513" i="5" s="1"/>
  <c r="G514" i="5" s="1"/>
  <c r="G515" i="5" s="1"/>
  <c r="G516" i="5" s="1"/>
  <c r="G517" i="5" s="1"/>
  <c r="G518" i="5" s="1"/>
  <c r="G519" i="5" s="1"/>
  <c r="G520" i="5" s="1"/>
  <c r="G521" i="5" s="1"/>
  <c r="G522" i="5" s="1"/>
  <c r="F507" i="5"/>
  <c r="D507" i="5"/>
  <c r="I507" i="5" s="1"/>
  <c r="A507" i="5"/>
  <c r="H507" i="5" s="1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B489" i="5"/>
  <c r="A489" i="5"/>
  <c r="G488" i="5"/>
  <c r="G489" i="5" s="1"/>
  <c r="G490" i="5" s="1"/>
  <c r="G491" i="5" s="1"/>
  <c r="G492" i="5" s="1"/>
  <c r="G493" i="5" s="1"/>
  <c r="G494" i="5" s="1"/>
  <c r="G495" i="5" s="1"/>
  <c r="G496" i="5" s="1"/>
  <c r="G497" i="5" s="1"/>
  <c r="G498" i="5" s="1"/>
  <c r="G499" i="5" s="1"/>
  <c r="G500" i="5" s="1"/>
  <c r="G501" i="5" s="1"/>
  <c r="G502" i="5" s="1"/>
  <c r="G503" i="5" s="1"/>
  <c r="G504" i="5" s="1"/>
  <c r="F488" i="5"/>
  <c r="D488" i="5"/>
  <c r="I488" i="5" s="1"/>
  <c r="A488" i="5"/>
  <c r="H488" i="5" s="1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B469" i="5"/>
  <c r="A469" i="5"/>
  <c r="G468" i="5"/>
  <c r="G469" i="5" s="1"/>
  <c r="G470" i="5" s="1"/>
  <c r="G471" i="5" s="1"/>
  <c r="G472" i="5" s="1"/>
  <c r="G473" i="5" s="1"/>
  <c r="G474" i="5" s="1"/>
  <c r="G475" i="5" s="1"/>
  <c r="G476" i="5" s="1"/>
  <c r="G477" i="5" s="1"/>
  <c r="G478" i="5" s="1"/>
  <c r="G479" i="5" s="1"/>
  <c r="G480" i="5" s="1"/>
  <c r="G481" i="5" s="1"/>
  <c r="G482" i="5" s="1"/>
  <c r="G483" i="5" s="1"/>
  <c r="G484" i="5" s="1"/>
  <c r="G485" i="5" s="1"/>
  <c r="F468" i="5"/>
  <c r="D468" i="5"/>
  <c r="I468" i="5" s="1"/>
  <c r="A468" i="5"/>
  <c r="H468" i="5" s="1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B448" i="5"/>
  <c r="A448" i="5"/>
  <c r="G447" i="5"/>
  <c r="G448" i="5" s="1"/>
  <c r="G449" i="5" s="1"/>
  <c r="G450" i="5" s="1"/>
  <c r="G451" i="5" s="1"/>
  <c r="G452" i="5" s="1"/>
  <c r="G453" i="5" s="1"/>
  <c r="G454" i="5" s="1"/>
  <c r="G455" i="5" s="1"/>
  <c r="G456" i="5" s="1"/>
  <c r="G457" i="5" s="1"/>
  <c r="G458" i="5" s="1"/>
  <c r="G459" i="5" s="1"/>
  <c r="G460" i="5" s="1"/>
  <c r="G461" i="5" s="1"/>
  <c r="G462" i="5" s="1"/>
  <c r="G463" i="5" s="1"/>
  <c r="G464" i="5" s="1"/>
  <c r="G465" i="5" s="1"/>
  <c r="F447" i="5"/>
  <c r="D447" i="5"/>
  <c r="I447" i="5" s="1"/>
  <c r="A447" i="5"/>
  <c r="H447" i="5" s="1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B426" i="5"/>
  <c r="A426" i="5"/>
  <c r="G425" i="5"/>
  <c r="G426" i="5" s="1"/>
  <c r="G427" i="5" s="1"/>
  <c r="G428" i="5" s="1"/>
  <c r="G429" i="5" s="1"/>
  <c r="G430" i="5" s="1"/>
  <c r="G431" i="5" s="1"/>
  <c r="G432" i="5" s="1"/>
  <c r="G433" i="5" s="1"/>
  <c r="G434" i="5" s="1"/>
  <c r="G435" i="5" s="1"/>
  <c r="G436" i="5" s="1"/>
  <c r="G437" i="5" s="1"/>
  <c r="G438" i="5" s="1"/>
  <c r="G439" i="5" s="1"/>
  <c r="G440" i="5" s="1"/>
  <c r="G441" i="5" s="1"/>
  <c r="G442" i="5" s="1"/>
  <c r="G443" i="5" s="1"/>
  <c r="G444" i="5" s="1"/>
  <c r="F425" i="5"/>
  <c r="D425" i="5"/>
  <c r="I425" i="5" s="1"/>
  <c r="A425" i="5"/>
  <c r="H425" i="5" s="1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B403" i="5"/>
  <c r="A403" i="5"/>
  <c r="G402" i="5"/>
  <c r="G403" i="5" s="1"/>
  <c r="G404" i="5" s="1"/>
  <c r="G405" i="5" s="1"/>
  <c r="G406" i="5" s="1"/>
  <c r="G407" i="5" s="1"/>
  <c r="G408" i="5" s="1"/>
  <c r="G409" i="5" s="1"/>
  <c r="G410" i="5" s="1"/>
  <c r="G411" i="5" s="1"/>
  <c r="G412" i="5" s="1"/>
  <c r="G413" i="5" s="1"/>
  <c r="G414" i="5" s="1"/>
  <c r="G415" i="5" s="1"/>
  <c r="G416" i="5" s="1"/>
  <c r="G417" i="5" s="1"/>
  <c r="G418" i="5" s="1"/>
  <c r="G419" i="5" s="1"/>
  <c r="G420" i="5" s="1"/>
  <c r="G421" i="5" s="1"/>
  <c r="G422" i="5" s="1"/>
  <c r="F402" i="5"/>
  <c r="D402" i="5"/>
  <c r="I402" i="5" s="1"/>
  <c r="A402" i="5"/>
  <c r="H402" i="5" s="1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B379" i="5"/>
  <c r="A379" i="5"/>
  <c r="G378" i="5"/>
  <c r="G379" i="5" s="1"/>
  <c r="G380" i="5" s="1"/>
  <c r="G381" i="5" s="1"/>
  <c r="G382" i="5" s="1"/>
  <c r="G383" i="5" s="1"/>
  <c r="G384" i="5" s="1"/>
  <c r="G385" i="5" s="1"/>
  <c r="G386" i="5" s="1"/>
  <c r="G387" i="5" s="1"/>
  <c r="G388" i="5" s="1"/>
  <c r="G389" i="5" s="1"/>
  <c r="G390" i="5" s="1"/>
  <c r="G391" i="5" s="1"/>
  <c r="G392" i="5" s="1"/>
  <c r="G393" i="5" s="1"/>
  <c r="G394" i="5" s="1"/>
  <c r="G395" i="5" s="1"/>
  <c r="G396" i="5" s="1"/>
  <c r="G397" i="5" s="1"/>
  <c r="G398" i="5" s="1"/>
  <c r="G399" i="5" s="1"/>
  <c r="F378" i="5"/>
  <c r="D378" i="5"/>
  <c r="I378" i="5" s="1"/>
  <c r="A378" i="5"/>
  <c r="H378" i="5" s="1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B354" i="5"/>
  <c r="A354" i="5"/>
  <c r="G353" i="5"/>
  <c r="G354" i="5" s="1"/>
  <c r="G355" i="5" s="1"/>
  <c r="G356" i="5" s="1"/>
  <c r="G357" i="5" s="1"/>
  <c r="G358" i="5" s="1"/>
  <c r="G359" i="5" s="1"/>
  <c r="G360" i="5" s="1"/>
  <c r="G361" i="5" s="1"/>
  <c r="G362" i="5" s="1"/>
  <c r="G363" i="5" s="1"/>
  <c r="G364" i="5" s="1"/>
  <c r="G365" i="5" s="1"/>
  <c r="G366" i="5" s="1"/>
  <c r="G367" i="5" s="1"/>
  <c r="G368" i="5" s="1"/>
  <c r="G369" i="5" s="1"/>
  <c r="G370" i="5" s="1"/>
  <c r="G371" i="5" s="1"/>
  <c r="G372" i="5" s="1"/>
  <c r="G373" i="5" s="1"/>
  <c r="G374" i="5" s="1"/>
  <c r="G375" i="5" s="1"/>
  <c r="F353" i="5"/>
  <c r="D353" i="5"/>
  <c r="I353" i="5" s="1"/>
  <c r="A353" i="5"/>
  <c r="H353" i="5" s="1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B328" i="5"/>
  <c r="A328" i="5"/>
  <c r="G327" i="5"/>
  <c r="G328" i="5" s="1"/>
  <c r="G329" i="5" s="1"/>
  <c r="G330" i="5" s="1"/>
  <c r="G331" i="5" s="1"/>
  <c r="G332" i="5" s="1"/>
  <c r="G333" i="5" s="1"/>
  <c r="G334" i="5" s="1"/>
  <c r="G335" i="5" s="1"/>
  <c r="G336" i="5" s="1"/>
  <c r="G337" i="5" s="1"/>
  <c r="G338" i="5" s="1"/>
  <c r="G339" i="5" s="1"/>
  <c r="G340" i="5" s="1"/>
  <c r="G341" i="5" s="1"/>
  <c r="G342" i="5" s="1"/>
  <c r="G343" i="5" s="1"/>
  <c r="G344" i="5" s="1"/>
  <c r="G345" i="5" s="1"/>
  <c r="G346" i="5" s="1"/>
  <c r="G347" i="5" s="1"/>
  <c r="G348" i="5" s="1"/>
  <c r="G349" i="5" s="1"/>
  <c r="G350" i="5" s="1"/>
  <c r="F327" i="5"/>
  <c r="D327" i="5"/>
  <c r="I327" i="5" s="1"/>
  <c r="A327" i="5"/>
  <c r="H327" i="5" s="1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B301" i="5"/>
  <c r="A301" i="5"/>
  <c r="G300" i="5"/>
  <c r="G301" i="5" s="1"/>
  <c r="G302" i="5" s="1"/>
  <c r="G303" i="5" s="1"/>
  <c r="G304" i="5" s="1"/>
  <c r="G305" i="5" s="1"/>
  <c r="G306" i="5" s="1"/>
  <c r="G307" i="5" s="1"/>
  <c r="G308" i="5" s="1"/>
  <c r="G309" i="5" s="1"/>
  <c r="G310" i="5" s="1"/>
  <c r="G311" i="5" s="1"/>
  <c r="G312" i="5" s="1"/>
  <c r="G313" i="5" s="1"/>
  <c r="G314" i="5" s="1"/>
  <c r="G315" i="5" s="1"/>
  <c r="G316" i="5" s="1"/>
  <c r="G317" i="5" s="1"/>
  <c r="G318" i="5" s="1"/>
  <c r="G319" i="5" s="1"/>
  <c r="G320" i="5" s="1"/>
  <c r="G321" i="5" s="1"/>
  <c r="G322" i="5" s="1"/>
  <c r="G323" i="5" s="1"/>
  <c r="G324" i="5" s="1"/>
  <c r="F300" i="5"/>
  <c r="D300" i="5"/>
  <c r="I300" i="5" s="1"/>
  <c r="A300" i="5"/>
  <c r="H300" i="5" s="1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B273" i="5"/>
  <c r="A273" i="5"/>
  <c r="G272" i="5"/>
  <c r="G273" i="5" s="1"/>
  <c r="G274" i="5" s="1"/>
  <c r="G275" i="5" s="1"/>
  <c r="G276" i="5" s="1"/>
  <c r="G277" i="5" s="1"/>
  <c r="G278" i="5" s="1"/>
  <c r="G279" i="5" s="1"/>
  <c r="G280" i="5" s="1"/>
  <c r="G281" i="5" s="1"/>
  <c r="G282" i="5" s="1"/>
  <c r="G283" i="5" s="1"/>
  <c r="G284" i="5" s="1"/>
  <c r="G285" i="5" s="1"/>
  <c r="G286" i="5" s="1"/>
  <c r="G287" i="5" s="1"/>
  <c r="G288" i="5" s="1"/>
  <c r="G289" i="5" s="1"/>
  <c r="G290" i="5" s="1"/>
  <c r="G291" i="5" s="1"/>
  <c r="G292" i="5" s="1"/>
  <c r="G293" i="5" s="1"/>
  <c r="G294" i="5" s="1"/>
  <c r="G295" i="5" s="1"/>
  <c r="G296" i="5" s="1"/>
  <c r="G297" i="5" s="1"/>
  <c r="F272" i="5"/>
  <c r="D272" i="5"/>
  <c r="I272" i="5" s="1"/>
  <c r="A272" i="5"/>
  <c r="H272" i="5" s="1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B244" i="5"/>
  <c r="A244" i="5"/>
  <c r="G243" i="5"/>
  <c r="G244" i="5" s="1"/>
  <c r="G245" i="5" s="1"/>
  <c r="G246" i="5" s="1"/>
  <c r="G247" i="5" s="1"/>
  <c r="G248" i="5" s="1"/>
  <c r="G249" i="5" s="1"/>
  <c r="G250" i="5" s="1"/>
  <c r="G251" i="5" s="1"/>
  <c r="G252" i="5" s="1"/>
  <c r="G253" i="5" s="1"/>
  <c r="G254" i="5" s="1"/>
  <c r="G255" i="5" s="1"/>
  <c r="G256" i="5" s="1"/>
  <c r="G257" i="5" s="1"/>
  <c r="G258" i="5" s="1"/>
  <c r="G259" i="5" s="1"/>
  <c r="G260" i="5" s="1"/>
  <c r="G261" i="5" s="1"/>
  <c r="G262" i="5" s="1"/>
  <c r="G263" i="5" s="1"/>
  <c r="G264" i="5" s="1"/>
  <c r="G265" i="5" s="1"/>
  <c r="G266" i="5" s="1"/>
  <c r="G267" i="5" s="1"/>
  <c r="G268" i="5" s="1"/>
  <c r="G269" i="5" s="1"/>
  <c r="F243" i="5"/>
  <c r="D243" i="5"/>
  <c r="I243" i="5" s="1"/>
  <c r="A243" i="5"/>
  <c r="H243" i="5" s="1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B214" i="5"/>
  <c r="A214" i="5"/>
  <c r="G213" i="5"/>
  <c r="G214" i="5" s="1"/>
  <c r="G215" i="5" s="1"/>
  <c r="G216" i="5" s="1"/>
  <c r="G217" i="5" s="1"/>
  <c r="G218" i="5" s="1"/>
  <c r="G219" i="5" s="1"/>
  <c r="G220" i="5" s="1"/>
  <c r="G221" i="5" s="1"/>
  <c r="G222" i="5" s="1"/>
  <c r="G223" i="5" s="1"/>
  <c r="G224" i="5" s="1"/>
  <c r="G225" i="5" s="1"/>
  <c r="G226" i="5" s="1"/>
  <c r="G227" i="5" s="1"/>
  <c r="G228" i="5" s="1"/>
  <c r="G229" i="5" s="1"/>
  <c r="G230" i="5" s="1"/>
  <c r="G231" i="5" s="1"/>
  <c r="G232" i="5" s="1"/>
  <c r="G233" i="5" s="1"/>
  <c r="G234" i="5" s="1"/>
  <c r="G235" i="5" s="1"/>
  <c r="G236" i="5" s="1"/>
  <c r="G237" i="5" s="1"/>
  <c r="G238" i="5" s="1"/>
  <c r="G239" i="5" s="1"/>
  <c r="G240" i="5" s="1"/>
  <c r="F213" i="5"/>
  <c r="D213" i="5"/>
  <c r="I213" i="5" s="1"/>
  <c r="A213" i="5"/>
  <c r="H213" i="5" s="1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B183" i="5"/>
  <c r="A183" i="5"/>
  <c r="G182" i="5"/>
  <c r="G183" i="5" s="1"/>
  <c r="G184" i="5" s="1"/>
  <c r="G185" i="5" s="1"/>
  <c r="G186" i="5" s="1"/>
  <c r="G187" i="5" s="1"/>
  <c r="G188" i="5" s="1"/>
  <c r="G189" i="5" s="1"/>
  <c r="G190" i="5" s="1"/>
  <c r="G191" i="5" s="1"/>
  <c r="G192" i="5" s="1"/>
  <c r="G193" i="5" s="1"/>
  <c r="G194" i="5" s="1"/>
  <c r="G195" i="5" s="1"/>
  <c r="G196" i="5" s="1"/>
  <c r="G197" i="5" s="1"/>
  <c r="G198" i="5" s="1"/>
  <c r="G199" i="5" s="1"/>
  <c r="G200" i="5" s="1"/>
  <c r="G201" i="5" s="1"/>
  <c r="G202" i="5" s="1"/>
  <c r="G203" i="5" s="1"/>
  <c r="G204" i="5" s="1"/>
  <c r="G205" i="5" s="1"/>
  <c r="G206" i="5" s="1"/>
  <c r="G207" i="5" s="1"/>
  <c r="G208" i="5" s="1"/>
  <c r="G209" i="5" s="1"/>
  <c r="G210" i="5" s="1"/>
  <c r="F182" i="5"/>
  <c r="D182" i="5"/>
  <c r="I182" i="5" s="1"/>
  <c r="A182" i="5"/>
  <c r="H182" i="5" s="1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B151" i="5"/>
  <c r="A151" i="5"/>
  <c r="G150" i="5"/>
  <c r="G151" i="5" s="1"/>
  <c r="G152" i="5" s="1"/>
  <c r="G153" i="5" s="1"/>
  <c r="G154" i="5" s="1"/>
  <c r="G155" i="5" s="1"/>
  <c r="G156" i="5" s="1"/>
  <c r="G157" i="5" s="1"/>
  <c r="G158" i="5" s="1"/>
  <c r="G159" i="5" s="1"/>
  <c r="G160" i="5" s="1"/>
  <c r="G161" i="5" s="1"/>
  <c r="G162" i="5" s="1"/>
  <c r="G163" i="5" s="1"/>
  <c r="G164" i="5" s="1"/>
  <c r="G165" i="5" s="1"/>
  <c r="G166" i="5" s="1"/>
  <c r="G167" i="5" s="1"/>
  <c r="G168" i="5" s="1"/>
  <c r="G169" i="5" s="1"/>
  <c r="G170" i="5" s="1"/>
  <c r="G171" i="5" s="1"/>
  <c r="G172" i="5" s="1"/>
  <c r="G173" i="5" s="1"/>
  <c r="G174" i="5" s="1"/>
  <c r="G175" i="5" s="1"/>
  <c r="G176" i="5" s="1"/>
  <c r="G177" i="5" s="1"/>
  <c r="G178" i="5" s="1"/>
  <c r="G179" i="5" s="1"/>
  <c r="F150" i="5"/>
  <c r="D150" i="5"/>
  <c r="I150" i="5" s="1"/>
  <c r="A150" i="5"/>
  <c r="H150" i="5" s="1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B118" i="5"/>
  <c r="A118" i="5"/>
  <c r="G117" i="5"/>
  <c r="G118" i="5" s="1"/>
  <c r="G119" i="5" s="1"/>
  <c r="G120" i="5" s="1"/>
  <c r="G121" i="5" s="1"/>
  <c r="G122" i="5" s="1"/>
  <c r="G123" i="5" s="1"/>
  <c r="G124" i="5" s="1"/>
  <c r="G125" i="5" s="1"/>
  <c r="G126" i="5" s="1"/>
  <c r="G127" i="5" s="1"/>
  <c r="G128" i="5" s="1"/>
  <c r="G129" i="5" s="1"/>
  <c r="G130" i="5" s="1"/>
  <c r="G131" i="5" s="1"/>
  <c r="G132" i="5" s="1"/>
  <c r="G133" i="5" s="1"/>
  <c r="G134" i="5" s="1"/>
  <c r="G135" i="5" s="1"/>
  <c r="G136" i="5" s="1"/>
  <c r="G137" i="5" s="1"/>
  <c r="G138" i="5" s="1"/>
  <c r="G139" i="5" s="1"/>
  <c r="G140" i="5" s="1"/>
  <c r="G141" i="5" s="1"/>
  <c r="G142" i="5" s="1"/>
  <c r="G143" i="5" s="1"/>
  <c r="G144" i="5" s="1"/>
  <c r="G145" i="5" s="1"/>
  <c r="G146" i="5" s="1"/>
  <c r="G147" i="5" s="1"/>
  <c r="F117" i="5"/>
  <c r="D117" i="5"/>
  <c r="I117" i="5" s="1"/>
  <c r="A117" i="5"/>
  <c r="H117" i="5" s="1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B84" i="5"/>
  <c r="A84" i="5"/>
  <c r="G83" i="5"/>
  <c r="G84" i="5" s="1"/>
  <c r="G85" i="5" s="1"/>
  <c r="G86" i="5" s="1"/>
  <c r="G87" i="5" s="1"/>
  <c r="G88" i="5" s="1"/>
  <c r="G89" i="5" s="1"/>
  <c r="G90" i="5" s="1"/>
  <c r="G91" i="5" s="1"/>
  <c r="G92" i="5" s="1"/>
  <c r="G93" i="5" s="1"/>
  <c r="G94" i="5" s="1"/>
  <c r="G95" i="5" s="1"/>
  <c r="G96" i="5" s="1"/>
  <c r="G97" i="5" s="1"/>
  <c r="G98" i="5" s="1"/>
  <c r="G99" i="5" s="1"/>
  <c r="G100" i="5" s="1"/>
  <c r="G101" i="5" s="1"/>
  <c r="G102" i="5" s="1"/>
  <c r="G103" i="5" s="1"/>
  <c r="G104" i="5" s="1"/>
  <c r="G105" i="5" s="1"/>
  <c r="G106" i="5" s="1"/>
  <c r="G107" i="5" s="1"/>
  <c r="G108" i="5" s="1"/>
  <c r="G109" i="5" s="1"/>
  <c r="G110" i="5" s="1"/>
  <c r="G111" i="5" s="1"/>
  <c r="G112" i="5" s="1"/>
  <c r="G113" i="5" s="1"/>
  <c r="G114" i="5" s="1"/>
  <c r="F83" i="5"/>
  <c r="D83" i="5"/>
  <c r="I83" i="5" s="1"/>
  <c r="A83" i="5"/>
  <c r="H83" i="5" s="1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B49" i="5"/>
  <c r="A49" i="5"/>
  <c r="G48" i="5"/>
  <c r="G49" i="5" s="1"/>
  <c r="G50" i="5" s="1"/>
  <c r="G51" i="5" s="1"/>
  <c r="G52" i="5" s="1"/>
  <c r="G53" i="5" s="1"/>
  <c r="G54" i="5" s="1"/>
  <c r="G55" i="5" s="1"/>
  <c r="G56" i="5" s="1"/>
  <c r="G57" i="5" s="1"/>
  <c r="G58" i="5" s="1"/>
  <c r="G59" i="5" s="1"/>
  <c r="G60" i="5" s="1"/>
  <c r="G61" i="5" s="1"/>
  <c r="G62" i="5" s="1"/>
  <c r="G63" i="5" s="1"/>
  <c r="G64" i="5" s="1"/>
  <c r="G65" i="5" s="1"/>
  <c r="G66" i="5" s="1"/>
  <c r="G67" i="5" s="1"/>
  <c r="G68" i="5" s="1"/>
  <c r="G69" i="5" s="1"/>
  <c r="G70" i="5" s="1"/>
  <c r="G71" i="5" s="1"/>
  <c r="G72" i="5" s="1"/>
  <c r="G73" i="5" s="1"/>
  <c r="G74" i="5" s="1"/>
  <c r="G75" i="5" s="1"/>
  <c r="G76" i="5" s="1"/>
  <c r="G77" i="5" s="1"/>
  <c r="G78" i="5" s="1"/>
  <c r="G79" i="5" s="1"/>
  <c r="G80" i="5" s="1"/>
  <c r="F48" i="5"/>
  <c r="D48" i="5"/>
  <c r="I48" i="5" s="1"/>
  <c r="A48" i="5"/>
  <c r="H48" i="5" s="1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B13" i="5"/>
  <c r="A13" i="5"/>
  <c r="G12" i="5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F12" i="5"/>
  <c r="D12" i="5"/>
  <c r="I12" i="5" s="1"/>
  <c r="A12" i="5"/>
  <c r="H12" i="5" s="1"/>
  <c r="C7" i="5"/>
  <c r="B7" i="5"/>
  <c r="C3" i="5"/>
  <c r="B3" i="5"/>
  <c r="A3" i="5"/>
  <c r="A939" i="4"/>
  <c r="A938" i="4"/>
  <c r="A937" i="4"/>
  <c r="A936" i="4"/>
  <c r="A935" i="4"/>
  <c r="A934" i="4"/>
  <c r="A933" i="4"/>
  <c r="A932" i="4"/>
  <c r="A931" i="4"/>
  <c r="A930" i="4"/>
  <c r="A929" i="4"/>
  <c r="A928" i="4"/>
  <c r="A927" i="4"/>
  <c r="A926" i="4"/>
  <c r="A925" i="4"/>
  <c r="A924" i="4"/>
  <c r="A923" i="4"/>
  <c r="A922" i="4"/>
  <c r="A921" i="4"/>
  <c r="A920" i="4"/>
  <c r="A919" i="4"/>
  <c r="A918" i="4"/>
  <c r="A917" i="4"/>
  <c r="A916" i="4"/>
  <c r="A915" i="4"/>
  <c r="A914" i="4"/>
  <c r="A913" i="4"/>
  <c r="A912" i="4"/>
  <c r="A911" i="4"/>
  <c r="A910" i="4"/>
  <c r="A909" i="4"/>
  <c r="A908" i="4"/>
  <c r="A907" i="4"/>
  <c r="B906" i="4"/>
  <c r="A906" i="4"/>
  <c r="G905" i="4"/>
  <c r="G906" i="4" s="1"/>
  <c r="G907" i="4" s="1"/>
  <c r="G908" i="4" s="1"/>
  <c r="G909" i="4" s="1"/>
  <c r="G910" i="4" s="1"/>
  <c r="G911" i="4" s="1"/>
  <c r="G912" i="4" s="1"/>
  <c r="G913" i="4" s="1"/>
  <c r="G914" i="4" s="1"/>
  <c r="G915" i="4" s="1"/>
  <c r="G916" i="4" s="1"/>
  <c r="G917" i="4" s="1"/>
  <c r="G918" i="4" s="1"/>
  <c r="G919" i="4" s="1"/>
  <c r="G920" i="4" s="1"/>
  <c r="G921" i="4" s="1"/>
  <c r="G922" i="4" s="1"/>
  <c r="G923" i="4" s="1"/>
  <c r="G924" i="4" s="1"/>
  <c r="G925" i="4" s="1"/>
  <c r="G926" i="4" s="1"/>
  <c r="G927" i="4" s="1"/>
  <c r="G928" i="4" s="1"/>
  <c r="G929" i="4" s="1"/>
  <c r="G930" i="4" s="1"/>
  <c r="G931" i="4" s="1"/>
  <c r="G932" i="4" s="1"/>
  <c r="G933" i="4" s="1"/>
  <c r="G934" i="4" s="1"/>
  <c r="G935" i="4" s="1"/>
  <c r="G936" i="4" s="1"/>
  <c r="G937" i="4" s="1"/>
  <c r="G938" i="4" s="1"/>
  <c r="G939" i="4" s="1"/>
  <c r="F905" i="4"/>
  <c r="D905" i="4"/>
  <c r="I905" i="4" s="1"/>
  <c r="A905" i="4"/>
  <c r="H905" i="4" s="1"/>
  <c r="A902" i="4"/>
  <c r="A901" i="4"/>
  <c r="A900" i="4"/>
  <c r="A899" i="4"/>
  <c r="A898" i="4"/>
  <c r="A897" i="4"/>
  <c r="A896" i="4"/>
  <c r="A895" i="4"/>
  <c r="A894" i="4"/>
  <c r="A893" i="4"/>
  <c r="A892" i="4"/>
  <c r="A891" i="4"/>
  <c r="A890" i="4"/>
  <c r="A889" i="4"/>
  <c r="A888" i="4"/>
  <c r="A887" i="4"/>
  <c r="A886" i="4"/>
  <c r="A885" i="4"/>
  <c r="A884" i="4"/>
  <c r="A883" i="4"/>
  <c r="A882" i="4"/>
  <c r="A881" i="4"/>
  <c r="A880" i="4"/>
  <c r="A879" i="4"/>
  <c r="A878" i="4"/>
  <c r="A877" i="4"/>
  <c r="A876" i="4"/>
  <c r="A875" i="4"/>
  <c r="A874" i="4"/>
  <c r="A873" i="4"/>
  <c r="A872" i="4"/>
  <c r="A871" i="4"/>
  <c r="A870" i="4"/>
  <c r="A869" i="4"/>
  <c r="B868" i="4"/>
  <c r="A868" i="4"/>
  <c r="G867" i="4"/>
  <c r="G868" i="4" s="1"/>
  <c r="G869" i="4" s="1"/>
  <c r="G870" i="4" s="1"/>
  <c r="G871" i="4" s="1"/>
  <c r="G872" i="4" s="1"/>
  <c r="G873" i="4" s="1"/>
  <c r="G874" i="4" s="1"/>
  <c r="G875" i="4" s="1"/>
  <c r="G876" i="4" s="1"/>
  <c r="G877" i="4" s="1"/>
  <c r="G878" i="4" s="1"/>
  <c r="G879" i="4" s="1"/>
  <c r="G880" i="4" s="1"/>
  <c r="G881" i="4" s="1"/>
  <c r="G882" i="4" s="1"/>
  <c r="G883" i="4" s="1"/>
  <c r="G884" i="4" s="1"/>
  <c r="G885" i="4" s="1"/>
  <c r="G886" i="4" s="1"/>
  <c r="G887" i="4" s="1"/>
  <c r="G888" i="4" s="1"/>
  <c r="G889" i="4" s="1"/>
  <c r="G890" i="4" s="1"/>
  <c r="G891" i="4" s="1"/>
  <c r="G892" i="4" s="1"/>
  <c r="G893" i="4" s="1"/>
  <c r="G894" i="4" s="1"/>
  <c r="G895" i="4" s="1"/>
  <c r="G896" i="4" s="1"/>
  <c r="G897" i="4" s="1"/>
  <c r="G898" i="4" s="1"/>
  <c r="G899" i="4" s="1"/>
  <c r="G900" i="4" s="1"/>
  <c r="G901" i="4" s="1"/>
  <c r="G902" i="4" s="1"/>
  <c r="F867" i="4"/>
  <c r="D867" i="4"/>
  <c r="I867" i="4" s="1"/>
  <c r="A867" i="4"/>
  <c r="H867" i="4" s="1"/>
  <c r="A864" i="4"/>
  <c r="A863" i="4"/>
  <c r="A862" i="4"/>
  <c r="A861" i="4"/>
  <c r="A860" i="4"/>
  <c r="A859" i="4"/>
  <c r="A858" i="4"/>
  <c r="A857" i="4"/>
  <c r="A856" i="4"/>
  <c r="A855" i="4"/>
  <c r="A854" i="4"/>
  <c r="A853" i="4"/>
  <c r="A852" i="4"/>
  <c r="A851" i="4"/>
  <c r="A850" i="4"/>
  <c r="A849" i="4"/>
  <c r="A848" i="4"/>
  <c r="A847" i="4"/>
  <c r="A846" i="4"/>
  <c r="A845" i="4"/>
  <c r="A844" i="4"/>
  <c r="A843" i="4"/>
  <c r="A842" i="4"/>
  <c r="A841" i="4"/>
  <c r="A840" i="4"/>
  <c r="A839" i="4"/>
  <c r="A838" i="4"/>
  <c r="A837" i="4"/>
  <c r="A836" i="4"/>
  <c r="A835" i="4"/>
  <c r="A834" i="4"/>
  <c r="A833" i="4"/>
  <c r="A832" i="4"/>
  <c r="A831" i="4"/>
  <c r="A830" i="4"/>
  <c r="B829" i="4"/>
  <c r="A829" i="4"/>
  <c r="G828" i="4"/>
  <c r="G829" i="4" s="1"/>
  <c r="G830" i="4" s="1"/>
  <c r="G831" i="4" s="1"/>
  <c r="G832" i="4" s="1"/>
  <c r="G833" i="4" s="1"/>
  <c r="G834" i="4" s="1"/>
  <c r="G835" i="4" s="1"/>
  <c r="G836" i="4" s="1"/>
  <c r="G837" i="4" s="1"/>
  <c r="G838" i="4" s="1"/>
  <c r="G839" i="4" s="1"/>
  <c r="G840" i="4" s="1"/>
  <c r="G841" i="4" s="1"/>
  <c r="G842" i="4" s="1"/>
  <c r="G843" i="4" s="1"/>
  <c r="G844" i="4" s="1"/>
  <c r="G845" i="4" s="1"/>
  <c r="G846" i="4" s="1"/>
  <c r="G847" i="4" s="1"/>
  <c r="G848" i="4" s="1"/>
  <c r="G849" i="4" s="1"/>
  <c r="G850" i="4" s="1"/>
  <c r="G851" i="4" s="1"/>
  <c r="G852" i="4" s="1"/>
  <c r="G853" i="4" s="1"/>
  <c r="G854" i="4" s="1"/>
  <c r="G855" i="4" s="1"/>
  <c r="G856" i="4" s="1"/>
  <c r="G857" i="4" s="1"/>
  <c r="G858" i="4" s="1"/>
  <c r="G859" i="4" s="1"/>
  <c r="G860" i="4" s="1"/>
  <c r="G861" i="4" s="1"/>
  <c r="G862" i="4" s="1"/>
  <c r="G863" i="4" s="1"/>
  <c r="G864" i="4" s="1"/>
  <c r="F828" i="4"/>
  <c r="D828" i="4"/>
  <c r="I828" i="4" s="1"/>
  <c r="A828" i="4"/>
  <c r="H828" i="4" s="1"/>
  <c r="A825" i="4"/>
  <c r="A824" i="4"/>
  <c r="A823" i="4"/>
  <c r="A822" i="4"/>
  <c r="A821" i="4"/>
  <c r="A820" i="4"/>
  <c r="A819" i="4"/>
  <c r="A818" i="4"/>
  <c r="A817" i="4"/>
  <c r="A816" i="4"/>
  <c r="A815" i="4"/>
  <c r="A814" i="4"/>
  <c r="A813" i="4"/>
  <c r="A812" i="4"/>
  <c r="A811" i="4"/>
  <c r="A810" i="4"/>
  <c r="A809" i="4"/>
  <c r="A808" i="4"/>
  <c r="A807" i="4"/>
  <c r="A806" i="4"/>
  <c r="A805" i="4"/>
  <c r="A804" i="4"/>
  <c r="A803" i="4"/>
  <c r="A802" i="4"/>
  <c r="A801" i="4"/>
  <c r="A800" i="4"/>
  <c r="A799" i="4"/>
  <c r="A798" i="4"/>
  <c r="A797" i="4"/>
  <c r="A796" i="4"/>
  <c r="A795" i="4"/>
  <c r="A794" i="4"/>
  <c r="A793" i="4"/>
  <c r="A792" i="4"/>
  <c r="A791" i="4"/>
  <c r="A790" i="4"/>
  <c r="B789" i="4"/>
  <c r="A789" i="4"/>
  <c r="G788" i="4"/>
  <c r="G789" i="4" s="1"/>
  <c r="G790" i="4" s="1"/>
  <c r="G791" i="4" s="1"/>
  <c r="G792" i="4" s="1"/>
  <c r="G793" i="4" s="1"/>
  <c r="G794" i="4" s="1"/>
  <c r="G795" i="4" s="1"/>
  <c r="G796" i="4" s="1"/>
  <c r="G797" i="4" s="1"/>
  <c r="G798" i="4" s="1"/>
  <c r="G799" i="4" s="1"/>
  <c r="G800" i="4" s="1"/>
  <c r="G801" i="4" s="1"/>
  <c r="G802" i="4" s="1"/>
  <c r="G803" i="4" s="1"/>
  <c r="G804" i="4" s="1"/>
  <c r="G805" i="4" s="1"/>
  <c r="G806" i="4" s="1"/>
  <c r="G807" i="4" s="1"/>
  <c r="G808" i="4" s="1"/>
  <c r="G809" i="4" s="1"/>
  <c r="G810" i="4" s="1"/>
  <c r="G811" i="4" s="1"/>
  <c r="G812" i="4" s="1"/>
  <c r="G813" i="4" s="1"/>
  <c r="G814" i="4" s="1"/>
  <c r="G815" i="4" s="1"/>
  <c r="G816" i="4" s="1"/>
  <c r="G817" i="4" s="1"/>
  <c r="G818" i="4" s="1"/>
  <c r="G819" i="4" s="1"/>
  <c r="G820" i="4" s="1"/>
  <c r="G821" i="4" s="1"/>
  <c r="G822" i="4" s="1"/>
  <c r="G823" i="4" s="1"/>
  <c r="G824" i="4" s="1"/>
  <c r="G825" i="4" s="1"/>
  <c r="F788" i="4"/>
  <c r="D788" i="4"/>
  <c r="I788" i="4" s="1"/>
  <c r="A788" i="4"/>
  <c r="H788" i="4" s="1"/>
  <c r="A785" i="4"/>
  <c r="A784" i="4"/>
  <c r="A783" i="4"/>
  <c r="A782" i="4"/>
  <c r="A781" i="4"/>
  <c r="A780" i="4"/>
  <c r="A779" i="4"/>
  <c r="A778" i="4"/>
  <c r="A777" i="4"/>
  <c r="A776" i="4"/>
  <c r="A775" i="4"/>
  <c r="A774" i="4"/>
  <c r="A773" i="4"/>
  <c r="A772" i="4"/>
  <c r="A771" i="4"/>
  <c r="A770" i="4"/>
  <c r="A769" i="4"/>
  <c r="A768" i="4"/>
  <c r="A767" i="4"/>
  <c r="A766" i="4"/>
  <c r="A765" i="4"/>
  <c r="A764" i="4"/>
  <c r="A763" i="4"/>
  <c r="A762" i="4"/>
  <c r="A761" i="4"/>
  <c r="A760" i="4"/>
  <c r="A759" i="4"/>
  <c r="A758" i="4"/>
  <c r="A757" i="4"/>
  <c r="A756" i="4"/>
  <c r="A755" i="4"/>
  <c r="A754" i="4"/>
  <c r="A753" i="4"/>
  <c r="A752" i="4"/>
  <c r="A751" i="4"/>
  <c r="A750" i="4"/>
  <c r="A749" i="4"/>
  <c r="B748" i="4"/>
  <c r="A748" i="4"/>
  <c r="G747" i="4"/>
  <c r="G748" i="4" s="1"/>
  <c r="G749" i="4" s="1"/>
  <c r="G750" i="4" s="1"/>
  <c r="G751" i="4" s="1"/>
  <c r="G752" i="4" s="1"/>
  <c r="G753" i="4" s="1"/>
  <c r="G754" i="4" s="1"/>
  <c r="G755" i="4" s="1"/>
  <c r="G756" i="4" s="1"/>
  <c r="G757" i="4" s="1"/>
  <c r="G758" i="4" s="1"/>
  <c r="G759" i="4" s="1"/>
  <c r="G760" i="4" s="1"/>
  <c r="G761" i="4" s="1"/>
  <c r="G762" i="4" s="1"/>
  <c r="G763" i="4" s="1"/>
  <c r="G764" i="4" s="1"/>
  <c r="G765" i="4" s="1"/>
  <c r="G766" i="4" s="1"/>
  <c r="G767" i="4" s="1"/>
  <c r="G768" i="4" s="1"/>
  <c r="G769" i="4" s="1"/>
  <c r="G770" i="4" s="1"/>
  <c r="G771" i="4" s="1"/>
  <c r="G772" i="4" s="1"/>
  <c r="G773" i="4" s="1"/>
  <c r="G774" i="4" s="1"/>
  <c r="G775" i="4" s="1"/>
  <c r="G776" i="4" s="1"/>
  <c r="G777" i="4" s="1"/>
  <c r="G778" i="4" s="1"/>
  <c r="G779" i="4" s="1"/>
  <c r="G780" i="4" s="1"/>
  <c r="G781" i="4" s="1"/>
  <c r="G782" i="4" s="1"/>
  <c r="G783" i="4" s="1"/>
  <c r="G784" i="4" s="1"/>
  <c r="G785" i="4" s="1"/>
  <c r="F747" i="4"/>
  <c r="D747" i="4"/>
  <c r="I747" i="4" s="1"/>
  <c r="A747" i="4"/>
  <c r="H747" i="4" s="1"/>
  <c r="A744" i="4"/>
  <c r="A743" i="4"/>
  <c r="A742" i="4"/>
  <c r="A741" i="4"/>
  <c r="A740" i="4"/>
  <c r="A739" i="4"/>
  <c r="A738" i="4"/>
  <c r="A737" i="4"/>
  <c r="A736" i="4"/>
  <c r="A735" i="4"/>
  <c r="A734" i="4"/>
  <c r="A733" i="4"/>
  <c r="A732" i="4"/>
  <c r="A731" i="4"/>
  <c r="A730" i="4"/>
  <c r="A729" i="4"/>
  <c r="A728" i="4"/>
  <c r="A727" i="4"/>
  <c r="A726" i="4"/>
  <c r="A725" i="4"/>
  <c r="A724" i="4"/>
  <c r="A723" i="4"/>
  <c r="A722" i="4"/>
  <c r="A721" i="4"/>
  <c r="A720" i="4"/>
  <c r="A719" i="4"/>
  <c r="A718" i="4"/>
  <c r="A717" i="4"/>
  <c r="A716" i="4"/>
  <c r="A715" i="4"/>
  <c r="A714" i="4"/>
  <c r="A713" i="4"/>
  <c r="A712" i="4"/>
  <c r="A711" i="4"/>
  <c r="A710" i="4"/>
  <c r="A709" i="4"/>
  <c r="A708" i="4"/>
  <c r="A707" i="4"/>
  <c r="B706" i="4"/>
  <c r="A706" i="4"/>
  <c r="G705" i="4"/>
  <c r="G706" i="4" s="1"/>
  <c r="G707" i="4" s="1"/>
  <c r="G708" i="4" s="1"/>
  <c r="G709" i="4" s="1"/>
  <c r="G710" i="4" s="1"/>
  <c r="G711" i="4" s="1"/>
  <c r="G712" i="4" s="1"/>
  <c r="G713" i="4" s="1"/>
  <c r="G714" i="4" s="1"/>
  <c r="G715" i="4" s="1"/>
  <c r="G716" i="4" s="1"/>
  <c r="G717" i="4" s="1"/>
  <c r="G718" i="4" s="1"/>
  <c r="G719" i="4" s="1"/>
  <c r="G720" i="4" s="1"/>
  <c r="G721" i="4" s="1"/>
  <c r="G722" i="4" s="1"/>
  <c r="G723" i="4" s="1"/>
  <c r="G724" i="4" s="1"/>
  <c r="G725" i="4" s="1"/>
  <c r="G726" i="4" s="1"/>
  <c r="G727" i="4" s="1"/>
  <c r="G728" i="4" s="1"/>
  <c r="G729" i="4" s="1"/>
  <c r="G730" i="4" s="1"/>
  <c r="G731" i="4" s="1"/>
  <c r="G732" i="4" s="1"/>
  <c r="G733" i="4" s="1"/>
  <c r="G734" i="4" s="1"/>
  <c r="G735" i="4" s="1"/>
  <c r="G736" i="4" s="1"/>
  <c r="G737" i="4" s="1"/>
  <c r="G738" i="4" s="1"/>
  <c r="G739" i="4" s="1"/>
  <c r="G740" i="4" s="1"/>
  <c r="G741" i="4" s="1"/>
  <c r="G742" i="4" s="1"/>
  <c r="G743" i="4" s="1"/>
  <c r="G744" i="4" s="1"/>
  <c r="F705" i="4"/>
  <c r="D705" i="4"/>
  <c r="I705" i="4" s="1"/>
  <c r="A705" i="4"/>
  <c r="H705" i="4" s="1"/>
  <c r="A702" i="4"/>
  <c r="A701" i="4"/>
  <c r="A700" i="4"/>
  <c r="A699" i="4"/>
  <c r="A698" i="4"/>
  <c r="A697" i="4"/>
  <c r="A696" i="4"/>
  <c r="A695" i="4"/>
  <c r="A694" i="4"/>
  <c r="A693" i="4"/>
  <c r="A692" i="4"/>
  <c r="A691" i="4"/>
  <c r="A690" i="4"/>
  <c r="A689" i="4"/>
  <c r="A688" i="4"/>
  <c r="A687" i="4"/>
  <c r="A686" i="4"/>
  <c r="A685" i="4"/>
  <c r="A684" i="4"/>
  <c r="A683" i="4"/>
  <c r="A682" i="4"/>
  <c r="A681" i="4"/>
  <c r="A680" i="4"/>
  <c r="A679" i="4"/>
  <c r="A678" i="4"/>
  <c r="A677" i="4"/>
  <c r="A676" i="4"/>
  <c r="A675" i="4"/>
  <c r="A674" i="4"/>
  <c r="A673" i="4"/>
  <c r="A672" i="4"/>
  <c r="A671" i="4"/>
  <c r="A670" i="4"/>
  <c r="A669" i="4"/>
  <c r="A668" i="4"/>
  <c r="A667" i="4"/>
  <c r="A666" i="4"/>
  <c r="A665" i="4"/>
  <c r="A664" i="4"/>
  <c r="B663" i="4"/>
  <c r="A663" i="4"/>
  <c r="G662" i="4"/>
  <c r="G663" i="4" s="1"/>
  <c r="G664" i="4" s="1"/>
  <c r="G665" i="4" s="1"/>
  <c r="G666" i="4" s="1"/>
  <c r="G667" i="4" s="1"/>
  <c r="G668" i="4" s="1"/>
  <c r="G669" i="4" s="1"/>
  <c r="G670" i="4" s="1"/>
  <c r="G671" i="4" s="1"/>
  <c r="G672" i="4" s="1"/>
  <c r="G673" i="4" s="1"/>
  <c r="G674" i="4" s="1"/>
  <c r="G675" i="4" s="1"/>
  <c r="G676" i="4" s="1"/>
  <c r="G677" i="4" s="1"/>
  <c r="G678" i="4" s="1"/>
  <c r="G679" i="4" s="1"/>
  <c r="G680" i="4" s="1"/>
  <c r="G681" i="4" s="1"/>
  <c r="G682" i="4" s="1"/>
  <c r="G683" i="4" s="1"/>
  <c r="G684" i="4" s="1"/>
  <c r="G685" i="4" s="1"/>
  <c r="G686" i="4" s="1"/>
  <c r="G687" i="4" s="1"/>
  <c r="G688" i="4" s="1"/>
  <c r="G689" i="4" s="1"/>
  <c r="G690" i="4" s="1"/>
  <c r="G691" i="4" s="1"/>
  <c r="G692" i="4" s="1"/>
  <c r="G693" i="4" s="1"/>
  <c r="G694" i="4" s="1"/>
  <c r="G695" i="4" s="1"/>
  <c r="G696" i="4" s="1"/>
  <c r="G697" i="4" s="1"/>
  <c r="G698" i="4" s="1"/>
  <c r="G699" i="4" s="1"/>
  <c r="G700" i="4" s="1"/>
  <c r="G701" i="4" s="1"/>
  <c r="G702" i="4" s="1"/>
  <c r="F662" i="4"/>
  <c r="D662" i="4"/>
  <c r="I662" i="4" s="1"/>
  <c r="A662" i="4"/>
  <c r="H662" i="4" s="1"/>
  <c r="A659" i="4"/>
  <c r="A658" i="4"/>
  <c r="A657" i="4"/>
  <c r="A656" i="4"/>
  <c r="A655" i="4"/>
  <c r="A654" i="4"/>
  <c r="A653" i="4"/>
  <c r="A652" i="4"/>
  <c r="A651" i="4"/>
  <c r="A650" i="4"/>
  <c r="A649" i="4"/>
  <c r="A648" i="4"/>
  <c r="A647" i="4"/>
  <c r="A646" i="4"/>
  <c r="A645" i="4"/>
  <c r="A644" i="4"/>
  <c r="A643" i="4"/>
  <c r="A642" i="4"/>
  <c r="A641" i="4"/>
  <c r="A640" i="4"/>
  <c r="A639" i="4"/>
  <c r="A638" i="4"/>
  <c r="A637" i="4"/>
  <c r="A636" i="4"/>
  <c r="A635" i="4"/>
  <c r="A634" i="4"/>
  <c r="A633" i="4"/>
  <c r="A632" i="4"/>
  <c r="A631" i="4"/>
  <c r="A630" i="4"/>
  <c r="A629" i="4"/>
  <c r="A628" i="4"/>
  <c r="A627" i="4"/>
  <c r="A626" i="4"/>
  <c r="A625" i="4"/>
  <c r="A624" i="4"/>
  <c r="A623" i="4"/>
  <c r="A622" i="4"/>
  <c r="A621" i="4"/>
  <c r="A620" i="4"/>
  <c r="B619" i="4"/>
  <c r="A619" i="4"/>
  <c r="G618" i="4"/>
  <c r="G619" i="4" s="1"/>
  <c r="G620" i="4" s="1"/>
  <c r="G621" i="4" s="1"/>
  <c r="G622" i="4" s="1"/>
  <c r="G623" i="4" s="1"/>
  <c r="G624" i="4" s="1"/>
  <c r="G625" i="4" s="1"/>
  <c r="G626" i="4" s="1"/>
  <c r="G627" i="4" s="1"/>
  <c r="G628" i="4" s="1"/>
  <c r="G629" i="4" s="1"/>
  <c r="G630" i="4" s="1"/>
  <c r="G631" i="4" s="1"/>
  <c r="G632" i="4" s="1"/>
  <c r="G633" i="4" s="1"/>
  <c r="G634" i="4" s="1"/>
  <c r="G635" i="4" s="1"/>
  <c r="G636" i="4" s="1"/>
  <c r="G637" i="4" s="1"/>
  <c r="G638" i="4" s="1"/>
  <c r="G639" i="4" s="1"/>
  <c r="G640" i="4" s="1"/>
  <c r="G641" i="4" s="1"/>
  <c r="G642" i="4" s="1"/>
  <c r="G643" i="4" s="1"/>
  <c r="G644" i="4" s="1"/>
  <c r="G645" i="4" s="1"/>
  <c r="G646" i="4" s="1"/>
  <c r="G647" i="4" s="1"/>
  <c r="G648" i="4" s="1"/>
  <c r="G649" i="4" s="1"/>
  <c r="G650" i="4" s="1"/>
  <c r="G651" i="4" s="1"/>
  <c r="G652" i="4" s="1"/>
  <c r="G653" i="4" s="1"/>
  <c r="G654" i="4" s="1"/>
  <c r="G655" i="4" s="1"/>
  <c r="G656" i="4" s="1"/>
  <c r="G657" i="4" s="1"/>
  <c r="G658" i="4" s="1"/>
  <c r="G659" i="4" s="1"/>
  <c r="F618" i="4"/>
  <c r="D618" i="4"/>
  <c r="I618" i="4" s="1"/>
  <c r="A618" i="4"/>
  <c r="H618" i="4" s="1"/>
  <c r="A615" i="4"/>
  <c r="A614" i="4"/>
  <c r="A613" i="4"/>
  <c r="A612" i="4"/>
  <c r="A611" i="4"/>
  <c r="A610" i="4"/>
  <c r="A609" i="4"/>
  <c r="A608" i="4"/>
  <c r="A607" i="4"/>
  <c r="A606" i="4"/>
  <c r="A605" i="4"/>
  <c r="A604" i="4"/>
  <c r="A603" i="4"/>
  <c r="A602" i="4"/>
  <c r="A601" i="4"/>
  <c r="A600" i="4"/>
  <c r="A599" i="4"/>
  <c r="A598" i="4"/>
  <c r="A597" i="4"/>
  <c r="A596" i="4"/>
  <c r="A595" i="4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81" i="4"/>
  <c r="A580" i="4"/>
  <c r="A579" i="4"/>
  <c r="A578" i="4"/>
  <c r="A577" i="4"/>
  <c r="A576" i="4"/>
  <c r="A575" i="4"/>
  <c r="B574" i="4"/>
  <c r="A574" i="4"/>
  <c r="G573" i="4"/>
  <c r="G574" i="4" s="1"/>
  <c r="G575" i="4" s="1"/>
  <c r="G576" i="4" s="1"/>
  <c r="G577" i="4" s="1"/>
  <c r="G578" i="4" s="1"/>
  <c r="G579" i="4" s="1"/>
  <c r="G580" i="4" s="1"/>
  <c r="G581" i="4" s="1"/>
  <c r="G582" i="4" s="1"/>
  <c r="G583" i="4" s="1"/>
  <c r="G584" i="4" s="1"/>
  <c r="G585" i="4" s="1"/>
  <c r="G586" i="4" s="1"/>
  <c r="G587" i="4" s="1"/>
  <c r="G588" i="4" s="1"/>
  <c r="G589" i="4" s="1"/>
  <c r="G590" i="4" s="1"/>
  <c r="G591" i="4" s="1"/>
  <c r="G592" i="4" s="1"/>
  <c r="G593" i="4" s="1"/>
  <c r="G594" i="4" s="1"/>
  <c r="G595" i="4" s="1"/>
  <c r="G596" i="4" s="1"/>
  <c r="G597" i="4" s="1"/>
  <c r="G598" i="4" s="1"/>
  <c r="G599" i="4" s="1"/>
  <c r="G600" i="4" s="1"/>
  <c r="G601" i="4" s="1"/>
  <c r="G602" i="4" s="1"/>
  <c r="G603" i="4" s="1"/>
  <c r="G604" i="4" s="1"/>
  <c r="G605" i="4" s="1"/>
  <c r="G606" i="4" s="1"/>
  <c r="G607" i="4" s="1"/>
  <c r="G608" i="4" s="1"/>
  <c r="G609" i="4" s="1"/>
  <c r="G610" i="4" s="1"/>
  <c r="G611" i="4" s="1"/>
  <c r="G612" i="4" s="1"/>
  <c r="G613" i="4" s="1"/>
  <c r="G614" i="4" s="1"/>
  <c r="G615" i="4" s="1"/>
  <c r="F573" i="4"/>
  <c r="D573" i="4"/>
  <c r="I573" i="4" s="1"/>
  <c r="A573" i="4"/>
  <c r="H573" i="4" s="1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557" i="4"/>
  <c r="A556" i="4"/>
  <c r="A555" i="4"/>
  <c r="A554" i="4"/>
  <c r="A553" i="4"/>
  <c r="A552" i="4"/>
  <c r="A551" i="4"/>
  <c r="A550" i="4"/>
  <c r="A549" i="4"/>
  <c r="A548" i="4"/>
  <c r="A547" i="4"/>
  <c r="A546" i="4"/>
  <c r="A545" i="4"/>
  <c r="A544" i="4"/>
  <c r="A543" i="4"/>
  <c r="A542" i="4"/>
  <c r="A541" i="4"/>
  <c r="A540" i="4"/>
  <c r="A539" i="4"/>
  <c r="A538" i="4"/>
  <c r="A537" i="4"/>
  <c r="A536" i="4"/>
  <c r="A535" i="4"/>
  <c r="A534" i="4"/>
  <c r="A533" i="4"/>
  <c r="A532" i="4"/>
  <c r="A531" i="4"/>
  <c r="A530" i="4"/>
  <c r="A529" i="4"/>
  <c r="C528" i="4"/>
  <c r="B528" i="4"/>
  <c r="A528" i="4"/>
  <c r="G527" i="4"/>
  <c r="G528" i="4" s="1"/>
  <c r="G529" i="4" s="1"/>
  <c r="G530" i="4" s="1"/>
  <c r="G531" i="4" s="1"/>
  <c r="G532" i="4" s="1"/>
  <c r="G533" i="4" s="1"/>
  <c r="G534" i="4" s="1"/>
  <c r="G535" i="4" s="1"/>
  <c r="G536" i="4" s="1"/>
  <c r="G537" i="4" s="1"/>
  <c r="G538" i="4" s="1"/>
  <c r="G539" i="4" s="1"/>
  <c r="G540" i="4" s="1"/>
  <c r="G541" i="4" s="1"/>
  <c r="G542" i="4" s="1"/>
  <c r="G543" i="4" s="1"/>
  <c r="G544" i="4" s="1"/>
  <c r="G545" i="4" s="1"/>
  <c r="G546" i="4" s="1"/>
  <c r="G547" i="4" s="1"/>
  <c r="G548" i="4" s="1"/>
  <c r="G549" i="4" s="1"/>
  <c r="G550" i="4" s="1"/>
  <c r="G551" i="4" s="1"/>
  <c r="G552" i="4" s="1"/>
  <c r="G553" i="4" s="1"/>
  <c r="G554" i="4" s="1"/>
  <c r="G555" i="4" s="1"/>
  <c r="G556" i="4" s="1"/>
  <c r="G557" i="4" s="1"/>
  <c r="G558" i="4" s="1"/>
  <c r="G559" i="4" s="1"/>
  <c r="G560" i="4" s="1"/>
  <c r="G561" i="4" s="1"/>
  <c r="G562" i="4" s="1"/>
  <c r="G563" i="4" s="1"/>
  <c r="G564" i="4" s="1"/>
  <c r="G565" i="4" s="1"/>
  <c r="G566" i="4" s="1"/>
  <c r="G567" i="4" s="1"/>
  <c r="G568" i="4" s="1"/>
  <c r="G569" i="4" s="1"/>
  <c r="G570" i="4" s="1"/>
  <c r="F527" i="4"/>
  <c r="D527" i="4"/>
  <c r="I527" i="4" s="1"/>
  <c r="A527" i="4"/>
  <c r="H527" i="4" s="1"/>
  <c r="A524" i="4"/>
  <c r="A523" i="4"/>
  <c r="A522" i="4"/>
  <c r="A521" i="4"/>
  <c r="A520" i="4"/>
  <c r="A519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B481" i="4"/>
  <c r="A481" i="4"/>
  <c r="G480" i="4"/>
  <c r="G481" i="4" s="1"/>
  <c r="G482" i="4" s="1"/>
  <c r="G483" i="4" s="1"/>
  <c r="G484" i="4" s="1"/>
  <c r="G485" i="4" s="1"/>
  <c r="G486" i="4" s="1"/>
  <c r="G487" i="4" s="1"/>
  <c r="G488" i="4" s="1"/>
  <c r="G489" i="4" s="1"/>
  <c r="G490" i="4" s="1"/>
  <c r="G491" i="4" s="1"/>
  <c r="G492" i="4" s="1"/>
  <c r="G493" i="4" s="1"/>
  <c r="G494" i="4" s="1"/>
  <c r="G495" i="4" s="1"/>
  <c r="G496" i="4" s="1"/>
  <c r="G497" i="4" s="1"/>
  <c r="G498" i="4" s="1"/>
  <c r="G499" i="4" s="1"/>
  <c r="G500" i="4" s="1"/>
  <c r="G501" i="4" s="1"/>
  <c r="G502" i="4" s="1"/>
  <c r="G503" i="4" s="1"/>
  <c r="G504" i="4" s="1"/>
  <c r="G505" i="4" s="1"/>
  <c r="G506" i="4" s="1"/>
  <c r="G507" i="4" s="1"/>
  <c r="G508" i="4" s="1"/>
  <c r="G509" i="4" s="1"/>
  <c r="G510" i="4" s="1"/>
  <c r="G511" i="4" s="1"/>
  <c r="G512" i="4" s="1"/>
  <c r="G513" i="4" s="1"/>
  <c r="G514" i="4" s="1"/>
  <c r="G515" i="4" s="1"/>
  <c r="G516" i="4" s="1"/>
  <c r="G517" i="4" s="1"/>
  <c r="G518" i="4" s="1"/>
  <c r="G519" i="4" s="1"/>
  <c r="G520" i="4" s="1"/>
  <c r="G521" i="4" s="1"/>
  <c r="G522" i="4" s="1"/>
  <c r="G523" i="4" s="1"/>
  <c r="G524" i="4" s="1"/>
  <c r="F480" i="4"/>
  <c r="D480" i="4"/>
  <c r="I480" i="4" s="1"/>
  <c r="A480" i="4"/>
  <c r="H480" i="4" s="1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B433" i="4"/>
  <c r="A433" i="4"/>
  <c r="G432" i="4"/>
  <c r="G433" i="4" s="1"/>
  <c r="G434" i="4" s="1"/>
  <c r="G435" i="4" s="1"/>
  <c r="G436" i="4" s="1"/>
  <c r="G437" i="4" s="1"/>
  <c r="G438" i="4" s="1"/>
  <c r="G439" i="4" s="1"/>
  <c r="G440" i="4" s="1"/>
  <c r="G441" i="4" s="1"/>
  <c r="G442" i="4" s="1"/>
  <c r="G443" i="4" s="1"/>
  <c r="G444" i="4" s="1"/>
  <c r="G445" i="4" s="1"/>
  <c r="G446" i="4" s="1"/>
  <c r="G447" i="4" s="1"/>
  <c r="G448" i="4" s="1"/>
  <c r="G449" i="4" s="1"/>
  <c r="G450" i="4" s="1"/>
  <c r="G451" i="4" s="1"/>
  <c r="G452" i="4" s="1"/>
  <c r="G453" i="4" s="1"/>
  <c r="G454" i="4" s="1"/>
  <c r="G455" i="4" s="1"/>
  <c r="G456" i="4" s="1"/>
  <c r="G457" i="4" s="1"/>
  <c r="G458" i="4" s="1"/>
  <c r="G459" i="4" s="1"/>
  <c r="G460" i="4" s="1"/>
  <c r="G461" i="4" s="1"/>
  <c r="G462" i="4" s="1"/>
  <c r="G463" i="4" s="1"/>
  <c r="G464" i="4" s="1"/>
  <c r="G465" i="4" s="1"/>
  <c r="G466" i="4" s="1"/>
  <c r="G467" i="4" s="1"/>
  <c r="G468" i="4" s="1"/>
  <c r="G469" i="4" s="1"/>
  <c r="G470" i="4" s="1"/>
  <c r="G471" i="4" s="1"/>
  <c r="G472" i="4" s="1"/>
  <c r="G473" i="4" s="1"/>
  <c r="G474" i="4" s="1"/>
  <c r="G475" i="4" s="1"/>
  <c r="G476" i="4" s="1"/>
  <c r="G477" i="4" s="1"/>
  <c r="F432" i="4"/>
  <c r="D432" i="4"/>
  <c r="I432" i="4" s="1"/>
  <c r="A432" i="4"/>
  <c r="H432" i="4" s="1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B384" i="4"/>
  <c r="A384" i="4"/>
  <c r="G383" i="4"/>
  <c r="G384" i="4" s="1"/>
  <c r="G385" i="4" s="1"/>
  <c r="G386" i="4" s="1"/>
  <c r="G387" i="4" s="1"/>
  <c r="G388" i="4" s="1"/>
  <c r="G389" i="4" s="1"/>
  <c r="G390" i="4" s="1"/>
  <c r="G391" i="4" s="1"/>
  <c r="G392" i="4" s="1"/>
  <c r="G393" i="4" s="1"/>
  <c r="G394" i="4" s="1"/>
  <c r="G395" i="4" s="1"/>
  <c r="G396" i="4" s="1"/>
  <c r="G397" i="4" s="1"/>
  <c r="G398" i="4" s="1"/>
  <c r="G399" i="4" s="1"/>
  <c r="G400" i="4" s="1"/>
  <c r="G401" i="4" s="1"/>
  <c r="G402" i="4" s="1"/>
  <c r="G403" i="4" s="1"/>
  <c r="G404" i="4" s="1"/>
  <c r="G405" i="4" s="1"/>
  <c r="G406" i="4" s="1"/>
  <c r="G407" i="4" s="1"/>
  <c r="G408" i="4" s="1"/>
  <c r="G409" i="4" s="1"/>
  <c r="G410" i="4" s="1"/>
  <c r="G411" i="4" s="1"/>
  <c r="G412" i="4" s="1"/>
  <c r="G413" i="4" s="1"/>
  <c r="G414" i="4" s="1"/>
  <c r="G415" i="4" s="1"/>
  <c r="G416" i="4" s="1"/>
  <c r="G417" i="4" s="1"/>
  <c r="G418" i="4" s="1"/>
  <c r="G419" i="4" s="1"/>
  <c r="G420" i="4" s="1"/>
  <c r="G421" i="4" s="1"/>
  <c r="G422" i="4" s="1"/>
  <c r="G423" i="4" s="1"/>
  <c r="G424" i="4" s="1"/>
  <c r="G425" i="4" s="1"/>
  <c r="G426" i="4" s="1"/>
  <c r="G427" i="4" s="1"/>
  <c r="G428" i="4" s="1"/>
  <c r="G429" i="4" s="1"/>
  <c r="F383" i="4"/>
  <c r="D383" i="4"/>
  <c r="I383" i="4" s="1"/>
  <c r="A383" i="4"/>
  <c r="H383" i="4" s="1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B334" i="4"/>
  <c r="A334" i="4"/>
  <c r="G333" i="4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364" i="4" s="1"/>
  <c r="G365" i="4" s="1"/>
  <c r="G366" i="4" s="1"/>
  <c r="G367" i="4" s="1"/>
  <c r="G368" i="4" s="1"/>
  <c r="G369" i="4" s="1"/>
  <c r="G370" i="4" s="1"/>
  <c r="G371" i="4" s="1"/>
  <c r="G372" i="4" s="1"/>
  <c r="G373" i="4" s="1"/>
  <c r="G374" i="4" s="1"/>
  <c r="G375" i="4" s="1"/>
  <c r="G376" i="4" s="1"/>
  <c r="G377" i="4" s="1"/>
  <c r="G378" i="4" s="1"/>
  <c r="G379" i="4" s="1"/>
  <c r="G380" i="4" s="1"/>
  <c r="F333" i="4"/>
  <c r="D333" i="4"/>
  <c r="I333" i="4" s="1"/>
  <c r="A333" i="4"/>
  <c r="H333" i="4" s="1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B283" i="4"/>
  <c r="A283" i="4"/>
  <c r="G282" i="4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F282" i="4"/>
  <c r="D282" i="4"/>
  <c r="I282" i="4" s="1"/>
  <c r="A282" i="4"/>
  <c r="H282" i="4" s="1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B231" i="4"/>
  <c r="A231" i="4"/>
  <c r="G230" i="4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F230" i="4"/>
  <c r="D230" i="4"/>
  <c r="I230" i="4" s="1"/>
  <c r="A230" i="4"/>
  <c r="H230" i="4" s="1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B178" i="4"/>
  <c r="A178" i="4"/>
  <c r="G177" i="4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F177" i="4"/>
  <c r="D177" i="4"/>
  <c r="I177" i="4" s="1"/>
  <c r="A177" i="4"/>
  <c r="H177" i="4" s="1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B124" i="4"/>
  <c r="A124" i="4"/>
  <c r="G123" i="4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F123" i="4"/>
  <c r="D123" i="4"/>
  <c r="I123" i="4" s="1"/>
  <c r="A123" i="4"/>
  <c r="H123" i="4" s="1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C69" i="4"/>
  <c r="B69" i="4"/>
  <c r="A69" i="4"/>
  <c r="G68" i="4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F68" i="4"/>
  <c r="D68" i="4"/>
  <c r="I68" i="4" s="1"/>
  <c r="A68" i="4"/>
  <c r="H68" i="4" s="1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C13" i="4"/>
  <c r="B13" i="4"/>
  <c r="A13" i="4"/>
  <c r="G12" i="4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F12" i="4"/>
  <c r="D12" i="4"/>
  <c r="I12" i="4" s="1"/>
  <c r="A12" i="4"/>
  <c r="H12" i="4" s="1"/>
  <c r="C7" i="4"/>
  <c r="B7" i="4"/>
  <c r="C3" i="4"/>
  <c r="B3" i="4"/>
  <c r="A3" i="4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C916" i="3"/>
  <c r="B916" i="3"/>
  <c r="A916" i="3"/>
  <c r="G915" i="3"/>
  <c r="G916" i="3" s="1"/>
  <c r="G917" i="3" s="1"/>
  <c r="G918" i="3" s="1"/>
  <c r="G919" i="3" s="1"/>
  <c r="G920" i="3" s="1"/>
  <c r="G921" i="3" s="1"/>
  <c r="G922" i="3" s="1"/>
  <c r="G923" i="3" s="1"/>
  <c r="G924" i="3" s="1"/>
  <c r="G925" i="3" s="1"/>
  <c r="G926" i="3" s="1"/>
  <c r="G927" i="3" s="1"/>
  <c r="G928" i="3" s="1"/>
  <c r="G929" i="3" s="1"/>
  <c r="G930" i="3" s="1"/>
  <c r="G931" i="3" s="1"/>
  <c r="G932" i="3" s="1"/>
  <c r="G933" i="3" s="1"/>
  <c r="G934" i="3" s="1"/>
  <c r="G935" i="3" s="1"/>
  <c r="G936" i="3" s="1"/>
  <c r="G937" i="3" s="1"/>
  <c r="G938" i="3" s="1"/>
  <c r="G939" i="3" s="1"/>
  <c r="G940" i="3" s="1"/>
  <c r="G941" i="3" s="1"/>
  <c r="G942" i="3" s="1"/>
  <c r="G943" i="3" s="1"/>
  <c r="G944" i="3" s="1"/>
  <c r="G945" i="3" s="1"/>
  <c r="G946" i="3" s="1"/>
  <c r="G947" i="3" s="1"/>
  <c r="G948" i="3" s="1"/>
  <c r="G949" i="3" s="1"/>
  <c r="G950" i="3" s="1"/>
  <c r="G951" i="3" s="1"/>
  <c r="G952" i="3" s="1"/>
  <c r="G953" i="3" s="1"/>
  <c r="G954" i="3" s="1"/>
  <c r="G955" i="3" s="1"/>
  <c r="G956" i="3" s="1"/>
  <c r="G957" i="3" s="1"/>
  <c r="G958" i="3" s="1"/>
  <c r="G959" i="3" s="1"/>
  <c r="G960" i="3" s="1"/>
  <c r="G961" i="3" s="1"/>
  <c r="G962" i="3" s="1"/>
  <c r="G963" i="3" s="1"/>
  <c r="G964" i="3" s="1"/>
  <c r="G965" i="3" s="1"/>
  <c r="G966" i="3" s="1"/>
  <c r="G967" i="3" s="1"/>
  <c r="G968" i="3" s="1"/>
  <c r="G969" i="3" s="1"/>
  <c r="F915" i="3"/>
  <c r="D915" i="3"/>
  <c r="I915" i="3" s="1"/>
  <c r="A915" i="3"/>
  <c r="H915" i="3" s="1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C858" i="3"/>
  <c r="B858" i="3"/>
  <c r="A858" i="3"/>
  <c r="G857" i="3"/>
  <c r="G858" i="3" s="1"/>
  <c r="G859" i="3" s="1"/>
  <c r="G860" i="3" s="1"/>
  <c r="G861" i="3" s="1"/>
  <c r="G862" i="3" s="1"/>
  <c r="G863" i="3" s="1"/>
  <c r="G864" i="3" s="1"/>
  <c r="G865" i="3" s="1"/>
  <c r="G866" i="3" s="1"/>
  <c r="G867" i="3" s="1"/>
  <c r="G868" i="3" s="1"/>
  <c r="G869" i="3" s="1"/>
  <c r="G870" i="3" s="1"/>
  <c r="G871" i="3" s="1"/>
  <c r="G872" i="3" s="1"/>
  <c r="G873" i="3" s="1"/>
  <c r="G874" i="3" s="1"/>
  <c r="G875" i="3" s="1"/>
  <c r="G876" i="3" s="1"/>
  <c r="G877" i="3" s="1"/>
  <c r="G878" i="3" s="1"/>
  <c r="G879" i="3" s="1"/>
  <c r="G880" i="3" s="1"/>
  <c r="G881" i="3" s="1"/>
  <c r="G882" i="3" s="1"/>
  <c r="G883" i="3" s="1"/>
  <c r="G884" i="3" s="1"/>
  <c r="G885" i="3" s="1"/>
  <c r="G886" i="3" s="1"/>
  <c r="G887" i="3" s="1"/>
  <c r="G888" i="3" s="1"/>
  <c r="G889" i="3" s="1"/>
  <c r="G890" i="3" s="1"/>
  <c r="G891" i="3" s="1"/>
  <c r="G892" i="3" s="1"/>
  <c r="G893" i="3" s="1"/>
  <c r="G894" i="3" s="1"/>
  <c r="G895" i="3" s="1"/>
  <c r="G896" i="3" s="1"/>
  <c r="G897" i="3" s="1"/>
  <c r="G898" i="3" s="1"/>
  <c r="G899" i="3" s="1"/>
  <c r="G900" i="3" s="1"/>
  <c r="G901" i="3" s="1"/>
  <c r="G902" i="3" s="1"/>
  <c r="G903" i="3" s="1"/>
  <c r="G904" i="3" s="1"/>
  <c r="G905" i="3" s="1"/>
  <c r="G906" i="3" s="1"/>
  <c r="G907" i="3" s="1"/>
  <c r="G908" i="3" s="1"/>
  <c r="G909" i="3" s="1"/>
  <c r="G910" i="3" s="1"/>
  <c r="G911" i="3" s="1"/>
  <c r="G912" i="3" s="1"/>
  <c r="F857" i="3"/>
  <c r="D857" i="3"/>
  <c r="I857" i="3" s="1"/>
  <c r="A857" i="3"/>
  <c r="H857" i="3" s="1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C799" i="3"/>
  <c r="B799" i="3"/>
  <c r="A799" i="3"/>
  <c r="G798" i="3"/>
  <c r="G799" i="3" s="1"/>
  <c r="G800" i="3" s="1"/>
  <c r="G801" i="3" s="1"/>
  <c r="G802" i="3" s="1"/>
  <c r="G803" i="3" s="1"/>
  <c r="G804" i="3" s="1"/>
  <c r="G805" i="3" s="1"/>
  <c r="G806" i="3" s="1"/>
  <c r="G807" i="3" s="1"/>
  <c r="G808" i="3" s="1"/>
  <c r="G809" i="3" s="1"/>
  <c r="G810" i="3" s="1"/>
  <c r="G811" i="3" s="1"/>
  <c r="G812" i="3" s="1"/>
  <c r="G813" i="3" s="1"/>
  <c r="G814" i="3" s="1"/>
  <c r="G815" i="3" s="1"/>
  <c r="G816" i="3" s="1"/>
  <c r="G817" i="3" s="1"/>
  <c r="G818" i="3" s="1"/>
  <c r="G819" i="3" s="1"/>
  <c r="G820" i="3" s="1"/>
  <c r="G821" i="3" s="1"/>
  <c r="G822" i="3" s="1"/>
  <c r="G823" i="3" s="1"/>
  <c r="G824" i="3" s="1"/>
  <c r="G825" i="3" s="1"/>
  <c r="G826" i="3" s="1"/>
  <c r="G827" i="3" s="1"/>
  <c r="G828" i="3" s="1"/>
  <c r="G829" i="3" s="1"/>
  <c r="G830" i="3" s="1"/>
  <c r="G831" i="3" s="1"/>
  <c r="G832" i="3" s="1"/>
  <c r="G833" i="3" s="1"/>
  <c r="G834" i="3" s="1"/>
  <c r="G835" i="3" s="1"/>
  <c r="G836" i="3" s="1"/>
  <c r="G837" i="3" s="1"/>
  <c r="G838" i="3" s="1"/>
  <c r="G839" i="3" s="1"/>
  <c r="G840" i="3" s="1"/>
  <c r="G841" i="3" s="1"/>
  <c r="G842" i="3" s="1"/>
  <c r="G843" i="3" s="1"/>
  <c r="G844" i="3" s="1"/>
  <c r="G845" i="3" s="1"/>
  <c r="G846" i="3" s="1"/>
  <c r="G847" i="3" s="1"/>
  <c r="G848" i="3" s="1"/>
  <c r="G849" i="3" s="1"/>
  <c r="G850" i="3" s="1"/>
  <c r="G851" i="3" s="1"/>
  <c r="G852" i="3" s="1"/>
  <c r="G853" i="3" s="1"/>
  <c r="G854" i="3" s="1"/>
  <c r="F798" i="3"/>
  <c r="D798" i="3"/>
  <c r="I798" i="3" s="1"/>
  <c r="A798" i="3"/>
  <c r="H798" i="3" s="1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C739" i="3"/>
  <c r="B739" i="3"/>
  <c r="A739" i="3"/>
  <c r="G738" i="3"/>
  <c r="G739" i="3" s="1"/>
  <c r="G740" i="3" s="1"/>
  <c r="G741" i="3" s="1"/>
  <c r="G742" i="3" s="1"/>
  <c r="G743" i="3" s="1"/>
  <c r="G744" i="3" s="1"/>
  <c r="G745" i="3" s="1"/>
  <c r="G746" i="3" s="1"/>
  <c r="G747" i="3" s="1"/>
  <c r="G748" i="3" s="1"/>
  <c r="G749" i="3" s="1"/>
  <c r="G750" i="3" s="1"/>
  <c r="G751" i="3" s="1"/>
  <c r="G752" i="3" s="1"/>
  <c r="G753" i="3" s="1"/>
  <c r="G754" i="3" s="1"/>
  <c r="G755" i="3" s="1"/>
  <c r="G756" i="3" s="1"/>
  <c r="G757" i="3" s="1"/>
  <c r="G758" i="3" s="1"/>
  <c r="G759" i="3" s="1"/>
  <c r="G760" i="3" s="1"/>
  <c r="G761" i="3" s="1"/>
  <c r="G762" i="3" s="1"/>
  <c r="G763" i="3" s="1"/>
  <c r="G764" i="3" s="1"/>
  <c r="G765" i="3" s="1"/>
  <c r="G766" i="3" s="1"/>
  <c r="G767" i="3" s="1"/>
  <c r="G768" i="3" s="1"/>
  <c r="G769" i="3" s="1"/>
  <c r="G770" i="3" s="1"/>
  <c r="G771" i="3" s="1"/>
  <c r="G772" i="3" s="1"/>
  <c r="G773" i="3" s="1"/>
  <c r="G774" i="3" s="1"/>
  <c r="G775" i="3" s="1"/>
  <c r="G776" i="3" s="1"/>
  <c r="G777" i="3" s="1"/>
  <c r="G778" i="3" s="1"/>
  <c r="G779" i="3" s="1"/>
  <c r="G780" i="3" s="1"/>
  <c r="G781" i="3" s="1"/>
  <c r="G782" i="3" s="1"/>
  <c r="G783" i="3" s="1"/>
  <c r="G784" i="3" s="1"/>
  <c r="G785" i="3" s="1"/>
  <c r="G786" i="3" s="1"/>
  <c r="G787" i="3" s="1"/>
  <c r="G788" i="3" s="1"/>
  <c r="G789" i="3" s="1"/>
  <c r="G790" i="3" s="1"/>
  <c r="G791" i="3" s="1"/>
  <c r="G792" i="3" s="1"/>
  <c r="G793" i="3" s="1"/>
  <c r="G794" i="3" s="1"/>
  <c r="G795" i="3" s="1"/>
  <c r="F738" i="3"/>
  <c r="D738" i="3"/>
  <c r="I738" i="3" s="1"/>
  <c r="A738" i="3"/>
  <c r="H738" i="3" s="1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C678" i="3"/>
  <c r="B678" i="3"/>
  <c r="A678" i="3"/>
  <c r="G677" i="3"/>
  <c r="G678" i="3" s="1"/>
  <c r="G679" i="3" s="1"/>
  <c r="G680" i="3" s="1"/>
  <c r="G681" i="3" s="1"/>
  <c r="G682" i="3" s="1"/>
  <c r="G683" i="3" s="1"/>
  <c r="G684" i="3" s="1"/>
  <c r="G685" i="3" s="1"/>
  <c r="G686" i="3" s="1"/>
  <c r="G687" i="3" s="1"/>
  <c r="G688" i="3" s="1"/>
  <c r="G689" i="3" s="1"/>
  <c r="G690" i="3" s="1"/>
  <c r="G691" i="3" s="1"/>
  <c r="G692" i="3" s="1"/>
  <c r="G693" i="3" s="1"/>
  <c r="G694" i="3" s="1"/>
  <c r="G695" i="3" s="1"/>
  <c r="G696" i="3" s="1"/>
  <c r="G697" i="3" s="1"/>
  <c r="G698" i="3" s="1"/>
  <c r="G699" i="3" s="1"/>
  <c r="G700" i="3" s="1"/>
  <c r="G701" i="3" s="1"/>
  <c r="G702" i="3" s="1"/>
  <c r="G703" i="3" s="1"/>
  <c r="G704" i="3" s="1"/>
  <c r="G705" i="3" s="1"/>
  <c r="G706" i="3" s="1"/>
  <c r="G707" i="3" s="1"/>
  <c r="G708" i="3" s="1"/>
  <c r="G709" i="3" s="1"/>
  <c r="G710" i="3" s="1"/>
  <c r="G711" i="3" s="1"/>
  <c r="G712" i="3" s="1"/>
  <c r="G713" i="3" s="1"/>
  <c r="G714" i="3" s="1"/>
  <c r="G715" i="3" s="1"/>
  <c r="G716" i="3" s="1"/>
  <c r="G717" i="3" s="1"/>
  <c r="G718" i="3" s="1"/>
  <c r="G719" i="3" s="1"/>
  <c r="G720" i="3" s="1"/>
  <c r="G721" i="3" s="1"/>
  <c r="G722" i="3" s="1"/>
  <c r="G723" i="3" s="1"/>
  <c r="G724" i="3" s="1"/>
  <c r="G725" i="3" s="1"/>
  <c r="G726" i="3" s="1"/>
  <c r="G727" i="3" s="1"/>
  <c r="G728" i="3" s="1"/>
  <c r="G729" i="3" s="1"/>
  <c r="G730" i="3" s="1"/>
  <c r="G731" i="3" s="1"/>
  <c r="G732" i="3" s="1"/>
  <c r="G733" i="3" s="1"/>
  <c r="G734" i="3" s="1"/>
  <c r="G735" i="3" s="1"/>
  <c r="F677" i="3"/>
  <c r="D677" i="3"/>
  <c r="I677" i="3" s="1"/>
  <c r="A677" i="3"/>
  <c r="H677" i="3" s="1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C616" i="3"/>
  <c r="B616" i="3"/>
  <c r="A616" i="3"/>
  <c r="G615" i="3"/>
  <c r="G616" i="3" s="1"/>
  <c r="G617" i="3" s="1"/>
  <c r="G618" i="3" s="1"/>
  <c r="G619" i="3" s="1"/>
  <c r="G620" i="3" s="1"/>
  <c r="G621" i="3" s="1"/>
  <c r="G622" i="3" s="1"/>
  <c r="G623" i="3" s="1"/>
  <c r="G624" i="3" s="1"/>
  <c r="G625" i="3" s="1"/>
  <c r="G626" i="3" s="1"/>
  <c r="G627" i="3" s="1"/>
  <c r="G628" i="3" s="1"/>
  <c r="G629" i="3" s="1"/>
  <c r="G630" i="3" s="1"/>
  <c r="G631" i="3" s="1"/>
  <c r="G632" i="3" s="1"/>
  <c r="G633" i="3" s="1"/>
  <c r="G634" i="3" s="1"/>
  <c r="G635" i="3" s="1"/>
  <c r="G636" i="3" s="1"/>
  <c r="G637" i="3" s="1"/>
  <c r="G638" i="3" s="1"/>
  <c r="G639" i="3" s="1"/>
  <c r="G640" i="3" s="1"/>
  <c r="G641" i="3" s="1"/>
  <c r="G642" i="3" s="1"/>
  <c r="G643" i="3" s="1"/>
  <c r="G644" i="3" s="1"/>
  <c r="G645" i="3" s="1"/>
  <c r="G646" i="3" s="1"/>
  <c r="G647" i="3" s="1"/>
  <c r="G648" i="3" s="1"/>
  <c r="G649" i="3" s="1"/>
  <c r="G650" i="3" s="1"/>
  <c r="G651" i="3" s="1"/>
  <c r="G652" i="3" s="1"/>
  <c r="G653" i="3" s="1"/>
  <c r="G654" i="3" s="1"/>
  <c r="G655" i="3" s="1"/>
  <c r="G656" i="3" s="1"/>
  <c r="G657" i="3" s="1"/>
  <c r="G658" i="3" s="1"/>
  <c r="G659" i="3" s="1"/>
  <c r="G660" i="3" s="1"/>
  <c r="G661" i="3" s="1"/>
  <c r="G662" i="3" s="1"/>
  <c r="G663" i="3" s="1"/>
  <c r="G664" i="3" s="1"/>
  <c r="G665" i="3" s="1"/>
  <c r="G666" i="3" s="1"/>
  <c r="G667" i="3" s="1"/>
  <c r="G668" i="3" s="1"/>
  <c r="G669" i="3" s="1"/>
  <c r="G670" i="3" s="1"/>
  <c r="G671" i="3" s="1"/>
  <c r="G672" i="3" s="1"/>
  <c r="G673" i="3" s="1"/>
  <c r="G674" i="3" s="1"/>
  <c r="F615" i="3"/>
  <c r="D615" i="3"/>
  <c r="I615" i="3" s="1"/>
  <c r="A615" i="3"/>
  <c r="H615" i="3" s="1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C553" i="3"/>
  <c r="B553" i="3"/>
  <c r="A553" i="3"/>
  <c r="G552" i="3"/>
  <c r="G553" i="3" s="1"/>
  <c r="G554" i="3" s="1"/>
  <c r="G555" i="3" s="1"/>
  <c r="G556" i="3" s="1"/>
  <c r="G557" i="3" s="1"/>
  <c r="G558" i="3" s="1"/>
  <c r="G559" i="3" s="1"/>
  <c r="G560" i="3" s="1"/>
  <c r="G561" i="3" s="1"/>
  <c r="G562" i="3" s="1"/>
  <c r="G563" i="3" s="1"/>
  <c r="G564" i="3" s="1"/>
  <c r="G565" i="3" s="1"/>
  <c r="G566" i="3" s="1"/>
  <c r="G567" i="3" s="1"/>
  <c r="G568" i="3" s="1"/>
  <c r="G569" i="3" s="1"/>
  <c r="G570" i="3" s="1"/>
  <c r="G571" i="3" s="1"/>
  <c r="G572" i="3" s="1"/>
  <c r="G573" i="3" s="1"/>
  <c r="G574" i="3" s="1"/>
  <c r="G575" i="3" s="1"/>
  <c r="G576" i="3" s="1"/>
  <c r="G577" i="3" s="1"/>
  <c r="G578" i="3" s="1"/>
  <c r="G579" i="3" s="1"/>
  <c r="G580" i="3" s="1"/>
  <c r="G581" i="3" s="1"/>
  <c r="G582" i="3" s="1"/>
  <c r="G583" i="3" s="1"/>
  <c r="G584" i="3" s="1"/>
  <c r="G585" i="3" s="1"/>
  <c r="G586" i="3" s="1"/>
  <c r="G587" i="3" s="1"/>
  <c r="G588" i="3" s="1"/>
  <c r="G589" i="3" s="1"/>
  <c r="G590" i="3" s="1"/>
  <c r="G591" i="3" s="1"/>
  <c r="G592" i="3" s="1"/>
  <c r="G593" i="3" s="1"/>
  <c r="G594" i="3" s="1"/>
  <c r="G595" i="3" s="1"/>
  <c r="G596" i="3" s="1"/>
  <c r="G597" i="3" s="1"/>
  <c r="G598" i="3" s="1"/>
  <c r="G599" i="3" s="1"/>
  <c r="G600" i="3" s="1"/>
  <c r="G601" i="3" s="1"/>
  <c r="G602" i="3" s="1"/>
  <c r="G603" i="3" s="1"/>
  <c r="G604" i="3" s="1"/>
  <c r="G605" i="3" s="1"/>
  <c r="G606" i="3" s="1"/>
  <c r="G607" i="3" s="1"/>
  <c r="G608" i="3" s="1"/>
  <c r="G609" i="3" s="1"/>
  <c r="G610" i="3" s="1"/>
  <c r="G611" i="3" s="1"/>
  <c r="G612" i="3" s="1"/>
  <c r="F552" i="3"/>
  <c r="D552" i="3"/>
  <c r="I552" i="3" s="1"/>
  <c r="A552" i="3"/>
  <c r="H552" i="3" s="1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C489" i="3"/>
  <c r="B489" i="3"/>
  <c r="A489" i="3"/>
  <c r="G488" i="3"/>
  <c r="G489" i="3" s="1"/>
  <c r="G490" i="3" s="1"/>
  <c r="G491" i="3" s="1"/>
  <c r="G492" i="3" s="1"/>
  <c r="G493" i="3" s="1"/>
  <c r="G494" i="3" s="1"/>
  <c r="G495" i="3" s="1"/>
  <c r="G496" i="3" s="1"/>
  <c r="G497" i="3" s="1"/>
  <c r="G498" i="3" s="1"/>
  <c r="G499" i="3" s="1"/>
  <c r="G500" i="3" s="1"/>
  <c r="G501" i="3" s="1"/>
  <c r="G502" i="3" s="1"/>
  <c r="G503" i="3" s="1"/>
  <c r="G504" i="3" s="1"/>
  <c r="G505" i="3" s="1"/>
  <c r="G506" i="3" s="1"/>
  <c r="G507" i="3" s="1"/>
  <c r="G508" i="3" s="1"/>
  <c r="G509" i="3" s="1"/>
  <c r="G510" i="3" s="1"/>
  <c r="G511" i="3" s="1"/>
  <c r="G512" i="3" s="1"/>
  <c r="G513" i="3" s="1"/>
  <c r="G514" i="3" s="1"/>
  <c r="G515" i="3" s="1"/>
  <c r="G516" i="3" s="1"/>
  <c r="G517" i="3" s="1"/>
  <c r="G518" i="3" s="1"/>
  <c r="G519" i="3" s="1"/>
  <c r="G520" i="3" s="1"/>
  <c r="G521" i="3" s="1"/>
  <c r="G522" i="3" s="1"/>
  <c r="G523" i="3" s="1"/>
  <c r="G524" i="3" s="1"/>
  <c r="G525" i="3" s="1"/>
  <c r="G526" i="3" s="1"/>
  <c r="G527" i="3" s="1"/>
  <c r="G528" i="3" s="1"/>
  <c r="G529" i="3" s="1"/>
  <c r="G530" i="3" s="1"/>
  <c r="G531" i="3" s="1"/>
  <c r="G532" i="3" s="1"/>
  <c r="G533" i="3" s="1"/>
  <c r="G534" i="3" s="1"/>
  <c r="G535" i="3" s="1"/>
  <c r="G536" i="3" s="1"/>
  <c r="G537" i="3" s="1"/>
  <c r="G538" i="3" s="1"/>
  <c r="G539" i="3" s="1"/>
  <c r="G540" i="3" s="1"/>
  <c r="G541" i="3" s="1"/>
  <c r="G542" i="3" s="1"/>
  <c r="G543" i="3" s="1"/>
  <c r="G544" i="3" s="1"/>
  <c r="G545" i="3" s="1"/>
  <c r="G546" i="3" s="1"/>
  <c r="G547" i="3" s="1"/>
  <c r="G548" i="3" s="1"/>
  <c r="G549" i="3" s="1"/>
  <c r="F488" i="3"/>
  <c r="D488" i="3"/>
  <c r="I488" i="3" s="1"/>
  <c r="A488" i="3"/>
  <c r="H488" i="3" s="1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C424" i="3"/>
  <c r="B424" i="3"/>
  <c r="A424" i="3"/>
  <c r="G423" i="3"/>
  <c r="G424" i="3" s="1"/>
  <c r="G425" i="3" s="1"/>
  <c r="G426" i="3" s="1"/>
  <c r="G427" i="3" s="1"/>
  <c r="G428" i="3" s="1"/>
  <c r="G429" i="3" s="1"/>
  <c r="G430" i="3" s="1"/>
  <c r="G431" i="3" s="1"/>
  <c r="G432" i="3" s="1"/>
  <c r="G433" i="3" s="1"/>
  <c r="G434" i="3" s="1"/>
  <c r="G435" i="3" s="1"/>
  <c r="G436" i="3" s="1"/>
  <c r="G437" i="3" s="1"/>
  <c r="G438" i="3" s="1"/>
  <c r="G439" i="3" s="1"/>
  <c r="G440" i="3" s="1"/>
  <c r="G441" i="3" s="1"/>
  <c r="G442" i="3" s="1"/>
  <c r="G443" i="3" s="1"/>
  <c r="G444" i="3" s="1"/>
  <c r="G445" i="3" s="1"/>
  <c r="G446" i="3" s="1"/>
  <c r="G447" i="3" s="1"/>
  <c r="G448" i="3" s="1"/>
  <c r="G449" i="3" s="1"/>
  <c r="G450" i="3" s="1"/>
  <c r="G451" i="3" s="1"/>
  <c r="G452" i="3" s="1"/>
  <c r="G453" i="3" s="1"/>
  <c r="G454" i="3" s="1"/>
  <c r="G455" i="3" s="1"/>
  <c r="G456" i="3" s="1"/>
  <c r="G457" i="3" s="1"/>
  <c r="G458" i="3" s="1"/>
  <c r="G459" i="3" s="1"/>
  <c r="G460" i="3" s="1"/>
  <c r="G461" i="3" s="1"/>
  <c r="G462" i="3" s="1"/>
  <c r="G463" i="3" s="1"/>
  <c r="G464" i="3" s="1"/>
  <c r="G465" i="3" s="1"/>
  <c r="G466" i="3" s="1"/>
  <c r="G467" i="3" s="1"/>
  <c r="G468" i="3" s="1"/>
  <c r="G469" i="3" s="1"/>
  <c r="G470" i="3" s="1"/>
  <c r="G471" i="3" s="1"/>
  <c r="G472" i="3" s="1"/>
  <c r="G473" i="3" s="1"/>
  <c r="G474" i="3" s="1"/>
  <c r="G475" i="3" s="1"/>
  <c r="G476" i="3" s="1"/>
  <c r="G477" i="3" s="1"/>
  <c r="G478" i="3" s="1"/>
  <c r="G479" i="3" s="1"/>
  <c r="G480" i="3" s="1"/>
  <c r="G481" i="3" s="1"/>
  <c r="G482" i="3" s="1"/>
  <c r="G483" i="3" s="1"/>
  <c r="G484" i="3" s="1"/>
  <c r="G485" i="3" s="1"/>
  <c r="F423" i="3"/>
  <c r="D423" i="3"/>
  <c r="I423" i="3" s="1"/>
  <c r="A423" i="3"/>
  <c r="H423" i="3" s="1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C358" i="3"/>
  <c r="B358" i="3"/>
  <c r="A358" i="3"/>
  <c r="G357" i="3"/>
  <c r="G358" i="3" s="1"/>
  <c r="G359" i="3" s="1"/>
  <c r="G360" i="3" s="1"/>
  <c r="G361" i="3" s="1"/>
  <c r="G362" i="3" s="1"/>
  <c r="G363" i="3" s="1"/>
  <c r="G364" i="3" s="1"/>
  <c r="G365" i="3" s="1"/>
  <c r="G366" i="3" s="1"/>
  <c r="G367" i="3" s="1"/>
  <c r="G368" i="3" s="1"/>
  <c r="G369" i="3" s="1"/>
  <c r="G370" i="3" s="1"/>
  <c r="G371" i="3" s="1"/>
  <c r="G372" i="3" s="1"/>
  <c r="G373" i="3" s="1"/>
  <c r="G374" i="3" s="1"/>
  <c r="G375" i="3" s="1"/>
  <c r="G376" i="3" s="1"/>
  <c r="G377" i="3" s="1"/>
  <c r="G378" i="3" s="1"/>
  <c r="G379" i="3" s="1"/>
  <c r="G380" i="3" s="1"/>
  <c r="G381" i="3" s="1"/>
  <c r="G382" i="3" s="1"/>
  <c r="G383" i="3" s="1"/>
  <c r="G384" i="3" s="1"/>
  <c r="G385" i="3" s="1"/>
  <c r="G386" i="3" s="1"/>
  <c r="G387" i="3" s="1"/>
  <c r="G388" i="3" s="1"/>
  <c r="G389" i="3" s="1"/>
  <c r="G390" i="3" s="1"/>
  <c r="G391" i="3" s="1"/>
  <c r="G392" i="3" s="1"/>
  <c r="G393" i="3" s="1"/>
  <c r="G394" i="3" s="1"/>
  <c r="G395" i="3" s="1"/>
  <c r="G396" i="3" s="1"/>
  <c r="G397" i="3" s="1"/>
  <c r="G398" i="3" s="1"/>
  <c r="G399" i="3" s="1"/>
  <c r="G400" i="3" s="1"/>
  <c r="G401" i="3" s="1"/>
  <c r="G402" i="3" s="1"/>
  <c r="G403" i="3" s="1"/>
  <c r="G404" i="3" s="1"/>
  <c r="G405" i="3" s="1"/>
  <c r="G406" i="3" s="1"/>
  <c r="G407" i="3" s="1"/>
  <c r="G408" i="3" s="1"/>
  <c r="G409" i="3" s="1"/>
  <c r="G410" i="3" s="1"/>
  <c r="G411" i="3" s="1"/>
  <c r="G412" i="3" s="1"/>
  <c r="G413" i="3" s="1"/>
  <c r="G414" i="3" s="1"/>
  <c r="G415" i="3" s="1"/>
  <c r="G416" i="3" s="1"/>
  <c r="G417" i="3" s="1"/>
  <c r="G418" i="3" s="1"/>
  <c r="G419" i="3" s="1"/>
  <c r="G420" i="3" s="1"/>
  <c r="F357" i="3"/>
  <c r="D357" i="3"/>
  <c r="I357" i="3" s="1"/>
  <c r="A357" i="3"/>
  <c r="H357" i="3" s="1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C291" i="3"/>
  <c r="B291" i="3"/>
  <c r="A291" i="3"/>
  <c r="G290" i="3"/>
  <c r="G291" i="3" s="1"/>
  <c r="G292" i="3" s="1"/>
  <c r="G293" i="3" s="1"/>
  <c r="G294" i="3" s="1"/>
  <c r="G295" i="3" s="1"/>
  <c r="G296" i="3" s="1"/>
  <c r="G297" i="3" s="1"/>
  <c r="G298" i="3" s="1"/>
  <c r="G299" i="3" s="1"/>
  <c r="G300" i="3" s="1"/>
  <c r="G301" i="3" s="1"/>
  <c r="G302" i="3" s="1"/>
  <c r="G303" i="3" s="1"/>
  <c r="G304" i="3" s="1"/>
  <c r="G305" i="3" s="1"/>
  <c r="G306" i="3" s="1"/>
  <c r="G307" i="3" s="1"/>
  <c r="G308" i="3" s="1"/>
  <c r="G309" i="3" s="1"/>
  <c r="G310" i="3" s="1"/>
  <c r="G311" i="3" s="1"/>
  <c r="G312" i="3" s="1"/>
  <c r="G313" i="3" s="1"/>
  <c r="G314" i="3" s="1"/>
  <c r="G315" i="3" s="1"/>
  <c r="G316" i="3" s="1"/>
  <c r="G317" i="3" s="1"/>
  <c r="G318" i="3" s="1"/>
  <c r="G319" i="3" s="1"/>
  <c r="G320" i="3" s="1"/>
  <c r="G321" i="3" s="1"/>
  <c r="G322" i="3" s="1"/>
  <c r="G323" i="3" s="1"/>
  <c r="G324" i="3" s="1"/>
  <c r="G325" i="3" s="1"/>
  <c r="G326" i="3" s="1"/>
  <c r="G327" i="3" s="1"/>
  <c r="G328" i="3" s="1"/>
  <c r="G329" i="3" s="1"/>
  <c r="G330" i="3" s="1"/>
  <c r="G331" i="3" s="1"/>
  <c r="G332" i="3" s="1"/>
  <c r="G333" i="3" s="1"/>
  <c r="G334" i="3" s="1"/>
  <c r="G335" i="3" s="1"/>
  <c r="G336" i="3" s="1"/>
  <c r="G337" i="3" s="1"/>
  <c r="G338" i="3" s="1"/>
  <c r="G339" i="3" s="1"/>
  <c r="G340" i="3" s="1"/>
  <c r="G341" i="3" s="1"/>
  <c r="G342" i="3" s="1"/>
  <c r="G343" i="3" s="1"/>
  <c r="G344" i="3" s="1"/>
  <c r="G345" i="3" s="1"/>
  <c r="G346" i="3" s="1"/>
  <c r="G347" i="3" s="1"/>
  <c r="G348" i="3" s="1"/>
  <c r="G349" i="3" s="1"/>
  <c r="G350" i="3" s="1"/>
  <c r="G351" i="3" s="1"/>
  <c r="G352" i="3" s="1"/>
  <c r="G353" i="3" s="1"/>
  <c r="G354" i="3" s="1"/>
  <c r="F290" i="3"/>
  <c r="D290" i="3"/>
  <c r="I290" i="3" s="1"/>
  <c r="A290" i="3"/>
  <c r="H290" i="3" s="1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C223" i="3"/>
  <c r="B223" i="3"/>
  <c r="A223" i="3"/>
  <c r="G222" i="3"/>
  <c r="G223" i="3" s="1"/>
  <c r="G224" i="3" s="1"/>
  <c r="G225" i="3" s="1"/>
  <c r="G226" i="3" s="1"/>
  <c r="G227" i="3" s="1"/>
  <c r="G228" i="3" s="1"/>
  <c r="G229" i="3" s="1"/>
  <c r="G230" i="3" s="1"/>
  <c r="G231" i="3" s="1"/>
  <c r="G232" i="3" s="1"/>
  <c r="G233" i="3" s="1"/>
  <c r="G234" i="3" s="1"/>
  <c r="G235" i="3" s="1"/>
  <c r="G236" i="3" s="1"/>
  <c r="G237" i="3" s="1"/>
  <c r="G238" i="3" s="1"/>
  <c r="G239" i="3" s="1"/>
  <c r="G240" i="3" s="1"/>
  <c r="G241" i="3" s="1"/>
  <c r="G242" i="3" s="1"/>
  <c r="G243" i="3" s="1"/>
  <c r="G244" i="3" s="1"/>
  <c r="G245" i="3" s="1"/>
  <c r="G246" i="3" s="1"/>
  <c r="G247" i="3" s="1"/>
  <c r="G248" i="3" s="1"/>
  <c r="G249" i="3" s="1"/>
  <c r="G250" i="3" s="1"/>
  <c r="G251" i="3" s="1"/>
  <c r="G252" i="3" s="1"/>
  <c r="G253" i="3" s="1"/>
  <c r="G254" i="3" s="1"/>
  <c r="G255" i="3" s="1"/>
  <c r="G256" i="3" s="1"/>
  <c r="G257" i="3" s="1"/>
  <c r="G258" i="3" s="1"/>
  <c r="G259" i="3" s="1"/>
  <c r="G260" i="3" s="1"/>
  <c r="G261" i="3" s="1"/>
  <c r="G262" i="3" s="1"/>
  <c r="G263" i="3" s="1"/>
  <c r="G264" i="3" s="1"/>
  <c r="G265" i="3" s="1"/>
  <c r="G266" i="3" s="1"/>
  <c r="G267" i="3" s="1"/>
  <c r="G268" i="3" s="1"/>
  <c r="G269" i="3" s="1"/>
  <c r="G270" i="3" s="1"/>
  <c r="G271" i="3" s="1"/>
  <c r="G272" i="3" s="1"/>
  <c r="G273" i="3" s="1"/>
  <c r="G274" i="3" s="1"/>
  <c r="G275" i="3" s="1"/>
  <c r="G276" i="3" s="1"/>
  <c r="G277" i="3" s="1"/>
  <c r="G278" i="3" s="1"/>
  <c r="G279" i="3" s="1"/>
  <c r="G280" i="3" s="1"/>
  <c r="G281" i="3" s="1"/>
  <c r="G282" i="3" s="1"/>
  <c r="G283" i="3" s="1"/>
  <c r="G284" i="3" s="1"/>
  <c r="G285" i="3" s="1"/>
  <c r="G286" i="3" s="1"/>
  <c r="G287" i="3" s="1"/>
  <c r="F222" i="3"/>
  <c r="D222" i="3"/>
  <c r="I222" i="3" s="1"/>
  <c r="A222" i="3"/>
  <c r="H222" i="3" s="1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C154" i="3"/>
  <c r="B154" i="3"/>
  <c r="A154" i="3"/>
  <c r="G153" i="3"/>
  <c r="G154" i="3" s="1"/>
  <c r="G155" i="3" s="1"/>
  <c r="G156" i="3" s="1"/>
  <c r="G157" i="3" s="1"/>
  <c r="G158" i="3" s="1"/>
  <c r="G159" i="3" s="1"/>
  <c r="G160" i="3" s="1"/>
  <c r="G161" i="3" s="1"/>
  <c r="G162" i="3" s="1"/>
  <c r="G163" i="3" s="1"/>
  <c r="G164" i="3" s="1"/>
  <c r="G165" i="3" s="1"/>
  <c r="G166" i="3" s="1"/>
  <c r="G167" i="3" s="1"/>
  <c r="G168" i="3" s="1"/>
  <c r="G169" i="3" s="1"/>
  <c r="G170" i="3" s="1"/>
  <c r="G171" i="3" s="1"/>
  <c r="G172" i="3" s="1"/>
  <c r="G173" i="3" s="1"/>
  <c r="G174" i="3" s="1"/>
  <c r="G175" i="3" s="1"/>
  <c r="G176" i="3" s="1"/>
  <c r="G177" i="3" s="1"/>
  <c r="G178" i="3" s="1"/>
  <c r="G179" i="3" s="1"/>
  <c r="G180" i="3" s="1"/>
  <c r="G181" i="3" s="1"/>
  <c r="G182" i="3" s="1"/>
  <c r="G183" i="3" s="1"/>
  <c r="G184" i="3" s="1"/>
  <c r="G185" i="3" s="1"/>
  <c r="G186" i="3" s="1"/>
  <c r="G187" i="3" s="1"/>
  <c r="G188" i="3" s="1"/>
  <c r="G189" i="3" s="1"/>
  <c r="G190" i="3" s="1"/>
  <c r="G191" i="3" s="1"/>
  <c r="G192" i="3" s="1"/>
  <c r="G193" i="3" s="1"/>
  <c r="G194" i="3" s="1"/>
  <c r="G195" i="3" s="1"/>
  <c r="G196" i="3" s="1"/>
  <c r="G197" i="3" s="1"/>
  <c r="G198" i="3" s="1"/>
  <c r="G199" i="3" s="1"/>
  <c r="G200" i="3" s="1"/>
  <c r="G201" i="3" s="1"/>
  <c r="G202" i="3" s="1"/>
  <c r="G203" i="3" s="1"/>
  <c r="G204" i="3" s="1"/>
  <c r="G205" i="3" s="1"/>
  <c r="G206" i="3" s="1"/>
  <c r="G207" i="3" s="1"/>
  <c r="G208" i="3" s="1"/>
  <c r="G209" i="3" s="1"/>
  <c r="G210" i="3" s="1"/>
  <c r="G211" i="3" s="1"/>
  <c r="G212" i="3" s="1"/>
  <c r="G213" i="3" s="1"/>
  <c r="G214" i="3" s="1"/>
  <c r="G215" i="3" s="1"/>
  <c r="G216" i="3" s="1"/>
  <c r="G217" i="3" s="1"/>
  <c r="G218" i="3" s="1"/>
  <c r="G219" i="3" s="1"/>
  <c r="F153" i="3"/>
  <c r="D153" i="3"/>
  <c r="I153" i="3" s="1"/>
  <c r="A153" i="3"/>
  <c r="H153" i="3" s="1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C84" i="3"/>
  <c r="B84" i="3"/>
  <c r="A84" i="3"/>
  <c r="G83" i="3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G121" i="3" s="1"/>
  <c r="G122" i="3" s="1"/>
  <c r="G123" i="3" s="1"/>
  <c r="G124" i="3" s="1"/>
  <c r="G125" i="3" s="1"/>
  <c r="G126" i="3" s="1"/>
  <c r="G127" i="3" s="1"/>
  <c r="G128" i="3" s="1"/>
  <c r="G129" i="3" s="1"/>
  <c r="G130" i="3" s="1"/>
  <c r="G131" i="3" s="1"/>
  <c r="G132" i="3" s="1"/>
  <c r="G133" i="3" s="1"/>
  <c r="G134" i="3" s="1"/>
  <c r="G135" i="3" s="1"/>
  <c r="G136" i="3" s="1"/>
  <c r="G137" i="3" s="1"/>
  <c r="G138" i="3" s="1"/>
  <c r="G139" i="3" s="1"/>
  <c r="G140" i="3" s="1"/>
  <c r="G141" i="3" s="1"/>
  <c r="G142" i="3" s="1"/>
  <c r="G143" i="3" s="1"/>
  <c r="G144" i="3" s="1"/>
  <c r="G145" i="3" s="1"/>
  <c r="G146" i="3" s="1"/>
  <c r="G147" i="3" s="1"/>
  <c r="G148" i="3" s="1"/>
  <c r="G149" i="3" s="1"/>
  <c r="G150" i="3" s="1"/>
  <c r="F83" i="3"/>
  <c r="D83" i="3"/>
  <c r="I83" i="3" s="1"/>
  <c r="A83" i="3"/>
  <c r="H83" i="3" s="1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C13" i="3"/>
  <c r="B13" i="3"/>
  <c r="A13" i="3"/>
  <c r="G12" i="3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F12" i="3"/>
  <c r="D12" i="3"/>
  <c r="I12" i="3" s="1"/>
  <c r="A12" i="3"/>
  <c r="H12" i="3" s="1"/>
  <c r="C7" i="3"/>
  <c r="B7" i="3"/>
  <c r="C3" i="3"/>
  <c r="B3" i="3"/>
  <c r="A3" i="3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C788" i="2"/>
  <c r="B788" i="2"/>
  <c r="A788" i="2"/>
  <c r="G787" i="2"/>
  <c r="G788" i="2" s="1"/>
  <c r="G789" i="2" s="1"/>
  <c r="G790" i="2" s="1"/>
  <c r="G791" i="2" s="1"/>
  <c r="G792" i="2" s="1"/>
  <c r="G793" i="2" s="1"/>
  <c r="G794" i="2" s="1"/>
  <c r="G795" i="2" s="1"/>
  <c r="G796" i="2" s="1"/>
  <c r="G797" i="2" s="1"/>
  <c r="G798" i="2" s="1"/>
  <c r="G799" i="2" s="1"/>
  <c r="G800" i="2" s="1"/>
  <c r="G801" i="2" s="1"/>
  <c r="G802" i="2" s="1"/>
  <c r="G803" i="2" s="1"/>
  <c r="G804" i="2" s="1"/>
  <c r="G805" i="2" s="1"/>
  <c r="G806" i="2" s="1"/>
  <c r="G807" i="2" s="1"/>
  <c r="G808" i="2" s="1"/>
  <c r="G809" i="2" s="1"/>
  <c r="G810" i="2" s="1"/>
  <c r="G811" i="2" s="1"/>
  <c r="G812" i="2" s="1"/>
  <c r="G813" i="2" s="1"/>
  <c r="G814" i="2" s="1"/>
  <c r="G815" i="2" s="1"/>
  <c r="G816" i="2" s="1"/>
  <c r="G817" i="2" s="1"/>
  <c r="G818" i="2" s="1"/>
  <c r="G819" i="2" s="1"/>
  <c r="G820" i="2" s="1"/>
  <c r="G821" i="2" s="1"/>
  <c r="G822" i="2" s="1"/>
  <c r="G823" i="2" s="1"/>
  <c r="G824" i="2" s="1"/>
  <c r="G825" i="2" s="1"/>
  <c r="G826" i="2" s="1"/>
  <c r="G827" i="2" s="1"/>
  <c r="G828" i="2" s="1"/>
  <c r="G829" i="2" s="1"/>
  <c r="G830" i="2" s="1"/>
  <c r="G831" i="2" s="1"/>
  <c r="G832" i="2" s="1"/>
  <c r="G833" i="2" s="1"/>
  <c r="G834" i="2" s="1"/>
  <c r="G835" i="2" s="1"/>
  <c r="G836" i="2" s="1"/>
  <c r="G837" i="2" s="1"/>
  <c r="G838" i="2" s="1"/>
  <c r="G839" i="2" s="1"/>
  <c r="G840" i="2" s="1"/>
  <c r="G841" i="2" s="1"/>
  <c r="G842" i="2" s="1"/>
  <c r="G843" i="2" s="1"/>
  <c r="G844" i="2" s="1"/>
  <c r="G845" i="2" s="1"/>
  <c r="G846" i="2" s="1"/>
  <c r="G847" i="2" s="1"/>
  <c r="G848" i="2" s="1"/>
  <c r="G849" i="2" s="1"/>
  <c r="G850" i="2" s="1"/>
  <c r="G851" i="2" s="1"/>
  <c r="G852" i="2" s="1"/>
  <c r="G853" i="2" s="1"/>
  <c r="G854" i="2" s="1"/>
  <c r="G855" i="2" s="1"/>
  <c r="G856" i="2" s="1"/>
  <c r="F787" i="2"/>
  <c r="D787" i="2"/>
  <c r="I787" i="2" s="1"/>
  <c r="A787" i="2"/>
  <c r="H787" i="2" s="1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C715" i="2"/>
  <c r="B715" i="2"/>
  <c r="A715" i="2"/>
  <c r="G714" i="2"/>
  <c r="G715" i="2" s="1"/>
  <c r="G716" i="2" s="1"/>
  <c r="G717" i="2" s="1"/>
  <c r="G718" i="2" s="1"/>
  <c r="G719" i="2" s="1"/>
  <c r="G720" i="2" s="1"/>
  <c r="G721" i="2" s="1"/>
  <c r="G722" i="2" s="1"/>
  <c r="G723" i="2" s="1"/>
  <c r="G724" i="2" s="1"/>
  <c r="G725" i="2" s="1"/>
  <c r="G726" i="2" s="1"/>
  <c r="G727" i="2" s="1"/>
  <c r="G728" i="2" s="1"/>
  <c r="G729" i="2" s="1"/>
  <c r="G730" i="2" s="1"/>
  <c r="G731" i="2" s="1"/>
  <c r="G732" i="2" s="1"/>
  <c r="G733" i="2" s="1"/>
  <c r="G734" i="2" s="1"/>
  <c r="G735" i="2" s="1"/>
  <c r="G736" i="2" s="1"/>
  <c r="G737" i="2" s="1"/>
  <c r="G738" i="2" s="1"/>
  <c r="G739" i="2" s="1"/>
  <c r="G740" i="2" s="1"/>
  <c r="G741" i="2" s="1"/>
  <c r="G742" i="2" s="1"/>
  <c r="G743" i="2" s="1"/>
  <c r="G744" i="2" s="1"/>
  <c r="G745" i="2" s="1"/>
  <c r="G746" i="2" s="1"/>
  <c r="G747" i="2" s="1"/>
  <c r="G748" i="2" s="1"/>
  <c r="G749" i="2" s="1"/>
  <c r="G750" i="2" s="1"/>
  <c r="G751" i="2" s="1"/>
  <c r="G752" i="2" s="1"/>
  <c r="G753" i="2" s="1"/>
  <c r="G754" i="2" s="1"/>
  <c r="G755" i="2" s="1"/>
  <c r="G756" i="2" s="1"/>
  <c r="G757" i="2" s="1"/>
  <c r="G758" i="2" s="1"/>
  <c r="G759" i="2" s="1"/>
  <c r="G760" i="2" s="1"/>
  <c r="G761" i="2" s="1"/>
  <c r="G762" i="2" s="1"/>
  <c r="G763" i="2" s="1"/>
  <c r="G764" i="2" s="1"/>
  <c r="G765" i="2" s="1"/>
  <c r="G766" i="2" s="1"/>
  <c r="G767" i="2" s="1"/>
  <c r="G768" i="2" s="1"/>
  <c r="G769" i="2" s="1"/>
  <c r="G770" i="2" s="1"/>
  <c r="G771" i="2" s="1"/>
  <c r="G772" i="2" s="1"/>
  <c r="G773" i="2" s="1"/>
  <c r="G774" i="2" s="1"/>
  <c r="G775" i="2" s="1"/>
  <c r="G776" i="2" s="1"/>
  <c r="G777" i="2" s="1"/>
  <c r="G778" i="2" s="1"/>
  <c r="G779" i="2" s="1"/>
  <c r="G780" i="2" s="1"/>
  <c r="G781" i="2" s="1"/>
  <c r="G782" i="2" s="1"/>
  <c r="G783" i="2" s="1"/>
  <c r="G784" i="2" s="1"/>
  <c r="F714" i="2"/>
  <c r="D714" i="2"/>
  <c r="A714" i="2"/>
  <c r="H714" i="2" s="1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C641" i="2"/>
  <c r="B641" i="2"/>
  <c r="A641" i="2"/>
  <c r="G640" i="2"/>
  <c r="G641" i="2" s="1"/>
  <c r="G642" i="2" s="1"/>
  <c r="G643" i="2" s="1"/>
  <c r="G644" i="2" s="1"/>
  <c r="G645" i="2" s="1"/>
  <c r="G646" i="2" s="1"/>
  <c r="G647" i="2" s="1"/>
  <c r="G648" i="2" s="1"/>
  <c r="G649" i="2" s="1"/>
  <c r="G650" i="2" s="1"/>
  <c r="G651" i="2" s="1"/>
  <c r="G652" i="2" s="1"/>
  <c r="G653" i="2" s="1"/>
  <c r="G654" i="2" s="1"/>
  <c r="G655" i="2" s="1"/>
  <c r="G656" i="2" s="1"/>
  <c r="G657" i="2" s="1"/>
  <c r="G658" i="2" s="1"/>
  <c r="G659" i="2" s="1"/>
  <c r="G660" i="2" s="1"/>
  <c r="G661" i="2" s="1"/>
  <c r="G662" i="2" s="1"/>
  <c r="G663" i="2" s="1"/>
  <c r="G664" i="2" s="1"/>
  <c r="G665" i="2" s="1"/>
  <c r="G666" i="2" s="1"/>
  <c r="G667" i="2" s="1"/>
  <c r="G668" i="2" s="1"/>
  <c r="G669" i="2" s="1"/>
  <c r="G670" i="2" s="1"/>
  <c r="G671" i="2" s="1"/>
  <c r="G672" i="2" s="1"/>
  <c r="G673" i="2" s="1"/>
  <c r="G674" i="2" s="1"/>
  <c r="G675" i="2" s="1"/>
  <c r="G676" i="2" s="1"/>
  <c r="G677" i="2" s="1"/>
  <c r="G678" i="2" s="1"/>
  <c r="G679" i="2" s="1"/>
  <c r="G680" i="2" s="1"/>
  <c r="G681" i="2" s="1"/>
  <c r="G682" i="2" s="1"/>
  <c r="G683" i="2" s="1"/>
  <c r="G684" i="2" s="1"/>
  <c r="G685" i="2" s="1"/>
  <c r="G686" i="2" s="1"/>
  <c r="G687" i="2" s="1"/>
  <c r="G688" i="2" s="1"/>
  <c r="G689" i="2" s="1"/>
  <c r="G690" i="2" s="1"/>
  <c r="G691" i="2" s="1"/>
  <c r="G692" i="2" s="1"/>
  <c r="G693" i="2" s="1"/>
  <c r="G694" i="2" s="1"/>
  <c r="G695" i="2" s="1"/>
  <c r="G696" i="2" s="1"/>
  <c r="G697" i="2" s="1"/>
  <c r="G698" i="2" s="1"/>
  <c r="G699" i="2" s="1"/>
  <c r="G700" i="2" s="1"/>
  <c r="G701" i="2" s="1"/>
  <c r="G702" i="2" s="1"/>
  <c r="G703" i="2" s="1"/>
  <c r="G704" i="2" s="1"/>
  <c r="G705" i="2" s="1"/>
  <c r="G706" i="2" s="1"/>
  <c r="G707" i="2" s="1"/>
  <c r="G708" i="2" s="1"/>
  <c r="G709" i="2" s="1"/>
  <c r="G710" i="2" s="1"/>
  <c r="G711" i="2" s="1"/>
  <c r="F640" i="2"/>
  <c r="D640" i="2"/>
  <c r="A640" i="2"/>
  <c r="H640" i="2" s="1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C566" i="2"/>
  <c r="B566" i="2"/>
  <c r="A566" i="2"/>
  <c r="G565" i="2"/>
  <c r="G566" i="2" s="1"/>
  <c r="G567" i="2" s="1"/>
  <c r="G568" i="2" s="1"/>
  <c r="G569" i="2" s="1"/>
  <c r="G570" i="2" s="1"/>
  <c r="G571" i="2" s="1"/>
  <c r="G572" i="2" s="1"/>
  <c r="G573" i="2" s="1"/>
  <c r="G574" i="2" s="1"/>
  <c r="G575" i="2" s="1"/>
  <c r="G576" i="2" s="1"/>
  <c r="G577" i="2" s="1"/>
  <c r="G578" i="2" s="1"/>
  <c r="G579" i="2" s="1"/>
  <c r="G580" i="2" s="1"/>
  <c r="G581" i="2" s="1"/>
  <c r="G582" i="2" s="1"/>
  <c r="G583" i="2" s="1"/>
  <c r="G584" i="2" s="1"/>
  <c r="G585" i="2" s="1"/>
  <c r="G586" i="2" s="1"/>
  <c r="G587" i="2" s="1"/>
  <c r="G588" i="2" s="1"/>
  <c r="G589" i="2" s="1"/>
  <c r="G590" i="2" s="1"/>
  <c r="G591" i="2" s="1"/>
  <c r="G592" i="2" s="1"/>
  <c r="G593" i="2" s="1"/>
  <c r="G594" i="2" s="1"/>
  <c r="G595" i="2" s="1"/>
  <c r="G596" i="2" s="1"/>
  <c r="G597" i="2" s="1"/>
  <c r="G598" i="2" s="1"/>
  <c r="G599" i="2" s="1"/>
  <c r="G600" i="2" s="1"/>
  <c r="G601" i="2" s="1"/>
  <c r="G602" i="2" s="1"/>
  <c r="G603" i="2" s="1"/>
  <c r="G604" i="2" s="1"/>
  <c r="G605" i="2" s="1"/>
  <c r="G606" i="2" s="1"/>
  <c r="G607" i="2" s="1"/>
  <c r="G608" i="2" s="1"/>
  <c r="G609" i="2" s="1"/>
  <c r="G610" i="2" s="1"/>
  <c r="G611" i="2" s="1"/>
  <c r="G612" i="2" s="1"/>
  <c r="G613" i="2" s="1"/>
  <c r="G614" i="2" s="1"/>
  <c r="G615" i="2" s="1"/>
  <c r="G616" i="2" s="1"/>
  <c r="G617" i="2" s="1"/>
  <c r="G618" i="2" s="1"/>
  <c r="G619" i="2" s="1"/>
  <c r="G620" i="2" s="1"/>
  <c r="G621" i="2" s="1"/>
  <c r="G622" i="2" s="1"/>
  <c r="G623" i="2" s="1"/>
  <c r="G624" i="2" s="1"/>
  <c r="G625" i="2" s="1"/>
  <c r="G626" i="2" s="1"/>
  <c r="G627" i="2" s="1"/>
  <c r="G628" i="2" s="1"/>
  <c r="G629" i="2" s="1"/>
  <c r="G630" i="2" s="1"/>
  <c r="G631" i="2" s="1"/>
  <c r="G632" i="2" s="1"/>
  <c r="G633" i="2" s="1"/>
  <c r="G634" i="2" s="1"/>
  <c r="G635" i="2" s="1"/>
  <c r="G636" i="2" s="1"/>
  <c r="G637" i="2" s="1"/>
  <c r="F565" i="2"/>
  <c r="D565" i="2"/>
  <c r="A565" i="2"/>
  <c r="H565" i="2" s="1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C490" i="2"/>
  <c r="B490" i="2"/>
  <c r="A490" i="2"/>
  <c r="G489" i="2"/>
  <c r="G490" i="2" s="1"/>
  <c r="G491" i="2" s="1"/>
  <c r="G492" i="2" s="1"/>
  <c r="G493" i="2" s="1"/>
  <c r="G494" i="2" s="1"/>
  <c r="G495" i="2" s="1"/>
  <c r="G496" i="2" s="1"/>
  <c r="G497" i="2" s="1"/>
  <c r="G498" i="2" s="1"/>
  <c r="G499" i="2" s="1"/>
  <c r="G500" i="2" s="1"/>
  <c r="G501" i="2" s="1"/>
  <c r="G502" i="2" s="1"/>
  <c r="G503" i="2" s="1"/>
  <c r="G504" i="2" s="1"/>
  <c r="G505" i="2" s="1"/>
  <c r="G506" i="2" s="1"/>
  <c r="G507" i="2" s="1"/>
  <c r="G508" i="2" s="1"/>
  <c r="G509" i="2" s="1"/>
  <c r="G510" i="2" s="1"/>
  <c r="G511" i="2" s="1"/>
  <c r="G512" i="2" s="1"/>
  <c r="G513" i="2" s="1"/>
  <c r="G514" i="2" s="1"/>
  <c r="G515" i="2" s="1"/>
  <c r="G516" i="2" s="1"/>
  <c r="G517" i="2" s="1"/>
  <c r="G518" i="2" s="1"/>
  <c r="G519" i="2" s="1"/>
  <c r="G520" i="2" s="1"/>
  <c r="G521" i="2" s="1"/>
  <c r="G522" i="2" s="1"/>
  <c r="G523" i="2" s="1"/>
  <c r="G524" i="2" s="1"/>
  <c r="G525" i="2" s="1"/>
  <c r="G526" i="2" s="1"/>
  <c r="G527" i="2" s="1"/>
  <c r="G528" i="2" s="1"/>
  <c r="G529" i="2" s="1"/>
  <c r="G530" i="2" s="1"/>
  <c r="G531" i="2" s="1"/>
  <c r="G532" i="2" s="1"/>
  <c r="G533" i="2" s="1"/>
  <c r="G534" i="2" s="1"/>
  <c r="G535" i="2" s="1"/>
  <c r="G536" i="2" s="1"/>
  <c r="G537" i="2" s="1"/>
  <c r="G538" i="2" s="1"/>
  <c r="G539" i="2" s="1"/>
  <c r="G540" i="2" s="1"/>
  <c r="G541" i="2" s="1"/>
  <c r="G542" i="2" s="1"/>
  <c r="G543" i="2" s="1"/>
  <c r="G544" i="2" s="1"/>
  <c r="G545" i="2" s="1"/>
  <c r="G546" i="2" s="1"/>
  <c r="G547" i="2" s="1"/>
  <c r="G548" i="2" s="1"/>
  <c r="G549" i="2" s="1"/>
  <c r="G550" i="2" s="1"/>
  <c r="G551" i="2" s="1"/>
  <c r="G552" i="2" s="1"/>
  <c r="G553" i="2" s="1"/>
  <c r="G554" i="2" s="1"/>
  <c r="G555" i="2" s="1"/>
  <c r="G556" i="2" s="1"/>
  <c r="G557" i="2" s="1"/>
  <c r="G558" i="2" s="1"/>
  <c r="G559" i="2" s="1"/>
  <c r="G560" i="2" s="1"/>
  <c r="G561" i="2" s="1"/>
  <c r="G562" i="2" s="1"/>
  <c r="F489" i="2"/>
  <c r="D489" i="2"/>
  <c r="I489" i="2" s="1"/>
  <c r="A489" i="2"/>
  <c r="H489" i="2" s="1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C413" i="2"/>
  <c r="B413" i="2"/>
  <c r="A413" i="2"/>
  <c r="G412" i="2"/>
  <c r="G413" i="2" s="1"/>
  <c r="G414" i="2" s="1"/>
  <c r="G415" i="2" s="1"/>
  <c r="G416" i="2" s="1"/>
  <c r="G417" i="2" s="1"/>
  <c r="G418" i="2" s="1"/>
  <c r="G419" i="2" s="1"/>
  <c r="G420" i="2" s="1"/>
  <c r="G421" i="2" s="1"/>
  <c r="G422" i="2" s="1"/>
  <c r="G423" i="2" s="1"/>
  <c r="G424" i="2" s="1"/>
  <c r="G425" i="2" s="1"/>
  <c r="G426" i="2" s="1"/>
  <c r="G427" i="2" s="1"/>
  <c r="G428" i="2" s="1"/>
  <c r="G429" i="2" s="1"/>
  <c r="G430" i="2" s="1"/>
  <c r="G431" i="2" s="1"/>
  <c r="G432" i="2" s="1"/>
  <c r="G433" i="2" s="1"/>
  <c r="G434" i="2" s="1"/>
  <c r="G435" i="2" s="1"/>
  <c r="G436" i="2" s="1"/>
  <c r="G437" i="2" s="1"/>
  <c r="G438" i="2" s="1"/>
  <c r="G439" i="2" s="1"/>
  <c r="G440" i="2" s="1"/>
  <c r="G441" i="2" s="1"/>
  <c r="G442" i="2" s="1"/>
  <c r="G443" i="2" s="1"/>
  <c r="G444" i="2" s="1"/>
  <c r="G445" i="2" s="1"/>
  <c r="G446" i="2" s="1"/>
  <c r="G447" i="2" s="1"/>
  <c r="G448" i="2" s="1"/>
  <c r="G449" i="2" s="1"/>
  <c r="G450" i="2" s="1"/>
  <c r="G451" i="2" s="1"/>
  <c r="G452" i="2" s="1"/>
  <c r="G453" i="2" s="1"/>
  <c r="G454" i="2" s="1"/>
  <c r="G455" i="2" s="1"/>
  <c r="G456" i="2" s="1"/>
  <c r="G457" i="2" s="1"/>
  <c r="G458" i="2" s="1"/>
  <c r="G459" i="2" s="1"/>
  <c r="G460" i="2" s="1"/>
  <c r="G461" i="2" s="1"/>
  <c r="G462" i="2" s="1"/>
  <c r="G463" i="2" s="1"/>
  <c r="G464" i="2" s="1"/>
  <c r="G465" i="2" s="1"/>
  <c r="G466" i="2" s="1"/>
  <c r="G467" i="2" s="1"/>
  <c r="G468" i="2" s="1"/>
  <c r="G469" i="2" s="1"/>
  <c r="G470" i="2" s="1"/>
  <c r="G471" i="2" s="1"/>
  <c r="G472" i="2" s="1"/>
  <c r="G473" i="2" s="1"/>
  <c r="G474" i="2" s="1"/>
  <c r="G475" i="2" s="1"/>
  <c r="G476" i="2" s="1"/>
  <c r="G477" i="2" s="1"/>
  <c r="G478" i="2" s="1"/>
  <c r="G479" i="2" s="1"/>
  <c r="G480" i="2" s="1"/>
  <c r="G481" i="2" s="1"/>
  <c r="G482" i="2" s="1"/>
  <c r="G483" i="2" s="1"/>
  <c r="G484" i="2" s="1"/>
  <c r="G485" i="2" s="1"/>
  <c r="G486" i="2" s="1"/>
  <c r="F412" i="2"/>
  <c r="D412" i="2"/>
  <c r="I412" i="2" s="1"/>
  <c r="A412" i="2"/>
  <c r="H412" i="2" s="1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C335" i="2"/>
  <c r="B335" i="2"/>
  <c r="A335" i="2"/>
  <c r="G334" i="2"/>
  <c r="G335" i="2" s="1"/>
  <c r="G336" i="2" s="1"/>
  <c r="G337" i="2" s="1"/>
  <c r="G338" i="2" s="1"/>
  <c r="G339" i="2" s="1"/>
  <c r="G340" i="2" s="1"/>
  <c r="G341" i="2" s="1"/>
  <c r="G342" i="2" s="1"/>
  <c r="G343" i="2" s="1"/>
  <c r="G344" i="2" s="1"/>
  <c r="G345" i="2" s="1"/>
  <c r="G346" i="2" s="1"/>
  <c r="G347" i="2" s="1"/>
  <c r="G348" i="2" s="1"/>
  <c r="G349" i="2" s="1"/>
  <c r="G350" i="2" s="1"/>
  <c r="G351" i="2" s="1"/>
  <c r="G352" i="2" s="1"/>
  <c r="G353" i="2" s="1"/>
  <c r="G354" i="2" s="1"/>
  <c r="G355" i="2" s="1"/>
  <c r="G356" i="2" s="1"/>
  <c r="G357" i="2" s="1"/>
  <c r="G358" i="2" s="1"/>
  <c r="G359" i="2" s="1"/>
  <c r="G360" i="2" s="1"/>
  <c r="G361" i="2" s="1"/>
  <c r="G362" i="2" s="1"/>
  <c r="G363" i="2" s="1"/>
  <c r="G364" i="2" s="1"/>
  <c r="G365" i="2" s="1"/>
  <c r="G366" i="2" s="1"/>
  <c r="G367" i="2" s="1"/>
  <c r="G368" i="2" s="1"/>
  <c r="G369" i="2" s="1"/>
  <c r="G370" i="2" s="1"/>
  <c r="G371" i="2" s="1"/>
  <c r="G372" i="2" s="1"/>
  <c r="G373" i="2" s="1"/>
  <c r="G374" i="2" s="1"/>
  <c r="G375" i="2" s="1"/>
  <c r="G376" i="2" s="1"/>
  <c r="G377" i="2" s="1"/>
  <c r="G378" i="2" s="1"/>
  <c r="G379" i="2" s="1"/>
  <c r="G380" i="2" s="1"/>
  <c r="G381" i="2" s="1"/>
  <c r="G382" i="2" s="1"/>
  <c r="G383" i="2" s="1"/>
  <c r="G384" i="2" s="1"/>
  <c r="G385" i="2" s="1"/>
  <c r="G386" i="2" s="1"/>
  <c r="G387" i="2" s="1"/>
  <c r="G388" i="2" s="1"/>
  <c r="G389" i="2" s="1"/>
  <c r="G390" i="2" s="1"/>
  <c r="G391" i="2" s="1"/>
  <c r="G392" i="2" s="1"/>
  <c r="G393" i="2" s="1"/>
  <c r="G394" i="2" s="1"/>
  <c r="G395" i="2" s="1"/>
  <c r="G396" i="2" s="1"/>
  <c r="G397" i="2" s="1"/>
  <c r="G398" i="2" s="1"/>
  <c r="G399" i="2" s="1"/>
  <c r="G400" i="2" s="1"/>
  <c r="G401" i="2" s="1"/>
  <c r="G402" i="2" s="1"/>
  <c r="G403" i="2" s="1"/>
  <c r="G404" i="2" s="1"/>
  <c r="G405" i="2" s="1"/>
  <c r="G406" i="2" s="1"/>
  <c r="G407" i="2" s="1"/>
  <c r="G408" i="2" s="1"/>
  <c r="G409" i="2" s="1"/>
  <c r="F334" i="2"/>
  <c r="D334" i="2"/>
  <c r="I334" i="2" s="1"/>
  <c r="A334" i="2"/>
  <c r="H334" i="2" s="1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C256" i="2"/>
  <c r="B256" i="2"/>
  <c r="A256" i="2"/>
  <c r="G255" i="2"/>
  <c r="G256" i="2" s="1"/>
  <c r="G257" i="2" s="1"/>
  <c r="G258" i="2" s="1"/>
  <c r="G259" i="2" s="1"/>
  <c r="G260" i="2" s="1"/>
  <c r="G261" i="2" s="1"/>
  <c r="G262" i="2" s="1"/>
  <c r="G263" i="2" s="1"/>
  <c r="G264" i="2" s="1"/>
  <c r="G265" i="2" s="1"/>
  <c r="G266" i="2" s="1"/>
  <c r="G267" i="2" s="1"/>
  <c r="G268" i="2" s="1"/>
  <c r="G269" i="2" s="1"/>
  <c r="G270" i="2" s="1"/>
  <c r="G271" i="2" s="1"/>
  <c r="G272" i="2" s="1"/>
  <c r="G273" i="2" s="1"/>
  <c r="G274" i="2" s="1"/>
  <c r="G275" i="2" s="1"/>
  <c r="G276" i="2" s="1"/>
  <c r="G277" i="2" s="1"/>
  <c r="G278" i="2" s="1"/>
  <c r="G279" i="2" s="1"/>
  <c r="G280" i="2" s="1"/>
  <c r="G281" i="2" s="1"/>
  <c r="G282" i="2" s="1"/>
  <c r="G283" i="2" s="1"/>
  <c r="G284" i="2" s="1"/>
  <c r="G285" i="2" s="1"/>
  <c r="G286" i="2" s="1"/>
  <c r="G287" i="2" s="1"/>
  <c r="G288" i="2" s="1"/>
  <c r="G289" i="2" s="1"/>
  <c r="G290" i="2" s="1"/>
  <c r="G291" i="2" s="1"/>
  <c r="G292" i="2" s="1"/>
  <c r="G293" i="2" s="1"/>
  <c r="G294" i="2" s="1"/>
  <c r="G295" i="2" s="1"/>
  <c r="G296" i="2" s="1"/>
  <c r="G297" i="2" s="1"/>
  <c r="G298" i="2" s="1"/>
  <c r="G299" i="2" s="1"/>
  <c r="G300" i="2" s="1"/>
  <c r="G301" i="2" s="1"/>
  <c r="G302" i="2" s="1"/>
  <c r="G303" i="2" s="1"/>
  <c r="G304" i="2" s="1"/>
  <c r="G305" i="2" s="1"/>
  <c r="G306" i="2" s="1"/>
  <c r="G307" i="2" s="1"/>
  <c r="G308" i="2" s="1"/>
  <c r="G309" i="2" s="1"/>
  <c r="G310" i="2" s="1"/>
  <c r="G311" i="2" s="1"/>
  <c r="G312" i="2" s="1"/>
  <c r="G313" i="2" s="1"/>
  <c r="G314" i="2" s="1"/>
  <c r="G315" i="2" s="1"/>
  <c r="G316" i="2" s="1"/>
  <c r="G317" i="2" s="1"/>
  <c r="G318" i="2" s="1"/>
  <c r="G319" i="2" s="1"/>
  <c r="G320" i="2" s="1"/>
  <c r="G321" i="2" s="1"/>
  <c r="G322" i="2" s="1"/>
  <c r="G323" i="2" s="1"/>
  <c r="G324" i="2" s="1"/>
  <c r="G325" i="2" s="1"/>
  <c r="G326" i="2" s="1"/>
  <c r="G327" i="2" s="1"/>
  <c r="G328" i="2" s="1"/>
  <c r="G329" i="2" s="1"/>
  <c r="G330" i="2" s="1"/>
  <c r="G331" i="2" s="1"/>
  <c r="F255" i="2"/>
  <c r="D255" i="2"/>
  <c r="I255" i="2" s="1"/>
  <c r="A255" i="2"/>
  <c r="H255" i="2" s="1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C176" i="2"/>
  <c r="B176" i="2"/>
  <c r="A176" i="2"/>
  <c r="G175" i="2"/>
  <c r="G176" i="2" s="1"/>
  <c r="G177" i="2" s="1"/>
  <c r="G178" i="2" s="1"/>
  <c r="G179" i="2" s="1"/>
  <c r="G180" i="2" s="1"/>
  <c r="G181" i="2" s="1"/>
  <c r="G182" i="2" s="1"/>
  <c r="G183" i="2" s="1"/>
  <c r="G184" i="2" s="1"/>
  <c r="G185" i="2" s="1"/>
  <c r="G186" i="2" s="1"/>
  <c r="G187" i="2" s="1"/>
  <c r="G188" i="2" s="1"/>
  <c r="G189" i="2" s="1"/>
  <c r="G190" i="2" s="1"/>
  <c r="G191" i="2" s="1"/>
  <c r="G192" i="2" s="1"/>
  <c r="G193" i="2" s="1"/>
  <c r="G194" i="2" s="1"/>
  <c r="G195" i="2" s="1"/>
  <c r="G196" i="2" s="1"/>
  <c r="G197" i="2" s="1"/>
  <c r="G198" i="2" s="1"/>
  <c r="G199" i="2" s="1"/>
  <c r="G200" i="2" s="1"/>
  <c r="G201" i="2" s="1"/>
  <c r="G202" i="2" s="1"/>
  <c r="G203" i="2" s="1"/>
  <c r="G204" i="2" s="1"/>
  <c r="G205" i="2" s="1"/>
  <c r="G206" i="2" s="1"/>
  <c r="G207" i="2" s="1"/>
  <c r="G208" i="2" s="1"/>
  <c r="G209" i="2" s="1"/>
  <c r="G210" i="2" s="1"/>
  <c r="G211" i="2" s="1"/>
  <c r="G212" i="2" s="1"/>
  <c r="G213" i="2" s="1"/>
  <c r="G214" i="2" s="1"/>
  <c r="G215" i="2" s="1"/>
  <c r="G216" i="2" s="1"/>
  <c r="G217" i="2" s="1"/>
  <c r="G218" i="2" s="1"/>
  <c r="G219" i="2" s="1"/>
  <c r="G220" i="2" s="1"/>
  <c r="G221" i="2" s="1"/>
  <c r="G222" i="2" s="1"/>
  <c r="G223" i="2" s="1"/>
  <c r="G224" i="2" s="1"/>
  <c r="G225" i="2" s="1"/>
  <c r="G226" i="2" s="1"/>
  <c r="G227" i="2" s="1"/>
  <c r="G228" i="2" s="1"/>
  <c r="G229" i="2" s="1"/>
  <c r="G230" i="2" s="1"/>
  <c r="G231" i="2" s="1"/>
  <c r="G232" i="2" s="1"/>
  <c r="G233" i="2" s="1"/>
  <c r="G234" i="2" s="1"/>
  <c r="G235" i="2" s="1"/>
  <c r="G236" i="2" s="1"/>
  <c r="G237" i="2" s="1"/>
  <c r="G238" i="2" s="1"/>
  <c r="G239" i="2" s="1"/>
  <c r="G240" i="2" s="1"/>
  <c r="G241" i="2" s="1"/>
  <c r="G242" i="2" s="1"/>
  <c r="G243" i="2" s="1"/>
  <c r="G244" i="2" s="1"/>
  <c r="G245" i="2" s="1"/>
  <c r="G246" i="2" s="1"/>
  <c r="G247" i="2" s="1"/>
  <c r="G248" i="2" s="1"/>
  <c r="G249" i="2" s="1"/>
  <c r="G250" i="2" s="1"/>
  <c r="G251" i="2" s="1"/>
  <c r="G252" i="2" s="1"/>
  <c r="F175" i="2"/>
  <c r="D175" i="2"/>
  <c r="I175" i="2" s="1"/>
  <c r="A175" i="2"/>
  <c r="H175" i="2" s="1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C95" i="2"/>
  <c r="B95" i="2"/>
  <c r="A95" i="2"/>
  <c r="G94" i="2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G133" i="2" s="1"/>
  <c r="G134" i="2" s="1"/>
  <c r="G135" i="2" s="1"/>
  <c r="G136" i="2" s="1"/>
  <c r="G137" i="2" s="1"/>
  <c r="G138" i="2" s="1"/>
  <c r="G139" i="2" s="1"/>
  <c r="G140" i="2" s="1"/>
  <c r="G141" i="2" s="1"/>
  <c r="G142" i="2" s="1"/>
  <c r="G143" i="2" s="1"/>
  <c r="G144" i="2" s="1"/>
  <c r="G145" i="2" s="1"/>
  <c r="G146" i="2" s="1"/>
  <c r="G147" i="2" s="1"/>
  <c r="G148" i="2" s="1"/>
  <c r="G149" i="2" s="1"/>
  <c r="G150" i="2" s="1"/>
  <c r="G151" i="2" s="1"/>
  <c r="G152" i="2" s="1"/>
  <c r="G153" i="2" s="1"/>
  <c r="G154" i="2" s="1"/>
  <c r="G155" i="2" s="1"/>
  <c r="G156" i="2" s="1"/>
  <c r="G157" i="2" s="1"/>
  <c r="G158" i="2" s="1"/>
  <c r="G159" i="2" s="1"/>
  <c r="G160" i="2" s="1"/>
  <c r="G161" i="2" s="1"/>
  <c r="G162" i="2" s="1"/>
  <c r="G163" i="2" s="1"/>
  <c r="G164" i="2" s="1"/>
  <c r="G165" i="2" s="1"/>
  <c r="G166" i="2" s="1"/>
  <c r="G167" i="2" s="1"/>
  <c r="G168" i="2" s="1"/>
  <c r="G169" i="2" s="1"/>
  <c r="G170" i="2" s="1"/>
  <c r="G171" i="2" s="1"/>
  <c r="G172" i="2" s="1"/>
  <c r="F94" i="2"/>
  <c r="D94" i="2"/>
  <c r="I94" i="2" s="1"/>
  <c r="A94" i="2"/>
  <c r="H94" i="2" s="1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C13" i="2"/>
  <c r="B13" i="2"/>
  <c r="A13" i="2"/>
  <c r="G13" i="2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F12" i="2"/>
  <c r="D12" i="2"/>
  <c r="I12" i="2" s="1"/>
  <c r="A12" i="2"/>
  <c r="H12" i="2" s="1"/>
  <c r="C7" i="2"/>
  <c r="B7" i="2"/>
  <c r="B3" i="2"/>
  <c r="A3" i="2"/>
  <c r="A7" i="1"/>
  <c r="E5" i="1"/>
  <c r="E3" i="1"/>
  <c r="A7" i="2" l="1"/>
  <c r="E5" i="2" s="1"/>
  <c r="E3" i="2"/>
  <c r="I786" i="2"/>
  <c r="I713" i="2"/>
  <c r="I639" i="2"/>
  <c r="I564" i="2"/>
  <c r="I488" i="2"/>
  <c r="I411" i="2"/>
  <c r="I333" i="2"/>
  <c r="I254" i="2"/>
  <c r="I174" i="2"/>
  <c r="I93" i="2"/>
  <c r="I11" i="2"/>
  <c r="B14" i="2"/>
  <c r="C14" i="2"/>
  <c r="F13" i="2"/>
  <c r="D13" i="2"/>
  <c r="B96" i="2"/>
  <c r="C96" i="2"/>
  <c r="F95" i="2"/>
  <c r="D95" i="2"/>
  <c r="B177" i="2"/>
  <c r="C177" i="2"/>
  <c r="F176" i="2"/>
  <c r="D176" i="2"/>
  <c r="B257" i="2"/>
  <c r="C257" i="2"/>
  <c r="F256" i="2"/>
  <c r="D256" i="2"/>
  <c r="B336" i="2"/>
  <c r="C336" i="2"/>
  <c r="F335" i="2"/>
  <c r="D335" i="2"/>
  <c r="B414" i="2"/>
  <c r="C414" i="2"/>
  <c r="F413" i="2"/>
  <c r="D413" i="2"/>
  <c r="B491" i="2"/>
  <c r="C491" i="2"/>
  <c r="F490" i="2"/>
  <c r="D490" i="2"/>
  <c r="D566" i="2"/>
  <c r="D567" i="2" s="1"/>
  <c r="D568" i="2" s="1"/>
  <c r="D569" i="2" s="1"/>
  <c r="D570" i="2" s="1"/>
  <c r="D571" i="2" s="1"/>
  <c r="D572" i="2" s="1"/>
  <c r="D573" i="2" s="1"/>
  <c r="D574" i="2" s="1"/>
  <c r="D575" i="2" s="1"/>
  <c r="D576" i="2" s="1"/>
  <c r="D577" i="2" s="1"/>
  <c r="D578" i="2" s="1"/>
  <c r="D579" i="2" s="1"/>
  <c r="D580" i="2" s="1"/>
  <c r="D581" i="2" s="1"/>
  <c r="D582" i="2" s="1"/>
  <c r="D583" i="2" s="1"/>
  <c r="D584" i="2" s="1"/>
  <c r="D585" i="2" s="1"/>
  <c r="D586" i="2" s="1"/>
  <c r="D587" i="2" s="1"/>
  <c r="D588" i="2" s="1"/>
  <c r="D589" i="2" s="1"/>
  <c r="D590" i="2" s="1"/>
  <c r="D591" i="2" s="1"/>
  <c r="D592" i="2" s="1"/>
  <c r="D593" i="2" s="1"/>
  <c r="D594" i="2" s="1"/>
  <c r="D595" i="2" s="1"/>
  <c r="D596" i="2" s="1"/>
  <c r="D597" i="2" s="1"/>
  <c r="D598" i="2" s="1"/>
  <c r="D599" i="2" s="1"/>
  <c r="D600" i="2" s="1"/>
  <c r="D601" i="2" s="1"/>
  <c r="D602" i="2" s="1"/>
  <c r="D603" i="2" s="1"/>
  <c r="D604" i="2" s="1"/>
  <c r="D605" i="2" s="1"/>
  <c r="D606" i="2" s="1"/>
  <c r="D607" i="2" s="1"/>
  <c r="D608" i="2" s="1"/>
  <c r="D609" i="2" s="1"/>
  <c r="D610" i="2" s="1"/>
  <c r="D611" i="2" s="1"/>
  <c r="D612" i="2" s="1"/>
  <c r="D613" i="2" s="1"/>
  <c r="D614" i="2" s="1"/>
  <c r="D615" i="2" s="1"/>
  <c r="D616" i="2" s="1"/>
  <c r="D617" i="2" s="1"/>
  <c r="D618" i="2" s="1"/>
  <c r="D619" i="2" s="1"/>
  <c r="D620" i="2" s="1"/>
  <c r="D621" i="2" s="1"/>
  <c r="D622" i="2" s="1"/>
  <c r="D623" i="2" s="1"/>
  <c r="D624" i="2" s="1"/>
  <c r="D625" i="2" s="1"/>
  <c r="D626" i="2" s="1"/>
  <c r="D627" i="2" s="1"/>
  <c r="D628" i="2" s="1"/>
  <c r="D629" i="2" s="1"/>
  <c r="D630" i="2" s="1"/>
  <c r="D631" i="2" s="1"/>
  <c r="D632" i="2" s="1"/>
  <c r="D633" i="2" s="1"/>
  <c r="D634" i="2" s="1"/>
  <c r="D635" i="2" s="1"/>
  <c r="D636" i="2" s="1"/>
  <c r="D637" i="2" s="1"/>
  <c r="I565" i="2"/>
  <c r="B567" i="2"/>
  <c r="C567" i="2"/>
  <c r="F566" i="2"/>
  <c r="D641" i="2"/>
  <c r="D642" i="2" s="1"/>
  <c r="D643" i="2" s="1"/>
  <c r="D644" i="2" s="1"/>
  <c r="D645" i="2" s="1"/>
  <c r="D646" i="2" s="1"/>
  <c r="D647" i="2" s="1"/>
  <c r="D648" i="2" s="1"/>
  <c r="D649" i="2" s="1"/>
  <c r="D650" i="2" s="1"/>
  <c r="D651" i="2" s="1"/>
  <c r="D652" i="2" s="1"/>
  <c r="D653" i="2" s="1"/>
  <c r="D654" i="2" s="1"/>
  <c r="D655" i="2" s="1"/>
  <c r="D656" i="2" s="1"/>
  <c r="D657" i="2" s="1"/>
  <c r="D658" i="2" s="1"/>
  <c r="D659" i="2" s="1"/>
  <c r="D660" i="2" s="1"/>
  <c r="D661" i="2" s="1"/>
  <c r="D662" i="2" s="1"/>
  <c r="D663" i="2" s="1"/>
  <c r="D664" i="2" s="1"/>
  <c r="D665" i="2" s="1"/>
  <c r="D666" i="2" s="1"/>
  <c r="D667" i="2" s="1"/>
  <c r="D668" i="2" s="1"/>
  <c r="D669" i="2" s="1"/>
  <c r="D670" i="2" s="1"/>
  <c r="D671" i="2" s="1"/>
  <c r="D672" i="2" s="1"/>
  <c r="D673" i="2" s="1"/>
  <c r="D674" i="2" s="1"/>
  <c r="D675" i="2" s="1"/>
  <c r="D676" i="2" s="1"/>
  <c r="D677" i="2" s="1"/>
  <c r="D678" i="2" s="1"/>
  <c r="D679" i="2" s="1"/>
  <c r="D680" i="2" s="1"/>
  <c r="D681" i="2" s="1"/>
  <c r="D682" i="2" s="1"/>
  <c r="D683" i="2" s="1"/>
  <c r="D684" i="2" s="1"/>
  <c r="D685" i="2" s="1"/>
  <c r="D686" i="2" s="1"/>
  <c r="D687" i="2" s="1"/>
  <c r="D688" i="2" s="1"/>
  <c r="D689" i="2" s="1"/>
  <c r="D690" i="2" s="1"/>
  <c r="D691" i="2" s="1"/>
  <c r="D692" i="2" s="1"/>
  <c r="D693" i="2" s="1"/>
  <c r="D694" i="2" s="1"/>
  <c r="D695" i="2" s="1"/>
  <c r="D696" i="2" s="1"/>
  <c r="D697" i="2" s="1"/>
  <c r="D698" i="2" s="1"/>
  <c r="D699" i="2" s="1"/>
  <c r="D700" i="2" s="1"/>
  <c r="D701" i="2" s="1"/>
  <c r="D702" i="2" s="1"/>
  <c r="D703" i="2" s="1"/>
  <c r="D704" i="2" s="1"/>
  <c r="D705" i="2" s="1"/>
  <c r="D706" i="2" s="1"/>
  <c r="D707" i="2" s="1"/>
  <c r="D708" i="2" s="1"/>
  <c r="D709" i="2" s="1"/>
  <c r="D710" i="2" s="1"/>
  <c r="D711" i="2" s="1"/>
  <c r="I640" i="2"/>
  <c r="B642" i="2"/>
  <c r="C642" i="2"/>
  <c r="F641" i="2"/>
  <c r="D715" i="2"/>
  <c r="D716" i="2" s="1"/>
  <c r="D717" i="2" s="1"/>
  <c r="D718" i="2" s="1"/>
  <c r="D719" i="2" s="1"/>
  <c r="D720" i="2" s="1"/>
  <c r="D721" i="2" s="1"/>
  <c r="D722" i="2" s="1"/>
  <c r="D723" i="2" s="1"/>
  <c r="D724" i="2" s="1"/>
  <c r="D725" i="2" s="1"/>
  <c r="D726" i="2" s="1"/>
  <c r="D727" i="2" s="1"/>
  <c r="D728" i="2" s="1"/>
  <c r="D729" i="2" s="1"/>
  <c r="D730" i="2" s="1"/>
  <c r="D731" i="2" s="1"/>
  <c r="D732" i="2" s="1"/>
  <c r="D733" i="2" s="1"/>
  <c r="D734" i="2" s="1"/>
  <c r="D735" i="2" s="1"/>
  <c r="D736" i="2" s="1"/>
  <c r="D737" i="2" s="1"/>
  <c r="D738" i="2" s="1"/>
  <c r="D739" i="2" s="1"/>
  <c r="D740" i="2" s="1"/>
  <c r="D741" i="2" s="1"/>
  <c r="D742" i="2" s="1"/>
  <c r="D743" i="2" s="1"/>
  <c r="D744" i="2" s="1"/>
  <c r="D745" i="2" s="1"/>
  <c r="D746" i="2" s="1"/>
  <c r="D747" i="2" s="1"/>
  <c r="D748" i="2" s="1"/>
  <c r="D749" i="2" s="1"/>
  <c r="D750" i="2" s="1"/>
  <c r="D751" i="2" s="1"/>
  <c r="D752" i="2" s="1"/>
  <c r="D753" i="2" s="1"/>
  <c r="D754" i="2" s="1"/>
  <c r="D755" i="2" s="1"/>
  <c r="D756" i="2" s="1"/>
  <c r="D757" i="2" s="1"/>
  <c r="D758" i="2" s="1"/>
  <c r="D759" i="2" s="1"/>
  <c r="D760" i="2" s="1"/>
  <c r="D761" i="2" s="1"/>
  <c r="D762" i="2" s="1"/>
  <c r="D763" i="2" s="1"/>
  <c r="D764" i="2" s="1"/>
  <c r="D765" i="2" s="1"/>
  <c r="D766" i="2" s="1"/>
  <c r="D767" i="2" s="1"/>
  <c r="D768" i="2" s="1"/>
  <c r="D769" i="2" s="1"/>
  <c r="D770" i="2" s="1"/>
  <c r="D771" i="2" s="1"/>
  <c r="D772" i="2" s="1"/>
  <c r="D773" i="2" s="1"/>
  <c r="D774" i="2" s="1"/>
  <c r="D775" i="2" s="1"/>
  <c r="D776" i="2" s="1"/>
  <c r="D777" i="2" s="1"/>
  <c r="D778" i="2" s="1"/>
  <c r="D779" i="2" s="1"/>
  <c r="D780" i="2" s="1"/>
  <c r="D781" i="2" s="1"/>
  <c r="D782" i="2" s="1"/>
  <c r="D783" i="2" s="1"/>
  <c r="D784" i="2" s="1"/>
  <c r="I714" i="2"/>
  <c r="B716" i="2"/>
  <c r="C716" i="2"/>
  <c r="F715" i="2"/>
  <c r="B789" i="2"/>
  <c r="C789" i="2"/>
  <c r="F788" i="2"/>
  <c r="D788" i="2"/>
  <c r="A7" i="3"/>
  <c r="E5" i="3" s="1"/>
  <c r="E3" i="3"/>
  <c r="I914" i="3"/>
  <c r="I856" i="3"/>
  <c r="I797" i="3"/>
  <c r="I737" i="3"/>
  <c r="I676" i="3"/>
  <c r="I614" i="3"/>
  <c r="I551" i="3"/>
  <c r="I487" i="3"/>
  <c r="I422" i="3"/>
  <c r="I356" i="3"/>
  <c r="I289" i="3"/>
  <c r="I221" i="3"/>
  <c r="I152" i="3"/>
  <c r="I82" i="3"/>
  <c r="I11" i="3"/>
  <c r="B14" i="3"/>
  <c r="C14" i="3"/>
  <c r="F13" i="3"/>
  <c r="D13" i="3"/>
  <c r="B85" i="3"/>
  <c r="C85" i="3"/>
  <c r="F84" i="3"/>
  <c r="D84" i="3"/>
  <c r="B155" i="3"/>
  <c r="C155" i="3"/>
  <c r="F154" i="3"/>
  <c r="D154" i="3"/>
  <c r="B224" i="3"/>
  <c r="C224" i="3"/>
  <c r="F223" i="3"/>
  <c r="D223" i="3"/>
  <c r="B292" i="3"/>
  <c r="C292" i="3"/>
  <c r="F291" i="3"/>
  <c r="D291" i="3"/>
  <c r="B359" i="3"/>
  <c r="C359" i="3"/>
  <c r="F358" i="3"/>
  <c r="D358" i="3"/>
  <c r="B425" i="3"/>
  <c r="C425" i="3"/>
  <c r="F424" i="3"/>
  <c r="D424" i="3"/>
  <c r="B490" i="3"/>
  <c r="C490" i="3"/>
  <c r="F489" i="3"/>
  <c r="D489" i="3"/>
  <c r="B554" i="3"/>
  <c r="C554" i="3"/>
  <c r="F553" i="3"/>
  <c r="D553" i="3"/>
  <c r="B617" i="3"/>
  <c r="C617" i="3"/>
  <c r="F616" i="3"/>
  <c r="D616" i="3"/>
  <c r="B679" i="3"/>
  <c r="C679" i="3"/>
  <c r="F678" i="3"/>
  <c r="D678" i="3"/>
  <c r="B740" i="3"/>
  <c r="C740" i="3"/>
  <c r="F739" i="3"/>
  <c r="D739" i="3"/>
  <c r="B800" i="3"/>
  <c r="C800" i="3"/>
  <c r="F799" i="3"/>
  <c r="D799" i="3"/>
  <c r="B859" i="3"/>
  <c r="C859" i="3"/>
  <c r="F858" i="3"/>
  <c r="D858" i="3"/>
  <c r="B917" i="3"/>
  <c r="C917" i="3"/>
  <c r="F916" i="3"/>
  <c r="D916" i="3"/>
  <c r="A7" i="4"/>
  <c r="E5" i="4" s="1"/>
  <c r="E3" i="4"/>
  <c r="I904" i="4"/>
  <c r="I866" i="4"/>
  <c r="I827" i="4"/>
  <c r="I787" i="4"/>
  <c r="I746" i="4"/>
  <c r="I704" i="4"/>
  <c r="I661" i="4"/>
  <c r="I617" i="4"/>
  <c r="I572" i="4"/>
  <c r="I526" i="4"/>
  <c r="I479" i="4"/>
  <c r="I431" i="4"/>
  <c r="I382" i="4"/>
  <c r="I332" i="4"/>
  <c r="I281" i="4"/>
  <c r="I229" i="4"/>
  <c r="I176" i="4"/>
  <c r="I122" i="4"/>
  <c r="I67" i="4"/>
  <c r="I11" i="4"/>
  <c r="B14" i="4"/>
  <c r="C14" i="4"/>
  <c r="F13" i="4"/>
  <c r="D13" i="4"/>
  <c r="B70" i="4"/>
  <c r="C70" i="4"/>
  <c r="F69" i="4"/>
  <c r="D69" i="4"/>
  <c r="B125" i="4"/>
  <c r="C124" i="4"/>
  <c r="B179" i="4"/>
  <c r="C178" i="4"/>
  <c r="B232" i="4"/>
  <c r="C231" i="4"/>
  <c r="B284" i="4"/>
  <c r="C283" i="4"/>
  <c r="B335" i="4"/>
  <c r="C334" i="4"/>
  <c r="B385" i="4"/>
  <c r="C384" i="4"/>
  <c r="B434" i="4"/>
  <c r="C433" i="4"/>
  <c r="B482" i="4"/>
  <c r="C481" i="4"/>
  <c r="B529" i="4"/>
  <c r="C529" i="4"/>
  <c r="F528" i="4"/>
  <c r="D528" i="4"/>
  <c r="B575" i="4"/>
  <c r="C574" i="4"/>
  <c r="B620" i="4"/>
  <c r="C619" i="4"/>
  <c r="B664" i="4"/>
  <c r="C663" i="4"/>
  <c r="B707" i="4"/>
  <c r="C706" i="4"/>
  <c r="B749" i="4"/>
  <c r="C748" i="4"/>
  <c r="B790" i="4"/>
  <c r="C789" i="4"/>
  <c r="B830" i="4"/>
  <c r="C829" i="4"/>
  <c r="B869" i="4"/>
  <c r="C868" i="4"/>
  <c r="B907" i="4"/>
  <c r="C906" i="4"/>
  <c r="A7" i="5"/>
  <c r="E5" i="5" s="1"/>
  <c r="E3" i="5"/>
  <c r="I524" i="5"/>
  <c r="I506" i="5"/>
  <c r="I487" i="5"/>
  <c r="I467" i="5"/>
  <c r="I446" i="5"/>
  <c r="I424" i="5"/>
  <c r="I401" i="5"/>
  <c r="I377" i="5"/>
  <c r="I352" i="5"/>
  <c r="I326" i="5"/>
  <c r="I299" i="5"/>
  <c r="I271" i="5"/>
  <c r="I242" i="5"/>
  <c r="I212" i="5"/>
  <c r="I181" i="5"/>
  <c r="I149" i="5"/>
  <c r="I116" i="5"/>
  <c r="I82" i="5"/>
  <c r="I47" i="5"/>
  <c r="I11" i="5"/>
  <c r="B14" i="5"/>
  <c r="C13" i="5"/>
  <c r="B50" i="5"/>
  <c r="C49" i="5"/>
  <c r="B85" i="5"/>
  <c r="C84" i="5"/>
  <c r="B119" i="5"/>
  <c r="C118" i="5"/>
  <c r="B152" i="5"/>
  <c r="C151" i="5"/>
  <c r="B184" i="5"/>
  <c r="C183" i="5"/>
  <c r="B215" i="5"/>
  <c r="C214" i="5"/>
  <c r="B245" i="5"/>
  <c r="C244" i="5"/>
  <c r="B274" i="5"/>
  <c r="C273" i="5"/>
  <c r="B302" i="5"/>
  <c r="C301" i="5"/>
  <c r="B329" i="5"/>
  <c r="C328" i="5"/>
  <c r="B355" i="5"/>
  <c r="C354" i="5"/>
  <c r="B380" i="5"/>
  <c r="C379" i="5"/>
  <c r="B404" i="5"/>
  <c r="C403" i="5"/>
  <c r="B427" i="5"/>
  <c r="C426" i="5"/>
  <c r="B449" i="5"/>
  <c r="C448" i="5"/>
  <c r="B470" i="5"/>
  <c r="C469" i="5"/>
  <c r="B490" i="5"/>
  <c r="C489" i="5"/>
  <c r="B509" i="5"/>
  <c r="C508" i="5"/>
  <c r="B527" i="5"/>
  <c r="C526" i="5"/>
  <c r="A7" i="6"/>
  <c r="E5" i="6" s="1"/>
  <c r="E3" i="6"/>
  <c r="I11" i="6"/>
  <c r="B14" i="6"/>
  <c r="C13" i="6"/>
  <c r="F13" i="6" l="1"/>
  <c r="D13" i="6"/>
  <c r="H13" i="6"/>
  <c r="I13" i="6"/>
  <c r="B15" i="6"/>
  <c r="C14" i="6"/>
  <c r="F526" i="5"/>
  <c r="D526" i="5"/>
  <c r="H526" i="5"/>
  <c r="I526" i="5"/>
  <c r="J525" i="5" s="1"/>
  <c r="B528" i="5"/>
  <c r="C527" i="5"/>
  <c r="F508" i="5"/>
  <c r="D508" i="5"/>
  <c r="H508" i="5"/>
  <c r="I508" i="5"/>
  <c r="J507" i="5" s="1"/>
  <c r="B510" i="5"/>
  <c r="C509" i="5"/>
  <c r="F489" i="5"/>
  <c r="D489" i="5"/>
  <c r="H489" i="5"/>
  <c r="I489" i="5"/>
  <c r="J488" i="5" s="1"/>
  <c r="B491" i="5"/>
  <c r="C490" i="5"/>
  <c r="F469" i="5"/>
  <c r="D469" i="5"/>
  <c r="H469" i="5"/>
  <c r="I469" i="5"/>
  <c r="J468" i="5" s="1"/>
  <c r="B471" i="5"/>
  <c r="C470" i="5"/>
  <c r="F448" i="5"/>
  <c r="D448" i="5"/>
  <c r="H448" i="5"/>
  <c r="I448" i="5"/>
  <c r="J447" i="5" s="1"/>
  <c r="B450" i="5"/>
  <c r="C449" i="5"/>
  <c r="F426" i="5"/>
  <c r="D426" i="5"/>
  <c r="H426" i="5"/>
  <c r="I426" i="5"/>
  <c r="J425" i="5" s="1"/>
  <c r="B428" i="5"/>
  <c r="C427" i="5"/>
  <c r="F403" i="5"/>
  <c r="D403" i="5"/>
  <c r="H403" i="5"/>
  <c r="I403" i="5"/>
  <c r="J402" i="5" s="1"/>
  <c r="B405" i="5"/>
  <c r="C404" i="5"/>
  <c r="F379" i="5"/>
  <c r="D379" i="5"/>
  <c r="H379" i="5"/>
  <c r="I379" i="5"/>
  <c r="J378" i="5" s="1"/>
  <c r="B381" i="5"/>
  <c r="C380" i="5"/>
  <c r="F354" i="5"/>
  <c r="D354" i="5"/>
  <c r="H354" i="5"/>
  <c r="I354" i="5"/>
  <c r="J353" i="5" s="1"/>
  <c r="B356" i="5"/>
  <c r="C355" i="5"/>
  <c r="F328" i="5"/>
  <c r="D328" i="5"/>
  <c r="H328" i="5"/>
  <c r="I328" i="5"/>
  <c r="J327" i="5" s="1"/>
  <c r="B330" i="5"/>
  <c r="C329" i="5"/>
  <c r="F301" i="5"/>
  <c r="D301" i="5"/>
  <c r="H301" i="5"/>
  <c r="I301" i="5"/>
  <c r="J300" i="5" s="1"/>
  <c r="B303" i="5"/>
  <c r="C302" i="5"/>
  <c r="F273" i="5"/>
  <c r="D273" i="5"/>
  <c r="H273" i="5"/>
  <c r="I273" i="5"/>
  <c r="J272" i="5" s="1"/>
  <c r="B275" i="5"/>
  <c r="C274" i="5"/>
  <c r="F244" i="5"/>
  <c r="D244" i="5"/>
  <c r="H244" i="5"/>
  <c r="I244" i="5"/>
  <c r="J243" i="5" s="1"/>
  <c r="B246" i="5"/>
  <c r="C245" i="5"/>
  <c r="F214" i="5"/>
  <c r="D214" i="5"/>
  <c r="H214" i="5"/>
  <c r="I214" i="5"/>
  <c r="J213" i="5" s="1"/>
  <c r="B216" i="5"/>
  <c r="C215" i="5"/>
  <c r="F183" i="5"/>
  <c r="D183" i="5"/>
  <c r="H183" i="5"/>
  <c r="I183" i="5"/>
  <c r="J182" i="5" s="1"/>
  <c r="B185" i="5"/>
  <c r="C184" i="5"/>
  <c r="F151" i="5"/>
  <c r="D151" i="5"/>
  <c r="H151" i="5"/>
  <c r="I151" i="5"/>
  <c r="J150" i="5" s="1"/>
  <c r="B153" i="5"/>
  <c r="C152" i="5"/>
  <c r="F118" i="5"/>
  <c r="D118" i="5"/>
  <c r="H118" i="5"/>
  <c r="I118" i="5"/>
  <c r="J117" i="5" s="1"/>
  <c r="B120" i="5"/>
  <c r="C119" i="5"/>
  <c r="F84" i="5"/>
  <c r="D84" i="5"/>
  <c r="H84" i="5"/>
  <c r="I84" i="5"/>
  <c r="J83" i="5" s="1"/>
  <c r="B86" i="5"/>
  <c r="C85" i="5"/>
  <c r="F49" i="5"/>
  <c r="D49" i="5"/>
  <c r="H49" i="5"/>
  <c r="I49" i="5"/>
  <c r="J48" i="5" s="1"/>
  <c r="B51" i="5"/>
  <c r="C50" i="5"/>
  <c r="F13" i="5"/>
  <c r="D13" i="5"/>
  <c r="H13" i="5"/>
  <c r="I13" i="5"/>
  <c r="J12" i="5" s="1"/>
  <c r="B15" i="5"/>
  <c r="C14" i="5"/>
  <c r="F906" i="4"/>
  <c r="D906" i="4"/>
  <c r="H906" i="4"/>
  <c r="I906" i="4"/>
  <c r="J905" i="4" s="1"/>
  <c r="B908" i="4"/>
  <c r="C907" i="4"/>
  <c r="F868" i="4"/>
  <c r="D868" i="4"/>
  <c r="H868" i="4"/>
  <c r="I868" i="4"/>
  <c r="J867" i="4" s="1"/>
  <c r="B870" i="4"/>
  <c r="C869" i="4"/>
  <c r="F829" i="4"/>
  <c r="D829" i="4"/>
  <c r="H829" i="4"/>
  <c r="I829" i="4"/>
  <c r="J828" i="4" s="1"/>
  <c r="B831" i="4"/>
  <c r="C830" i="4"/>
  <c r="F789" i="4"/>
  <c r="D789" i="4"/>
  <c r="H789" i="4"/>
  <c r="I789" i="4"/>
  <c r="J788" i="4" s="1"/>
  <c r="B791" i="4"/>
  <c r="C790" i="4"/>
  <c r="F748" i="4"/>
  <c r="D748" i="4"/>
  <c r="H748" i="4"/>
  <c r="I748" i="4"/>
  <c r="J747" i="4" s="1"/>
  <c r="B750" i="4"/>
  <c r="C749" i="4"/>
  <c r="F706" i="4"/>
  <c r="D706" i="4"/>
  <c r="H706" i="4"/>
  <c r="I706" i="4"/>
  <c r="J705" i="4" s="1"/>
  <c r="B708" i="4"/>
  <c r="C707" i="4"/>
  <c r="F663" i="4"/>
  <c r="D663" i="4"/>
  <c r="H663" i="4"/>
  <c r="I663" i="4"/>
  <c r="J662" i="4" s="1"/>
  <c r="B665" i="4"/>
  <c r="C664" i="4"/>
  <c r="F619" i="4"/>
  <c r="D619" i="4"/>
  <c r="H619" i="4"/>
  <c r="I619" i="4"/>
  <c r="J618" i="4" s="1"/>
  <c r="B621" i="4"/>
  <c r="C620" i="4"/>
  <c r="F574" i="4"/>
  <c r="D574" i="4"/>
  <c r="H574" i="4"/>
  <c r="I574" i="4"/>
  <c r="J573" i="4" s="1"/>
  <c r="B576" i="4"/>
  <c r="C575" i="4"/>
  <c r="H528" i="4"/>
  <c r="I528" i="4"/>
  <c r="J527" i="4" s="1"/>
  <c r="C530" i="4"/>
  <c r="F529" i="4"/>
  <c r="D529" i="4"/>
  <c r="H529" i="4" s="1"/>
  <c r="B530" i="4"/>
  <c r="I529" i="4"/>
  <c r="J528" i="4" s="1"/>
  <c r="F481" i="4"/>
  <c r="D481" i="4"/>
  <c r="H481" i="4"/>
  <c r="I481" i="4"/>
  <c r="J480" i="4" s="1"/>
  <c r="B483" i="4"/>
  <c r="C482" i="4"/>
  <c r="F433" i="4"/>
  <c r="D433" i="4"/>
  <c r="H433" i="4"/>
  <c r="I433" i="4"/>
  <c r="J432" i="4" s="1"/>
  <c r="B435" i="4"/>
  <c r="C434" i="4"/>
  <c r="F384" i="4"/>
  <c r="D384" i="4"/>
  <c r="H384" i="4"/>
  <c r="I384" i="4"/>
  <c r="J383" i="4" s="1"/>
  <c r="B386" i="4"/>
  <c r="C385" i="4"/>
  <c r="F334" i="4"/>
  <c r="D334" i="4"/>
  <c r="H334" i="4"/>
  <c r="I334" i="4"/>
  <c r="J333" i="4" s="1"/>
  <c r="B336" i="4"/>
  <c r="C335" i="4"/>
  <c r="F283" i="4"/>
  <c r="D283" i="4"/>
  <c r="H283" i="4"/>
  <c r="I283" i="4"/>
  <c r="J282" i="4" s="1"/>
  <c r="B285" i="4"/>
  <c r="C284" i="4"/>
  <c r="F231" i="4"/>
  <c r="D231" i="4"/>
  <c r="H231" i="4"/>
  <c r="I231" i="4"/>
  <c r="J230" i="4" s="1"/>
  <c r="B233" i="4"/>
  <c r="C232" i="4"/>
  <c r="F178" i="4"/>
  <c r="D178" i="4"/>
  <c r="H178" i="4"/>
  <c r="I178" i="4"/>
  <c r="J177" i="4" s="1"/>
  <c r="B180" i="4"/>
  <c r="C179" i="4"/>
  <c r="F124" i="4"/>
  <c r="D124" i="4"/>
  <c r="H124" i="4"/>
  <c r="I124" i="4"/>
  <c r="J123" i="4" s="1"/>
  <c r="B126" i="4"/>
  <c r="C125" i="4"/>
  <c r="H69" i="4"/>
  <c r="I69" i="4"/>
  <c r="J68" i="4" s="1"/>
  <c r="C71" i="4"/>
  <c r="F70" i="4"/>
  <c r="D70" i="4"/>
  <c r="H70" i="4" s="1"/>
  <c r="B71" i="4"/>
  <c r="I70" i="4"/>
  <c r="J69" i="4" s="1"/>
  <c r="H13" i="4"/>
  <c r="I13" i="4"/>
  <c r="J12" i="4" s="1"/>
  <c r="C15" i="4"/>
  <c r="F14" i="4"/>
  <c r="D14" i="4"/>
  <c r="H14" i="4" s="1"/>
  <c r="B15" i="4"/>
  <c r="I14" i="4"/>
  <c r="J13" i="4" s="1"/>
  <c r="H916" i="3"/>
  <c r="I916" i="3"/>
  <c r="J915" i="3" s="1"/>
  <c r="C918" i="3"/>
  <c r="F917" i="3"/>
  <c r="D917" i="3"/>
  <c r="H917" i="3" s="1"/>
  <c r="B918" i="3"/>
  <c r="I917" i="3"/>
  <c r="J916" i="3" s="1"/>
  <c r="H858" i="3"/>
  <c r="I858" i="3"/>
  <c r="J857" i="3" s="1"/>
  <c r="C860" i="3"/>
  <c r="F859" i="3"/>
  <c r="D859" i="3"/>
  <c r="H859" i="3" s="1"/>
  <c r="B860" i="3"/>
  <c r="I859" i="3"/>
  <c r="J858" i="3" s="1"/>
  <c r="H799" i="3"/>
  <c r="I799" i="3"/>
  <c r="J798" i="3" s="1"/>
  <c r="C801" i="3"/>
  <c r="F800" i="3"/>
  <c r="D800" i="3"/>
  <c r="H800" i="3" s="1"/>
  <c r="B801" i="3"/>
  <c r="I800" i="3"/>
  <c r="J799" i="3" s="1"/>
  <c r="H739" i="3"/>
  <c r="I739" i="3"/>
  <c r="J738" i="3" s="1"/>
  <c r="C741" i="3"/>
  <c r="F740" i="3"/>
  <c r="D740" i="3"/>
  <c r="H740" i="3" s="1"/>
  <c r="B741" i="3"/>
  <c r="I740" i="3"/>
  <c r="J739" i="3" s="1"/>
  <c r="H678" i="3"/>
  <c r="I678" i="3"/>
  <c r="J677" i="3" s="1"/>
  <c r="C680" i="3"/>
  <c r="F679" i="3"/>
  <c r="D679" i="3"/>
  <c r="H679" i="3" s="1"/>
  <c r="B680" i="3"/>
  <c r="I679" i="3"/>
  <c r="J678" i="3" s="1"/>
  <c r="H616" i="3"/>
  <c r="I616" i="3"/>
  <c r="J615" i="3" s="1"/>
  <c r="C618" i="3"/>
  <c r="F617" i="3"/>
  <c r="D617" i="3"/>
  <c r="H617" i="3" s="1"/>
  <c r="B618" i="3"/>
  <c r="I617" i="3"/>
  <c r="J616" i="3" s="1"/>
  <c r="H553" i="3"/>
  <c r="I553" i="3"/>
  <c r="J552" i="3" s="1"/>
  <c r="C555" i="3"/>
  <c r="F554" i="3"/>
  <c r="D554" i="3"/>
  <c r="H554" i="3" s="1"/>
  <c r="B555" i="3"/>
  <c r="I554" i="3"/>
  <c r="J553" i="3" s="1"/>
  <c r="H489" i="3"/>
  <c r="I489" i="3"/>
  <c r="J488" i="3" s="1"/>
  <c r="C491" i="3"/>
  <c r="F490" i="3"/>
  <c r="D490" i="3"/>
  <c r="H490" i="3" s="1"/>
  <c r="B491" i="3"/>
  <c r="I490" i="3"/>
  <c r="J489" i="3" s="1"/>
  <c r="H424" i="3"/>
  <c r="I424" i="3"/>
  <c r="J423" i="3" s="1"/>
  <c r="C426" i="3"/>
  <c r="F425" i="3"/>
  <c r="D425" i="3"/>
  <c r="H425" i="3" s="1"/>
  <c r="B426" i="3"/>
  <c r="I425" i="3"/>
  <c r="J424" i="3" s="1"/>
  <c r="H358" i="3"/>
  <c r="I358" i="3"/>
  <c r="J357" i="3" s="1"/>
  <c r="C360" i="3"/>
  <c r="F359" i="3"/>
  <c r="D359" i="3"/>
  <c r="H359" i="3" s="1"/>
  <c r="B360" i="3"/>
  <c r="I359" i="3"/>
  <c r="J358" i="3" s="1"/>
  <c r="H291" i="3"/>
  <c r="I291" i="3"/>
  <c r="J290" i="3" s="1"/>
  <c r="C293" i="3"/>
  <c r="F292" i="3"/>
  <c r="D292" i="3"/>
  <c r="H292" i="3" s="1"/>
  <c r="B293" i="3"/>
  <c r="I292" i="3"/>
  <c r="J291" i="3" s="1"/>
  <c r="H223" i="3"/>
  <c r="I223" i="3"/>
  <c r="J222" i="3" s="1"/>
  <c r="C225" i="3"/>
  <c r="F224" i="3"/>
  <c r="D224" i="3"/>
  <c r="H224" i="3" s="1"/>
  <c r="B225" i="3"/>
  <c r="I224" i="3"/>
  <c r="J223" i="3" s="1"/>
  <c r="H154" i="3"/>
  <c r="I154" i="3"/>
  <c r="J153" i="3" s="1"/>
  <c r="C156" i="3"/>
  <c r="F155" i="3"/>
  <c r="D155" i="3"/>
  <c r="H155" i="3" s="1"/>
  <c r="B156" i="3"/>
  <c r="I155" i="3"/>
  <c r="J154" i="3" s="1"/>
  <c r="H84" i="3"/>
  <c r="I84" i="3"/>
  <c r="J83" i="3" s="1"/>
  <c r="C86" i="3"/>
  <c r="F85" i="3"/>
  <c r="D85" i="3"/>
  <c r="H85" i="3" s="1"/>
  <c r="B86" i="3"/>
  <c r="I85" i="3"/>
  <c r="J84" i="3" s="1"/>
  <c r="H13" i="3"/>
  <c r="I13" i="3"/>
  <c r="J12" i="3" s="1"/>
  <c r="C15" i="3"/>
  <c r="F14" i="3"/>
  <c r="D14" i="3"/>
  <c r="H14" i="3" s="1"/>
  <c r="B15" i="3"/>
  <c r="I14" i="3"/>
  <c r="J13" i="3" s="1"/>
  <c r="H788" i="2"/>
  <c r="I788" i="2"/>
  <c r="J787" i="2" s="1"/>
  <c r="C790" i="2"/>
  <c r="F789" i="2"/>
  <c r="D789" i="2"/>
  <c r="H789" i="2" s="1"/>
  <c r="B790" i="2"/>
  <c r="I789" i="2"/>
  <c r="J788" i="2" s="1"/>
  <c r="H715" i="2"/>
  <c r="I715" i="2"/>
  <c r="J714" i="2" s="1"/>
  <c r="C717" i="2"/>
  <c r="F716" i="2"/>
  <c r="H716" i="2" s="1"/>
  <c r="B717" i="2"/>
  <c r="I716" i="2"/>
  <c r="J715" i="2" s="1"/>
  <c r="H641" i="2"/>
  <c r="I641" i="2"/>
  <c r="J640" i="2" s="1"/>
  <c r="C643" i="2"/>
  <c r="F642" i="2"/>
  <c r="H642" i="2" s="1"/>
  <c r="B643" i="2"/>
  <c r="I642" i="2"/>
  <c r="J641" i="2" s="1"/>
  <c r="H566" i="2"/>
  <c r="I566" i="2"/>
  <c r="J565" i="2" s="1"/>
  <c r="C568" i="2"/>
  <c r="F567" i="2"/>
  <c r="H567" i="2" s="1"/>
  <c r="B568" i="2"/>
  <c r="I567" i="2"/>
  <c r="J566" i="2" s="1"/>
  <c r="H490" i="2"/>
  <c r="I490" i="2"/>
  <c r="J489" i="2" s="1"/>
  <c r="C492" i="2"/>
  <c r="F491" i="2"/>
  <c r="D491" i="2"/>
  <c r="H491" i="2" s="1"/>
  <c r="B492" i="2"/>
  <c r="I491" i="2"/>
  <c r="J490" i="2" s="1"/>
  <c r="H413" i="2"/>
  <c r="I413" i="2"/>
  <c r="J412" i="2" s="1"/>
  <c r="C415" i="2"/>
  <c r="F414" i="2"/>
  <c r="D414" i="2"/>
  <c r="H414" i="2" s="1"/>
  <c r="B415" i="2"/>
  <c r="I414" i="2"/>
  <c r="J413" i="2" s="1"/>
  <c r="H335" i="2"/>
  <c r="I335" i="2"/>
  <c r="J334" i="2" s="1"/>
  <c r="C337" i="2"/>
  <c r="F336" i="2"/>
  <c r="D336" i="2"/>
  <c r="H336" i="2" s="1"/>
  <c r="B337" i="2"/>
  <c r="I336" i="2"/>
  <c r="J335" i="2" s="1"/>
  <c r="H256" i="2"/>
  <c r="I256" i="2"/>
  <c r="J255" i="2" s="1"/>
  <c r="C258" i="2"/>
  <c r="F257" i="2"/>
  <c r="D257" i="2"/>
  <c r="H257" i="2" s="1"/>
  <c r="B258" i="2"/>
  <c r="I257" i="2"/>
  <c r="J256" i="2" s="1"/>
  <c r="H176" i="2"/>
  <c r="I176" i="2"/>
  <c r="J175" i="2" s="1"/>
  <c r="C178" i="2"/>
  <c r="F177" i="2"/>
  <c r="D177" i="2"/>
  <c r="H177" i="2" s="1"/>
  <c r="B178" i="2"/>
  <c r="I177" i="2"/>
  <c r="J176" i="2" s="1"/>
  <c r="H95" i="2"/>
  <c r="I95" i="2"/>
  <c r="J94" i="2" s="1"/>
  <c r="C97" i="2"/>
  <c r="F96" i="2"/>
  <c r="D96" i="2"/>
  <c r="H96" i="2" s="1"/>
  <c r="B97" i="2"/>
  <c r="I96" i="2"/>
  <c r="J95" i="2" s="1"/>
  <c r="H13" i="2"/>
  <c r="I13" i="2"/>
  <c r="J12" i="2" s="1"/>
  <c r="C15" i="2"/>
  <c r="F14" i="2"/>
  <c r="D14" i="2"/>
  <c r="H14" i="2" s="1"/>
  <c r="B15" i="2"/>
  <c r="I14" i="2"/>
  <c r="J13" i="2" s="1"/>
  <c r="B16" i="2" l="1"/>
  <c r="C16" i="2"/>
  <c r="F15" i="2"/>
  <c r="D15" i="2"/>
  <c r="B98" i="2"/>
  <c r="C98" i="2"/>
  <c r="F97" i="2"/>
  <c r="D97" i="2"/>
  <c r="B179" i="2"/>
  <c r="C179" i="2"/>
  <c r="F178" i="2"/>
  <c r="D178" i="2"/>
  <c r="B259" i="2"/>
  <c r="C259" i="2"/>
  <c r="F258" i="2"/>
  <c r="D258" i="2"/>
  <c r="B338" i="2"/>
  <c r="C338" i="2"/>
  <c r="F337" i="2"/>
  <c r="D337" i="2"/>
  <c r="B416" i="2"/>
  <c r="C416" i="2"/>
  <c r="F415" i="2"/>
  <c r="D415" i="2"/>
  <c r="B493" i="2"/>
  <c r="C493" i="2"/>
  <c r="F492" i="2"/>
  <c r="D492" i="2"/>
  <c r="B569" i="2"/>
  <c r="C569" i="2"/>
  <c r="F568" i="2"/>
  <c r="B644" i="2"/>
  <c r="C644" i="2"/>
  <c r="F643" i="2"/>
  <c r="B718" i="2"/>
  <c r="C718" i="2"/>
  <c r="F717" i="2"/>
  <c r="B791" i="2"/>
  <c r="C791" i="2"/>
  <c r="F790" i="2"/>
  <c r="D790" i="2"/>
  <c r="B16" i="3"/>
  <c r="C16" i="3"/>
  <c r="F15" i="3"/>
  <c r="D15" i="3"/>
  <c r="B87" i="3"/>
  <c r="C87" i="3"/>
  <c r="F86" i="3"/>
  <c r="D86" i="3"/>
  <c r="B157" i="3"/>
  <c r="C157" i="3"/>
  <c r="F156" i="3"/>
  <c r="D156" i="3"/>
  <c r="B226" i="3"/>
  <c r="C226" i="3"/>
  <c r="F225" i="3"/>
  <c r="D225" i="3"/>
  <c r="B294" i="3"/>
  <c r="C294" i="3"/>
  <c r="F293" i="3"/>
  <c r="D293" i="3"/>
  <c r="B361" i="3"/>
  <c r="C361" i="3"/>
  <c r="F360" i="3"/>
  <c r="D360" i="3"/>
  <c r="B427" i="3"/>
  <c r="C427" i="3"/>
  <c r="F426" i="3"/>
  <c r="D426" i="3"/>
  <c r="B492" i="3"/>
  <c r="C492" i="3"/>
  <c r="F491" i="3"/>
  <c r="D491" i="3"/>
  <c r="B556" i="3"/>
  <c r="C556" i="3"/>
  <c r="F555" i="3"/>
  <c r="D555" i="3"/>
  <c r="B619" i="3"/>
  <c r="C619" i="3"/>
  <c r="F618" i="3"/>
  <c r="D618" i="3"/>
  <c r="B681" i="3"/>
  <c r="C681" i="3"/>
  <c r="F680" i="3"/>
  <c r="D680" i="3"/>
  <c r="B742" i="3"/>
  <c r="C742" i="3"/>
  <c r="F741" i="3"/>
  <c r="D741" i="3"/>
  <c r="B802" i="3"/>
  <c r="C802" i="3"/>
  <c r="F801" i="3"/>
  <c r="D801" i="3"/>
  <c r="B861" i="3"/>
  <c r="C861" i="3"/>
  <c r="F860" i="3"/>
  <c r="D860" i="3"/>
  <c r="B919" i="3"/>
  <c r="C919" i="3"/>
  <c r="F918" i="3"/>
  <c r="D918" i="3"/>
  <c r="B16" i="4"/>
  <c r="C16" i="4"/>
  <c r="F15" i="4"/>
  <c r="D15" i="4"/>
  <c r="B72" i="4"/>
  <c r="C72" i="4"/>
  <c r="F71" i="4"/>
  <c r="D71" i="4"/>
  <c r="F125" i="4"/>
  <c r="D125" i="4"/>
  <c r="H125" i="4"/>
  <c r="I125" i="4"/>
  <c r="J124" i="4" s="1"/>
  <c r="B127" i="4"/>
  <c r="C126" i="4"/>
  <c r="F179" i="4"/>
  <c r="D179" i="4"/>
  <c r="H179" i="4"/>
  <c r="I179" i="4"/>
  <c r="J178" i="4" s="1"/>
  <c r="B181" i="4"/>
  <c r="C180" i="4"/>
  <c r="F232" i="4"/>
  <c r="D232" i="4"/>
  <c r="H232" i="4"/>
  <c r="I232" i="4"/>
  <c r="J231" i="4" s="1"/>
  <c r="B234" i="4"/>
  <c r="C233" i="4"/>
  <c r="F284" i="4"/>
  <c r="D284" i="4"/>
  <c r="H284" i="4"/>
  <c r="I284" i="4"/>
  <c r="J283" i="4" s="1"/>
  <c r="B286" i="4"/>
  <c r="C285" i="4"/>
  <c r="F335" i="4"/>
  <c r="D335" i="4"/>
  <c r="H335" i="4"/>
  <c r="I335" i="4"/>
  <c r="J334" i="4" s="1"/>
  <c r="B337" i="4"/>
  <c r="C336" i="4"/>
  <c r="F385" i="4"/>
  <c r="D385" i="4"/>
  <c r="H385" i="4"/>
  <c r="I385" i="4"/>
  <c r="J384" i="4" s="1"/>
  <c r="B387" i="4"/>
  <c r="C386" i="4"/>
  <c r="F434" i="4"/>
  <c r="D434" i="4"/>
  <c r="H434" i="4"/>
  <c r="I434" i="4"/>
  <c r="J433" i="4" s="1"/>
  <c r="B436" i="4"/>
  <c r="C435" i="4"/>
  <c r="F482" i="4"/>
  <c r="D482" i="4"/>
  <c r="H482" i="4"/>
  <c r="I482" i="4"/>
  <c r="J481" i="4" s="1"/>
  <c r="B484" i="4"/>
  <c r="C483" i="4"/>
  <c r="B531" i="4"/>
  <c r="C531" i="4"/>
  <c r="F530" i="4"/>
  <c r="D530" i="4"/>
  <c r="F575" i="4"/>
  <c r="D575" i="4"/>
  <c r="H575" i="4"/>
  <c r="I575" i="4"/>
  <c r="J574" i="4" s="1"/>
  <c r="B577" i="4"/>
  <c r="C576" i="4"/>
  <c r="F620" i="4"/>
  <c r="D620" i="4"/>
  <c r="H620" i="4"/>
  <c r="I620" i="4"/>
  <c r="J619" i="4" s="1"/>
  <c r="B622" i="4"/>
  <c r="C621" i="4"/>
  <c r="F664" i="4"/>
  <c r="D664" i="4"/>
  <c r="H664" i="4"/>
  <c r="I664" i="4"/>
  <c r="J663" i="4" s="1"/>
  <c r="B666" i="4"/>
  <c r="C665" i="4"/>
  <c r="F707" i="4"/>
  <c r="D707" i="4"/>
  <c r="H707" i="4"/>
  <c r="I707" i="4"/>
  <c r="J706" i="4" s="1"/>
  <c r="B709" i="4"/>
  <c r="C708" i="4"/>
  <c r="F749" i="4"/>
  <c r="D749" i="4"/>
  <c r="H749" i="4"/>
  <c r="I749" i="4"/>
  <c r="J748" i="4" s="1"/>
  <c r="B751" i="4"/>
  <c r="C750" i="4"/>
  <c r="F790" i="4"/>
  <c r="D790" i="4"/>
  <c r="H790" i="4"/>
  <c r="I790" i="4"/>
  <c r="J789" i="4" s="1"/>
  <c r="B792" i="4"/>
  <c r="C791" i="4"/>
  <c r="F830" i="4"/>
  <c r="D830" i="4"/>
  <c r="H830" i="4"/>
  <c r="I830" i="4"/>
  <c r="J829" i="4" s="1"/>
  <c r="B832" i="4"/>
  <c r="C831" i="4"/>
  <c r="F869" i="4"/>
  <c r="D869" i="4"/>
  <c r="H869" i="4"/>
  <c r="I869" i="4"/>
  <c r="J868" i="4" s="1"/>
  <c r="B871" i="4"/>
  <c r="C870" i="4"/>
  <c r="F907" i="4"/>
  <c r="D907" i="4"/>
  <c r="H907" i="4"/>
  <c r="I907" i="4"/>
  <c r="J906" i="4" s="1"/>
  <c r="B909" i="4"/>
  <c r="C908" i="4"/>
  <c r="F14" i="5"/>
  <c r="D14" i="5"/>
  <c r="H14" i="5"/>
  <c r="I14" i="5"/>
  <c r="J13" i="5" s="1"/>
  <c r="B16" i="5"/>
  <c r="C15" i="5"/>
  <c r="F50" i="5"/>
  <c r="D50" i="5"/>
  <c r="H50" i="5"/>
  <c r="I50" i="5"/>
  <c r="J49" i="5" s="1"/>
  <c r="B52" i="5"/>
  <c r="C51" i="5"/>
  <c r="F85" i="5"/>
  <c r="D85" i="5"/>
  <c r="H85" i="5"/>
  <c r="I85" i="5"/>
  <c r="J84" i="5" s="1"/>
  <c r="B87" i="5"/>
  <c r="C86" i="5"/>
  <c r="F119" i="5"/>
  <c r="D119" i="5"/>
  <c r="H119" i="5"/>
  <c r="I119" i="5"/>
  <c r="J118" i="5" s="1"/>
  <c r="B121" i="5"/>
  <c r="C120" i="5"/>
  <c r="F152" i="5"/>
  <c r="D152" i="5"/>
  <c r="H152" i="5"/>
  <c r="I152" i="5"/>
  <c r="J151" i="5" s="1"/>
  <c r="B154" i="5"/>
  <c r="C153" i="5"/>
  <c r="F184" i="5"/>
  <c r="D184" i="5"/>
  <c r="H184" i="5"/>
  <c r="I184" i="5"/>
  <c r="J183" i="5" s="1"/>
  <c r="B186" i="5"/>
  <c r="C185" i="5"/>
  <c r="F215" i="5"/>
  <c r="D215" i="5"/>
  <c r="H215" i="5"/>
  <c r="I215" i="5"/>
  <c r="J214" i="5" s="1"/>
  <c r="B217" i="5"/>
  <c r="C216" i="5"/>
  <c r="F245" i="5"/>
  <c r="D245" i="5"/>
  <c r="H245" i="5"/>
  <c r="I245" i="5"/>
  <c r="J244" i="5" s="1"/>
  <c r="B247" i="5"/>
  <c r="C246" i="5"/>
  <c r="F274" i="5"/>
  <c r="D274" i="5"/>
  <c r="H274" i="5"/>
  <c r="I274" i="5"/>
  <c r="J273" i="5" s="1"/>
  <c r="B276" i="5"/>
  <c r="C275" i="5"/>
  <c r="F302" i="5"/>
  <c r="D302" i="5"/>
  <c r="H302" i="5"/>
  <c r="I302" i="5"/>
  <c r="J301" i="5" s="1"/>
  <c r="B304" i="5"/>
  <c r="C303" i="5"/>
  <c r="F329" i="5"/>
  <c r="D329" i="5"/>
  <c r="H329" i="5"/>
  <c r="I329" i="5"/>
  <c r="J328" i="5" s="1"/>
  <c r="B331" i="5"/>
  <c r="C330" i="5"/>
  <c r="F355" i="5"/>
  <c r="D355" i="5"/>
  <c r="H355" i="5"/>
  <c r="I355" i="5"/>
  <c r="J354" i="5" s="1"/>
  <c r="B357" i="5"/>
  <c r="C356" i="5"/>
  <c r="F380" i="5"/>
  <c r="D380" i="5"/>
  <c r="H380" i="5"/>
  <c r="I380" i="5"/>
  <c r="J379" i="5" s="1"/>
  <c r="B382" i="5"/>
  <c r="C381" i="5"/>
  <c r="F404" i="5"/>
  <c r="D404" i="5"/>
  <c r="H404" i="5"/>
  <c r="I404" i="5"/>
  <c r="J403" i="5" s="1"/>
  <c r="B406" i="5"/>
  <c r="C405" i="5"/>
  <c r="F427" i="5"/>
  <c r="D427" i="5"/>
  <c r="H427" i="5"/>
  <c r="I427" i="5"/>
  <c r="J426" i="5" s="1"/>
  <c r="B429" i="5"/>
  <c r="C428" i="5"/>
  <c r="F449" i="5"/>
  <c r="D449" i="5"/>
  <c r="H449" i="5"/>
  <c r="I449" i="5"/>
  <c r="J448" i="5" s="1"/>
  <c r="B451" i="5"/>
  <c r="C450" i="5"/>
  <c r="F470" i="5"/>
  <c r="D470" i="5"/>
  <c r="H470" i="5"/>
  <c r="I470" i="5"/>
  <c r="J469" i="5" s="1"/>
  <c r="B472" i="5"/>
  <c r="C471" i="5"/>
  <c r="F490" i="5"/>
  <c r="D490" i="5"/>
  <c r="H490" i="5"/>
  <c r="I490" i="5"/>
  <c r="J489" i="5" s="1"/>
  <c r="B492" i="5"/>
  <c r="C491" i="5"/>
  <c r="F509" i="5"/>
  <c r="D509" i="5"/>
  <c r="H509" i="5"/>
  <c r="I509" i="5"/>
  <c r="J508" i="5" s="1"/>
  <c r="B511" i="5"/>
  <c r="C510" i="5"/>
  <c r="F527" i="5"/>
  <c r="D527" i="5"/>
  <c r="H527" i="5"/>
  <c r="I527" i="5"/>
  <c r="J526" i="5" s="1"/>
  <c r="B529" i="5"/>
  <c r="C528" i="5"/>
  <c r="F14" i="6"/>
  <c r="D14" i="6"/>
  <c r="H14" i="6"/>
  <c r="I14" i="6"/>
  <c r="B16" i="6"/>
  <c r="C15" i="6"/>
  <c r="F15" i="6" l="1"/>
  <c r="D15" i="6"/>
  <c r="H15" i="6" s="1"/>
  <c r="I15" i="6"/>
  <c r="B17" i="6"/>
  <c r="C16" i="6"/>
  <c r="F528" i="5"/>
  <c r="D528" i="5"/>
  <c r="H528" i="5" s="1"/>
  <c r="I528" i="5"/>
  <c r="J527" i="5" s="1"/>
  <c r="B530" i="5"/>
  <c r="C529" i="5"/>
  <c r="F510" i="5"/>
  <c r="D510" i="5"/>
  <c r="H510" i="5" s="1"/>
  <c r="I510" i="5"/>
  <c r="J509" i="5" s="1"/>
  <c r="B512" i="5"/>
  <c r="C511" i="5"/>
  <c r="F491" i="5"/>
  <c r="D491" i="5"/>
  <c r="H491" i="5" s="1"/>
  <c r="I491" i="5"/>
  <c r="J490" i="5" s="1"/>
  <c r="B493" i="5"/>
  <c r="C492" i="5"/>
  <c r="F471" i="5"/>
  <c r="D471" i="5"/>
  <c r="H471" i="5" s="1"/>
  <c r="I471" i="5"/>
  <c r="J470" i="5" s="1"/>
  <c r="B473" i="5"/>
  <c r="C472" i="5"/>
  <c r="F450" i="5"/>
  <c r="D450" i="5"/>
  <c r="H450" i="5" s="1"/>
  <c r="I450" i="5"/>
  <c r="J449" i="5" s="1"/>
  <c r="B452" i="5"/>
  <c r="C451" i="5"/>
  <c r="F428" i="5"/>
  <c r="D428" i="5"/>
  <c r="H428" i="5" s="1"/>
  <c r="I428" i="5"/>
  <c r="J427" i="5" s="1"/>
  <c r="B430" i="5"/>
  <c r="C429" i="5"/>
  <c r="F405" i="5"/>
  <c r="D405" i="5"/>
  <c r="H405" i="5" s="1"/>
  <c r="I405" i="5"/>
  <c r="J404" i="5" s="1"/>
  <c r="B407" i="5"/>
  <c r="C406" i="5"/>
  <c r="F381" i="5"/>
  <c r="D381" i="5"/>
  <c r="H381" i="5" s="1"/>
  <c r="I381" i="5"/>
  <c r="J380" i="5" s="1"/>
  <c r="B383" i="5"/>
  <c r="C382" i="5"/>
  <c r="F356" i="5"/>
  <c r="D356" i="5"/>
  <c r="H356" i="5" s="1"/>
  <c r="I356" i="5"/>
  <c r="J355" i="5" s="1"/>
  <c r="B358" i="5"/>
  <c r="C357" i="5"/>
  <c r="F330" i="5"/>
  <c r="D330" i="5"/>
  <c r="H330" i="5" s="1"/>
  <c r="I330" i="5"/>
  <c r="J329" i="5" s="1"/>
  <c r="B332" i="5"/>
  <c r="C331" i="5"/>
  <c r="F303" i="5"/>
  <c r="D303" i="5"/>
  <c r="H303" i="5" s="1"/>
  <c r="I303" i="5"/>
  <c r="J302" i="5" s="1"/>
  <c r="B305" i="5"/>
  <c r="C304" i="5"/>
  <c r="F275" i="5"/>
  <c r="D275" i="5"/>
  <c r="H275" i="5" s="1"/>
  <c r="I275" i="5"/>
  <c r="J274" i="5" s="1"/>
  <c r="B277" i="5"/>
  <c r="C276" i="5"/>
  <c r="F246" i="5"/>
  <c r="D246" i="5"/>
  <c r="H246" i="5" s="1"/>
  <c r="I246" i="5"/>
  <c r="J245" i="5" s="1"/>
  <c r="B248" i="5"/>
  <c r="C247" i="5"/>
  <c r="F216" i="5"/>
  <c r="D216" i="5"/>
  <c r="H216" i="5" s="1"/>
  <c r="I216" i="5"/>
  <c r="J215" i="5" s="1"/>
  <c r="B218" i="5"/>
  <c r="C217" i="5"/>
  <c r="F185" i="5"/>
  <c r="D185" i="5"/>
  <c r="H185" i="5" s="1"/>
  <c r="I185" i="5"/>
  <c r="J184" i="5" s="1"/>
  <c r="B187" i="5"/>
  <c r="C186" i="5"/>
  <c r="F153" i="5"/>
  <c r="D153" i="5"/>
  <c r="H153" i="5" s="1"/>
  <c r="I153" i="5"/>
  <c r="J152" i="5" s="1"/>
  <c r="B155" i="5"/>
  <c r="C154" i="5"/>
  <c r="F120" i="5"/>
  <c r="D120" i="5"/>
  <c r="H120" i="5" s="1"/>
  <c r="I120" i="5"/>
  <c r="J119" i="5" s="1"/>
  <c r="B122" i="5"/>
  <c r="C121" i="5"/>
  <c r="F86" i="5"/>
  <c r="D86" i="5"/>
  <c r="H86" i="5" s="1"/>
  <c r="I86" i="5"/>
  <c r="J85" i="5" s="1"/>
  <c r="B88" i="5"/>
  <c r="C87" i="5"/>
  <c r="F51" i="5"/>
  <c r="D51" i="5"/>
  <c r="H51" i="5" s="1"/>
  <c r="I51" i="5"/>
  <c r="J50" i="5" s="1"/>
  <c r="B53" i="5"/>
  <c r="C52" i="5"/>
  <c r="F15" i="5"/>
  <c r="D15" i="5"/>
  <c r="H15" i="5" s="1"/>
  <c r="I15" i="5"/>
  <c r="J14" i="5" s="1"/>
  <c r="B17" i="5"/>
  <c r="C16" i="5"/>
  <c r="F908" i="4"/>
  <c r="D908" i="4"/>
  <c r="H908" i="4" s="1"/>
  <c r="I908" i="4"/>
  <c r="J907" i="4" s="1"/>
  <c r="B910" i="4"/>
  <c r="C909" i="4"/>
  <c r="F870" i="4"/>
  <c r="D870" i="4"/>
  <c r="H870" i="4" s="1"/>
  <c r="I870" i="4"/>
  <c r="J869" i="4" s="1"/>
  <c r="B872" i="4"/>
  <c r="C871" i="4"/>
  <c r="F831" i="4"/>
  <c r="D831" i="4"/>
  <c r="H831" i="4" s="1"/>
  <c r="I831" i="4"/>
  <c r="J830" i="4" s="1"/>
  <c r="B833" i="4"/>
  <c r="C832" i="4"/>
  <c r="F791" i="4"/>
  <c r="D791" i="4"/>
  <c r="H791" i="4" s="1"/>
  <c r="I791" i="4"/>
  <c r="J790" i="4" s="1"/>
  <c r="B793" i="4"/>
  <c r="C792" i="4"/>
  <c r="F750" i="4"/>
  <c r="D750" i="4"/>
  <c r="H750" i="4" s="1"/>
  <c r="I750" i="4"/>
  <c r="J749" i="4" s="1"/>
  <c r="B752" i="4"/>
  <c r="C751" i="4"/>
  <c r="F708" i="4"/>
  <c r="D708" i="4"/>
  <c r="H708" i="4" s="1"/>
  <c r="I708" i="4"/>
  <c r="J707" i="4" s="1"/>
  <c r="B710" i="4"/>
  <c r="C709" i="4"/>
  <c r="F665" i="4"/>
  <c r="D665" i="4"/>
  <c r="H665" i="4" s="1"/>
  <c r="I665" i="4"/>
  <c r="J664" i="4" s="1"/>
  <c r="B667" i="4"/>
  <c r="C666" i="4"/>
  <c r="F621" i="4"/>
  <c r="D621" i="4"/>
  <c r="H621" i="4" s="1"/>
  <c r="I621" i="4"/>
  <c r="J620" i="4" s="1"/>
  <c r="B623" i="4"/>
  <c r="C622" i="4"/>
  <c r="F576" i="4"/>
  <c r="D576" i="4"/>
  <c r="H576" i="4" s="1"/>
  <c r="I576" i="4"/>
  <c r="J575" i="4" s="1"/>
  <c r="B578" i="4"/>
  <c r="C577" i="4"/>
  <c r="I530" i="4"/>
  <c r="J529" i="4" s="1"/>
  <c r="H530" i="4"/>
  <c r="C532" i="4"/>
  <c r="F531" i="4"/>
  <c r="D531" i="4"/>
  <c r="B532" i="4"/>
  <c r="I531" i="4"/>
  <c r="J530" i="4" s="1"/>
  <c r="H531" i="4"/>
  <c r="F483" i="4"/>
  <c r="D483" i="4"/>
  <c r="H483" i="4" s="1"/>
  <c r="I483" i="4"/>
  <c r="J482" i="4" s="1"/>
  <c r="B485" i="4"/>
  <c r="C484" i="4"/>
  <c r="F435" i="4"/>
  <c r="D435" i="4"/>
  <c r="H435" i="4" s="1"/>
  <c r="I435" i="4"/>
  <c r="J434" i="4" s="1"/>
  <c r="B437" i="4"/>
  <c r="C436" i="4"/>
  <c r="F386" i="4"/>
  <c r="D386" i="4"/>
  <c r="H386" i="4" s="1"/>
  <c r="I386" i="4"/>
  <c r="J385" i="4" s="1"/>
  <c r="B388" i="4"/>
  <c r="C387" i="4"/>
  <c r="F336" i="4"/>
  <c r="D336" i="4"/>
  <c r="H336" i="4" s="1"/>
  <c r="I336" i="4"/>
  <c r="J335" i="4" s="1"/>
  <c r="B338" i="4"/>
  <c r="C337" i="4"/>
  <c r="F285" i="4"/>
  <c r="D285" i="4"/>
  <c r="H285" i="4" s="1"/>
  <c r="I285" i="4"/>
  <c r="J284" i="4" s="1"/>
  <c r="B287" i="4"/>
  <c r="C286" i="4"/>
  <c r="F233" i="4"/>
  <c r="D233" i="4"/>
  <c r="H233" i="4" s="1"/>
  <c r="I233" i="4"/>
  <c r="J232" i="4" s="1"/>
  <c r="B235" i="4"/>
  <c r="C234" i="4"/>
  <c r="F180" i="4"/>
  <c r="D180" i="4"/>
  <c r="H180" i="4" s="1"/>
  <c r="I180" i="4"/>
  <c r="J179" i="4" s="1"/>
  <c r="B182" i="4"/>
  <c r="C181" i="4"/>
  <c r="F126" i="4"/>
  <c r="D126" i="4"/>
  <c r="H126" i="4" s="1"/>
  <c r="I126" i="4"/>
  <c r="J125" i="4" s="1"/>
  <c r="B128" i="4"/>
  <c r="C127" i="4"/>
  <c r="I71" i="4"/>
  <c r="J70" i="4" s="1"/>
  <c r="H71" i="4"/>
  <c r="C73" i="4"/>
  <c r="F72" i="4"/>
  <c r="D72" i="4"/>
  <c r="B73" i="4"/>
  <c r="I72" i="4"/>
  <c r="J71" i="4" s="1"/>
  <c r="H72" i="4"/>
  <c r="I15" i="4"/>
  <c r="J14" i="4" s="1"/>
  <c r="H15" i="4"/>
  <c r="C17" i="4"/>
  <c r="F16" i="4"/>
  <c r="D16" i="4"/>
  <c r="B17" i="4"/>
  <c r="I16" i="4"/>
  <c r="J15" i="4" s="1"/>
  <c r="H16" i="4"/>
  <c r="I918" i="3"/>
  <c r="J917" i="3" s="1"/>
  <c r="H918" i="3"/>
  <c r="C920" i="3"/>
  <c r="F919" i="3"/>
  <c r="D919" i="3"/>
  <c r="B920" i="3"/>
  <c r="I919" i="3"/>
  <c r="J918" i="3" s="1"/>
  <c r="H919" i="3"/>
  <c r="I860" i="3"/>
  <c r="J859" i="3" s="1"/>
  <c r="H860" i="3"/>
  <c r="C862" i="3"/>
  <c r="F861" i="3"/>
  <c r="D861" i="3"/>
  <c r="B862" i="3"/>
  <c r="I861" i="3"/>
  <c r="J860" i="3" s="1"/>
  <c r="H861" i="3"/>
  <c r="I801" i="3"/>
  <c r="J800" i="3" s="1"/>
  <c r="H801" i="3"/>
  <c r="C803" i="3"/>
  <c r="F802" i="3"/>
  <c r="D802" i="3"/>
  <c r="B803" i="3"/>
  <c r="I802" i="3"/>
  <c r="J801" i="3" s="1"/>
  <c r="H802" i="3"/>
  <c r="I741" i="3"/>
  <c r="J740" i="3" s="1"/>
  <c r="H741" i="3"/>
  <c r="C743" i="3"/>
  <c r="F742" i="3"/>
  <c r="D742" i="3"/>
  <c r="B743" i="3"/>
  <c r="I742" i="3"/>
  <c r="J741" i="3" s="1"/>
  <c r="H742" i="3"/>
  <c r="I680" i="3"/>
  <c r="J679" i="3" s="1"/>
  <c r="H680" i="3"/>
  <c r="C682" i="3"/>
  <c r="F681" i="3"/>
  <c r="D681" i="3"/>
  <c r="B682" i="3"/>
  <c r="I681" i="3"/>
  <c r="J680" i="3" s="1"/>
  <c r="H681" i="3"/>
  <c r="I618" i="3"/>
  <c r="J617" i="3" s="1"/>
  <c r="H618" i="3"/>
  <c r="C620" i="3"/>
  <c r="F619" i="3"/>
  <c r="D619" i="3"/>
  <c r="B620" i="3"/>
  <c r="I619" i="3"/>
  <c r="J618" i="3" s="1"/>
  <c r="H619" i="3"/>
  <c r="I555" i="3"/>
  <c r="J554" i="3" s="1"/>
  <c r="H555" i="3"/>
  <c r="C557" i="3"/>
  <c r="F556" i="3"/>
  <c r="D556" i="3"/>
  <c r="B557" i="3"/>
  <c r="I556" i="3"/>
  <c r="J555" i="3" s="1"/>
  <c r="H556" i="3"/>
  <c r="I491" i="3"/>
  <c r="J490" i="3" s="1"/>
  <c r="H491" i="3"/>
  <c r="C493" i="3"/>
  <c r="F492" i="3"/>
  <c r="D492" i="3"/>
  <c r="B493" i="3"/>
  <c r="I492" i="3"/>
  <c r="J491" i="3" s="1"/>
  <c r="H492" i="3"/>
  <c r="I426" i="3"/>
  <c r="J425" i="3" s="1"/>
  <c r="H426" i="3"/>
  <c r="C428" i="3"/>
  <c r="F427" i="3"/>
  <c r="D427" i="3"/>
  <c r="B428" i="3"/>
  <c r="I427" i="3"/>
  <c r="J426" i="3" s="1"/>
  <c r="H427" i="3"/>
  <c r="I360" i="3"/>
  <c r="J359" i="3" s="1"/>
  <c r="H360" i="3"/>
  <c r="C362" i="3"/>
  <c r="F361" i="3"/>
  <c r="D361" i="3"/>
  <c r="B362" i="3"/>
  <c r="I361" i="3"/>
  <c r="J360" i="3" s="1"/>
  <c r="H361" i="3"/>
  <c r="I293" i="3"/>
  <c r="J292" i="3" s="1"/>
  <c r="H293" i="3"/>
  <c r="C295" i="3"/>
  <c r="F294" i="3"/>
  <c r="D294" i="3"/>
  <c r="B295" i="3"/>
  <c r="I294" i="3"/>
  <c r="J293" i="3" s="1"/>
  <c r="H294" i="3"/>
  <c r="I225" i="3"/>
  <c r="J224" i="3" s="1"/>
  <c r="H225" i="3"/>
  <c r="C227" i="3"/>
  <c r="F226" i="3"/>
  <c r="D226" i="3"/>
  <c r="B227" i="3"/>
  <c r="I226" i="3"/>
  <c r="J225" i="3" s="1"/>
  <c r="H226" i="3"/>
  <c r="I156" i="3"/>
  <c r="J155" i="3" s="1"/>
  <c r="H156" i="3"/>
  <c r="C158" i="3"/>
  <c r="F157" i="3"/>
  <c r="D157" i="3"/>
  <c r="B158" i="3"/>
  <c r="I157" i="3"/>
  <c r="J156" i="3" s="1"/>
  <c r="H157" i="3"/>
  <c r="I86" i="3"/>
  <c r="J85" i="3" s="1"/>
  <c r="H86" i="3"/>
  <c r="C88" i="3"/>
  <c r="F87" i="3"/>
  <c r="D87" i="3"/>
  <c r="B88" i="3"/>
  <c r="I87" i="3"/>
  <c r="J86" i="3" s="1"/>
  <c r="H87" i="3"/>
  <c r="I15" i="3"/>
  <c r="J14" i="3" s="1"/>
  <c r="H15" i="3"/>
  <c r="C17" i="3"/>
  <c r="F16" i="3"/>
  <c r="D16" i="3"/>
  <c r="B17" i="3"/>
  <c r="I16" i="3"/>
  <c r="J15" i="3" s="1"/>
  <c r="H16" i="3"/>
  <c r="I790" i="2"/>
  <c r="J789" i="2" s="1"/>
  <c r="H790" i="2"/>
  <c r="C792" i="2"/>
  <c r="F791" i="2"/>
  <c r="D791" i="2"/>
  <c r="B792" i="2"/>
  <c r="I791" i="2"/>
  <c r="J790" i="2" s="1"/>
  <c r="H791" i="2"/>
  <c r="I717" i="2"/>
  <c r="J716" i="2" s="1"/>
  <c r="H717" i="2"/>
  <c r="C719" i="2"/>
  <c r="F718" i="2"/>
  <c r="B719" i="2"/>
  <c r="I718" i="2"/>
  <c r="J717" i="2" s="1"/>
  <c r="H718" i="2"/>
  <c r="I643" i="2"/>
  <c r="J642" i="2" s="1"/>
  <c r="H643" i="2"/>
  <c r="C645" i="2"/>
  <c r="F644" i="2"/>
  <c r="B645" i="2"/>
  <c r="I644" i="2"/>
  <c r="J643" i="2" s="1"/>
  <c r="H644" i="2"/>
  <c r="I568" i="2"/>
  <c r="J567" i="2" s="1"/>
  <c r="H568" i="2"/>
  <c r="C570" i="2"/>
  <c r="F569" i="2"/>
  <c r="B570" i="2"/>
  <c r="I569" i="2"/>
  <c r="J568" i="2" s="1"/>
  <c r="H569" i="2"/>
  <c r="I492" i="2"/>
  <c r="J491" i="2" s="1"/>
  <c r="H492" i="2"/>
  <c r="C494" i="2"/>
  <c r="F493" i="2"/>
  <c r="D493" i="2"/>
  <c r="B494" i="2"/>
  <c r="I493" i="2"/>
  <c r="J492" i="2" s="1"/>
  <c r="H493" i="2"/>
  <c r="I415" i="2"/>
  <c r="J414" i="2" s="1"/>
  <c r="H415" i="2"/>
  <c r="C417" i="2"/>
  <c r="F416" i="2"/>
  <c r="D416" i="2"/>
  <c r="B417" i="2"/>
  <c r="I416" i="2"/>
  <c r="J415" i="2" s="1"/>
  <c r="H416" i="2"/>
  <c r="I337" i="2"/>
  <c r="J336" i="2" s="1"/>
  <c r="H337" i="2"/>
  <c r="C339" i="2"/>
  <c r="F338" i="2"/>
  <c r="D338" i="2"/>
  <c r="B339" i="2"/>
  <c r="I338" i="2"/>
  <c r="J337" i="2" s="1"/>
  <c r="H338" i="2"/>
  <c r="I258" i="2"/>
  <c r="J257" i="2" s="1"/>
  <c r="H258" i="2"/>
  <c r="C260" i="2"/>
  <c r="F259" i="2"/>
  <c r="D259" i="2"/>
  <c r="B260" i="2"/>
  <c r="I259" i="2"/>
  <c r="J258" i="2" s="1"/>
  <c r="H259" i="2"/>
  <c r="I178" i="2"/>
  <c r="J177" i="2" s="1"/>
  <c r="H178" i="2"/>
  <c r="C180" i="2"/>
  <c r="F179" i="2"/>
  <c r="D179" i="2"/>
  <c r="B180" i="2"/>
  <c r="I179" i="2"/>
  <c r="J178" i="2" s="1"/>
  <c r="H179" i="2"/>
  <c r="I97" i="2"/>
  <c r="J96" i="2" s="1"/>
  <c r="H97" i="2"/>
  <c r="C99" i="2"/>
  <c r="F98" i="2"/>
  <c r="D98" i="2"/>
  <c r="B99" i="2"/>
  <c r="I98" i="2"/>
  <c r="J97" i="2" s="1"/>
  <c r="H98" i="2"/>
  <c r="I15" i="2"/>
  <c r="J14" i="2" s="1"/>
  <c r="H15" i="2"/>
  <c r="C17" i="2"/>
  <c r="F16" i="2"/>
  <c r="D16" i="2"/>
  <c r="B17" i="2"/>
  <c r="I16" i="2"/>
  <c r="J15" i="2" s="1"/>
  <c r="H16" i="2"/>
  <c r="B18" i="2" l="1"/>
  <c r="C18" i="2"/>
  <c r="F17" i="2"/>
  <c r="D17" i="2"/>
  <c r="B100" i="2"/>
  <c r="C100" i="2"/>
  <c r="F99" i="2"/>
  <c r="D99" i="2"/>
  <c r="B181" i="2"/>
  <c r="C181" i="2"/>
  <c r="F180" i="2"/>
  <c r="D180" i="2"/>
  <c r="B261" i="2"/>
  <c r="C261" i="2"/>
  <c r="F260" i="2"/>
  <c r="D260" i="2"/>
  <c r="B340" i="2"/>
  <c r="C340" i="2"/>
  <c r="F339" i="2"/>
  <c r="D339" i="2"/>
  <c r="B418" i="2"/>
  <c r="C418" i="2"/>
  <c r="F417" i="2"/>
  <c r="D417" i="2"/>
  <c r="B495" i="2"/>
  <c r="C495" i="2"/>
  <c r="F494" i="2"/>
  <c r="D494" i="2"/>
  <c r="B571" i="2"/>
  <c r="C571" i="2"/>
  <c r="F570" i="2"/>
  <c r="B646" i="2"/>
  <c r="C646" i="2"/>
  <c r="F645" i="2"/>
  <c r="B720" i="2"/>
  <c r="C720" i="2"/>
  <c r="F719" i="2"/>
  <c r="B793" i="2"/>
  <c r="C793" i="2"/>
  <c r="F792" i="2"/>
  <c r="D792" i="2"/>
  <c r="B18" i="3"/>
  <c r="C18" i="3"/>
  <c r="F17" i="3"/>
  <c r="D17" i="3"/>
  <c r="B89" i="3"/>
  <c r="C89" i="3"/>
  <c r="F88" i="3"/>
  <c r="D88" i="3"/>
  <c r="B159" i="3"/>
  <c r="C159" i="3"/>
  <c r="F158" i="3"/>
  <c r="D158" i="3"/>
  <c r="B228" i="3"/>
  <c r="C228" i="3"/>
  <c r="F227" i="3"/>
  <c r="D227" i="3"/>
  <c r="B296" i="3"/>
  <c r="C296" i="3"/>
  <c r="F295" i="3"/>
  <c r="D295" i="3"/>
  <c r="B363" i="3"/>
  <c r="C363" i="3"/>
  <c r="F362" i="3"/>
  <c r="D362" i="3"/>
  <c r="B429" i="3"/>
  <c r="C429" i="3"/>
  <c r="F428" i="3"/>
  <c r="D428" i="3"/>
  <c r="B494" i="3"/>
  <c r="C494" i="3"/>
  <c r="F493" i="3"/>
  <c r="D493" i="3"/>
  <c r="B558" i="3"/>
  <c r="C558" i="3"/>
  <c r="F557" i="3"/>
  <c r="D557" i="3"/>
  <c r="B621" i="3"/>
  <c r="C621" i="3"/>
  <c r="F620" i="3"/>
  <c r="D620" i="3"/>
  <c r="B683" i="3"/>
  <c r="C683" i="3"/>
  <c r="F682" i="3"/>
  <c r="D682" i="3"/>
  <c r="B744" i="3"/>
  <c r="C744" i="3"/>
  <c r="F743" i="3"/>
  <c r="D743" i="3"/>
  <c r="B804" i="3"/>
  <c r="C804" i="3"/>
  <c r="F803" i="3"/>
  <c r="D803" i="3"/>
  <c r="B863" i="3"/>
  <c r="C863" i="3"/>
  <c r="F862" i="3"/>
  <c r="D862" i="3"/>
  <c r="B921" i="3"/>
  <c r="C921" i="3"/>
  <c r="F920" i="3"/>
  <c r="D920" i="3"/>
  <c r="B18" i="4"/>
  <c r="C18" i="4"/>
  <c r="F17" i="4"/>
  <c r="D17" i="4"/>
  <c r="B74" i="4"/>
  <c r="C74" i="4"/>
  <c r="F73" i="4"/>
  <c r="D73" i="4"/>
  <c r="F127" i="4"/>
  <c r="D127" i="4"/>
  <c r="H127" i="4" s="1"/>
  <c r="I127" i="4"/>
  <c r="J126" i="4" s="1"/>
  <c r="B129" i="4"/>
  <c r="C128" i="4"/>
  <c r="F181" i="4"/>
  <c r="D181" i="4"/>
  <c r="H181" i="4" s="1"/>
  <c r="I181" i="4"/>
  <c r="J180" i="4" s="1"/>
  <c r="B183" i="4"/>
  <c r="C182" i="4"/>
  <c r="F234" i="4"/>
  <c r="D234" i="4"/>
  <c r="H234" i="4" s="1"/>
  <c r="I234" i="4"/>
  <c r="J233" i="4" s="1"/>
  <c r="B236" i="4"/>
  <c r="C235" i="4"/>
  <c r="F286" i="4"/>
  <c r="D286" i="4"/>
  <c r="H286" i="4" s="1"/>
  <c r="I286" i="4"/>
  <c r="J285" i="4" s="1"/>
  <c r="B288" i="4"/>
  <c r="C287" i="4"/>
  <c r="F337" i="4"/>
  <c r="D337" i="4"/>
  <c r="H337" i="4" s="1"/>
  <c r="I337" i="4"/>
  <c r="J336" i="4" s="1"/>
  <c r="B339" i="4"/>
  <c r="C338" i="4"/>
  <c r="F387" i="4"/>
  <c r="D387" i="4"/>
  <c r="H387" i="4" s="1"/>
  <c r="I387" i="4"/>
  <c r="J386" i="4" s="1"/>
  <c r="B389" i="4"/>
  <c r="C388" i="4"/>
  <c r="F436" i="4"/>
  <c r="D436" i="4"/>
  <c r="H436" i="4" s="1"/>
  <c r="I436" i="4"/>
  <c r="J435" i="4" s="1"/>
  <c r="B438" i="4"/>
  <c r="C437" i="4"/>
  <c r="F484" i="4"/>
  <c r="D484" i="4"/>
  <c r="H484" i="4" s="1"/>
  <c r="I484" i="4"/>
  <c r="J483" i="4" s="1"/>
  <c r="B486" i="4"/>
  <c r="C485" i="4"/>
  <c r="B533" i="4"/>
  <c r="C533" i="4"/>
  <c r="F532" i="4"/>
  <c r="D532" i="4"/>
  <c r="F577" i="4"/>
  <c r="D577" i="4"/>
  <c r="H577" i="4" s="1"/>
  <c r="I577" i="4"/>
  <c r="J576" i="4" s="1"/>
  <c r="B579" i="4"/>
  <c r="C578" i="4"/>
  <c r="F622" i="4"/>
  <c r="D622" i="4"/>
  <c r="H622" i="4" s="1"/>
  <c r="I622" i="4"/>
  <c r="J621" i="4" s="1"/>
  <c r="B624" i="4"/>
  <c r="C623" i="4"/>
  <c r="F666" i="4"/>
  <c r="D666" i="4"/>
  <c r="H666" i="4" s="1"/>
  <c r="I666" i="4"/>
  <c r="J665" i="4" s="1"/>
  <c r="B668" i="4"/>
  <c r="C667" i="4"/>
  <c r="F709" i="4"/>
  <c r="D709" i="4"/>
  <c r="H709" i="4" s="1"/>
  <c r="I709" i="4"/>
  <c r="J708" i="4" s="1"/>
  <c r="B711" i="4"/>
  <c r="C710" i="4"/>
  <c r="F751" i="4"/>
  <c r="D751" i="4"/>
  <c r="H751" i="4" s="1"/>
  <c r="I751" i="4"/>
  <c r="J750" i="4" s="1"/>
  <c r="B753" i="4"/>
  <c r="C752" i="4"/>
  <c r="F792" i="4"/>
  <c r="D792" i="4"/>
  <c r="H792" i="4" s="1"/>
  <c r="I792" i="4"/>
  <c r="J791" i="4" s="1"/>
  <c r="B794" i="4"/>
  <c r="C793" i="4"/>
  <c r="F832" i="4"/>
  <c r="D832" i="4"/>
  <c r="H832" i="4" s="1"/>
  <c r="I832" i="4"/>
  <c r="J831" i="4" s="1"/>
  <c r="B834" i="4"/>
  <c r="C833" i="4"/>
  <c r="F871" i="4"/>
  <c r="D871" i="4"/>
  <c r="H871" i="4" s="1"/>
  <c r="I871" i="4"/>
  <c r="J870" i="4" s="1"/>
  <c r="B873" i="4"/>
  <c r="C872" i="4"/>
  <c r="F909" i="4"/>
  <c r="D909" i="4"/>
  <c r="H909" i="4" s="1"/>
  <c r="I909" i="4"/>
  <c r="J908" i="4" s="1"/>
  <c r="B911" i="4"/>
  <c r="C910" i="4"/>
  <c r="F16" i="5"/>
  <c r="D16" i="5"/>
  <c r="H16" i="5" s="1"/>
  <c r="I16" i="5"/>
  <c r="J15" i="5" s="1"/>
  <c r="B18" i="5"/>
  <c r="C17" i="5"/>
  <c r="F52" i="5"/>
  <c r="D52" i="5"/>
  <c r="H52" i="5" s="1"/>
  <c r="I52" i="5"/>
  <c r="J51" i="5" s="1"/>
  <c r="B54" i="5"/>
  <c r="C53" i="5"/>
  <c r="F87" i="5"/>
  <c r="D87" i="5"/>
  <c r="H87" i="5" s="1"/>
  <c r="I87" i="5"/>
  <c r="J86" i="5" s="1"/>
  <c r="B89" i="5"/>
  <c r="C88" i="5"/>
  <c r="F121" i="5"/>
  <c r="D121" i="5"/>
  <c r="H121" i="5" s="1"/>
  <c r="I121" i="5"/>
  <c r="J120" i="5" s="1"/>
  <c r="B123" i="5"/>
  <c r="C122" i="5"/>
  <c r="F154" i="5"/>
  <c r="D154" i="5"/>
  <c r="H154" i="5" s="1"/>
  <c r="I154" i="5"/>
  <c r="J153" i="5" s="1"/>
  <c r="B156" i="5"/>
  <c r="C155" i="5"/>
  <c r="F186" i="5"/>
  <c r="D186" i="5"/>
  <c r="H186" i="5" s="1"/>
  <c r="I186" i="5"/>
  <c r="J185" i="5" s="1"/>
  <c r="B188" i="5"/>
  <c r="C187" i="5"/>
  <c r="F217" i="5"/>
  <c r="D217" i="5"/>
  <c r="H217" i="5" s="1"/>
  <c r="I217" i="5"/>
  <c r="J216" i="5" s="1"/>
  <c r="B219" i="5"/>
  <c r="C218" i="5"/>
  <c r="F247" i="5"/>
  <c r="D247" i="5"/>
  <c r="H247" i="5" s="1"/>
  <c r="I247" i="5"/>
  <c r="J246" i="5" s="1"/>
  <c r="B249" i="5"/>
  <c r="C248" i="5"/>
  <c r="F276" i="5"/>
  <c r="D276" i="5"/>
  <c r="H276" i="5" s="1"/>
  <c r="I276" i="5"/>
  <c r="J275" i="5" s="1"/>
  <c r="B278" i="5"/>
  <c r="C277" i="5"/>
  <c r="F304" i="5"/>
  <c r="D304" i="5"/>
  <c r="H304" i="5" s="1"/>
  <c r="I304" i="5"/>
  <c r="J303" i="5" s="1"/>
  <c r="B306" i="5"/>
  <c r="C305" i="5"/>
  <c r="F331" i="5"/>
  <c r="D331" i="5"/>
  <c r="H331" i="5" s="1"/>
  <c r="I331" i="5"/>
  <c r="J330" i="5" s="1"/>
  <c r="B333" i="5"/>
  <c r="C332" i="5"/>
  <c r="F357" i="5"/>
  <c r="D357" i="5"/>
  <c r="H357" i="5" s="1"/>
  <c r="I357" i="5"/>
  <c r="J356" i="5" s="1"/>
  <c r="B359" i="5"/>
  <c r="C358" i="5"/>
  <c r="F382" i="5"/>
  <c r="D382" i="5"/>
  <c r="H382" i="5" s="1"/>
  <c r="I382" i="5"/>
  <c r="J381" i="5" s="1"/>
  <c r="B384" i="5"/>
  <c r="C383" i="5"/>
  <c r="F406" i="5"/>
  <c r="D406" i="5"/>
  <c r="H406" i="5" s="1"/>
  <c r="I406" i="5"/>
  <c r="J405" i="5" s="1"/>
  <c r="B408" i="5"/>
  <c r="C407" i="5"/>
  <c r="F429" i="5"/>
  <c r="D429" i="5"/>
  <c r="H429" i="5" s="1"/>
  <c r="I429" i="5"/>
  <c r="J428" i="5" s="1"/>
  <c r="B431" i="5"/>
  <c r="C430" i="5"/>
  <c r="F451" i="5"/>
  <c r="D451" i="5"/>
  <c r="H451" i="5" s="1"/>
  <c r="I451" i="5"/>
  <c r="J450" i="5" s="1"/>
  <c r="B453" i="5"/>
  <c r="C452" i="5"/>
  <c r="F472" i="5"/>
  <c r="D472" i="5"/>
  <c r="H472" i="5" s="1"/>
  <c r="I472" i="5"/>
  <c r="J471" i="5" s="1"/>
  <c r="B474" i="5"/>
  <c r="C473" i="5"/>
  <c r="F492" i="5"/>
  <c r="D492" i="5"/>
  <c r="H492" i="5" s="1"/>
  <c r="I492" i="5"/>
  <c r="J491" i="5" s="1"/>
  <c r="B494" i="5"/>
  <c r="C493" i="5"/>
  <c r="F511" i="5"/>
  <c r="D511" i="5"/>
  <c r="H511" i="5" s="1"/>
  <c r="I511" i="5"/>
  <c r="J510" i="5" s="1"/>
  <c r="B513" i="5"/>
  <c r="C512" i="5"/>
  <c r="F529" i="5"/>
  <c r="D529" i="5"/>
  <c r="H529" i="5" s="1"/>
  <c r="I529" i="5"/>
  <c r="J528" i="5" s="1"/>
  <c r="B531" i="5"/>
  <c r="C530" i="5"/>
  <c r="F16" i="6"/>
  <c r="D16" i="6"/>
  <c r="H16" i="6" s="1"/>
  <c r="I16" i="6"/>
  <c r="B18" i="6"/>
  <c r="C17" i="6"/>
  <c r="F17" i="6" l="1"/>
  <c r="D17" i="6"/>
  <c r="H17" i="6" s="1"/>
  <c r="I17" i="6"/>
  <c r="B19" i="6"/>
  <c r="C18" i="6"/>
  <c r="F530" i="5"/>
  <c r="D530" i="5"/>
  <c r="H530" i="5" s="1"/>
  <c r="I530" i="5"/>
  <c r="J529" i="5" s="1"/>
  <c r="B532" i="5"/>
  <c r="C531" i="5"/>
  <c r="F512" i="5"/>
  <c r="D512" i="5"/>
  <c r="H512" i="5" s="1"/>
  <c r="I512" i="5"/>
  <c r="J511" i="5" s="1"/>
  <c r="B514" i="5"/>
  <c r="C513" i="5"/>
  <c r="F493" i="5"/>
  <c r="D493" i="5"/>
  <c r="H493" i="5" s="1"/>
  <c r="I493" i="5"/>
  <c r="J492" i="5" s="1"/>
  <c r="B495" i="5"/>
  <c r="C494" i="5"/>
  <c r="F473" i="5"/>
  <c r="D473" i="5"/>
  <c r="H473" i="5" s="1"/>
  <c r="I473" i="5"/>
  <c r="J472" i="5" s="1"/>
  <c r="B475" i="5"/>
  <c r="C474" i="5"/>
  <c r="F452" i="5"/>
  <c r="D452" i="5"/>
  <c r="H452" i="5" s="1"/>
  <c r="I452" i="5"/>
  <c r="J451" i="5" s="1"/>
  <c r="B454" i="5"/>
  <c r="C453" i="5"/>
  <c r="F430" i="5"/>
  <c r="D430" i="5"/>
  <c r="H430" i="5" s="1"/>
  <c r="I430" i="5"/>
  <c r="J429" i="5" s="1"/>
  <c r="B432" i="5"/>
  <c r="C431" i="5"/>
  <c r="F407" i="5"/>
  <c r="D407" i="5"/>
  <c r="H407" i="5" s="1"/>
  <c r="I407" i="5"/>
  <c r="J406" i="5" s="1"/>
  <c r="B409" i="5"/>
  <c r="C408" i="5"/>
  <c r="F383" i="5"/>
  <c r="D383" i="5"/>
  <c r="H383" i="5" s="1"/>
  <c r="I383" i="5"/>
  <c r="J382" i="5" s="1"/>
  <c r="B385" i="5"/>
  <c r="C384" i="5"/>
  <c r="F358" i="5"/>
  <c r="D358" i="5"/>
  <c r="H358" i="5" s="1"/>
  <c r="I358" i="5"/>
  <c r="J357" i="5" s="1"/>
  <c r="B360" i="5"/>
  <c r="C359" i="5"/>
  <c r="F332" i="5"/>
  <c r="D332" i="5"/>
  <c r="H332" i="5" s="1"/>
  <c r="I332" i="5"/>
  <c r="J331" i="5" s="1"/>
  <c r="B334" i="5"/>
  <c r="C333" i="5"/>
  <c r="F305" i="5"/>
  <c r="D305" i="5"/>
  <c r="H305" i="5" s="1"/>
  <c r="I305" i="5"/>
  <c r="J304" i="5" s="1"/>
  <c r="B307" i="5"/>
  <c r="C306" i="5"/>
  <c r="F277" i="5"/>
  <c r="D277" i="5"/>
  <c r="H277" i="5" s="1"/>
  <c r="I277" i="5"/>
  <c r="J276" i="5" s="1"/>
  <c r="B279" i="5"/>
  <c r="C278" i="5"/>
  <c r="F248" i="5"/>
  <c r="D248" i="5"/>
  <c r="H248" i="5" s="1"/>
  <c r="I248" i="5"/>
  <c r="J247" i="5" s="1"/>
  <c r="B250" i="5"/>
  <c r="C249" i="5"/>
  <c r="F218" i="5"/>
  <c r="D218" i="5"/>
  <c r="H218" i="5" s="1"/>
  <c r="I218" i="5"/>
  <c r="J217" i="5" s="1"/>
  <c r="B220" i="5"/>
  <c r="C219" i="5"/>
  <c r="F187" i="5"/>
  <c r="D187" i="5"/>
  <c r="H187" i="5" s="1"/>
  <c r="I187" i="5"/>
  <c r="J186" i="5" s="1"/>
  <c r="B189" i="5"/>
  <c r="C188" i="5"/>
  <c r="F155" i="5"/>
  <c r="D155" i="5"/>
  <c r="H155" i="5" s="1"/>
  <c r="I155" i="5"/>
  <c r="J154" i="5" s="1"/>
  <c r="B157" i="5"/>
  <c r="C156" i="5"/>
  <c r="F122" i="5"/>
  <c r="D122" i="5"/>
  <c r="H122" i="5" s="1"/>
  <c r="I122" i="5"/>
  <c r="J121" i="5" s="1"/>
  <c r="B124" i="5"/>
  <c r="C123" i="5"/>
  <c r="F88" i="5"/>
  <c r="D88" i="5"/>
  <c r="H88" i="5" s="1"/>
  <c r="I88" i="5"/>
  <c r="J87" i="5" s="1"/>
  <c r="B90" i="5"/>
  <c r="C89" i="5"/>
  <c r="F53" i="5"/>
  <c r="D53" i="5"/>
  <c r="H53" i="5" s="1"/>
  <c r="I53" i="5"/>
  <c r="J52" i="5" s="1"/>
  <c r="B55" i="5"/>
  <c r="C54" i="5"/>
  <c r="F17" i="5"/>
  <c r="D17" i="5"/>
  <c r="H17" i="5" s="1"/>
  <c r="I17" i="5"/>
  <c r="J16" i="5" s="1"/>
  <c r="B19" i="5"/>
  <c r="C18" i="5"/>
  <c r="F910" i="4"/>
  <c r="D910" i="4"/>
  <c r="H910" i="4" s="1"/>
  <c r="I910" i="4"/>
  <c r="J909" i="4" s="1"/>
  <c r="B912" i="4"/>
  <c r="C911" i="4"/>
  <c r="F872" i="4"/>
  <c r="D872" i="4"/>
  <c r="H872" i="4" s="1"/>
  <c r="I872" i="4"/>
  <c r="J871" i="4" s="1"/>
  <c r="B874" i="4"/>
  <c r="C873" i="4"/>
  <c r="F833" i="4"/>
  <c r="D833" i="4"/>
  <c r="H833" i="4" s="1"/>
  <c r="I833" i="4"/>
  <c r="J832" i="4" s="1"/>
  <c r="B835" i="4"/>
  <c r="C834" i="4"/>
  <c r="F793" i="4"/>
  <c r="D793" i="4"/>
  <c r="H793" i="4" s="1"/>
  <c r="I793" i="4"/>
  <c r="J792" i="4" s="1"/>
  <c r="B795" i="4"/>
  <c r="C794" i="4"/>
  <c r="F752" i="4"/>
  <c r="D752" i="4"/>
  <c r="H752" i="4" s="1"/>
  <c r="I752" i="4"/>
  <c r="J751" i="4" s="1"/>
  <c r="B754" i="4"/>
  <c r="C753" i="4"/>
  <c r="F710" i="4"/>
  <c r="D710" i="4"/>
  <c r="H710" i="4" s="1"/>
  <c r="I710" i="4"/>
  <c r="J709" i="4" s="1"/>
  <c r="B712" i="4"/>
  <c r="C711" i="4"/>
  <c r="F667" i="4"/>
  <c r="D667" i="4"/>
  <c r="H667" i="4" s="1"/>
  <c r="I667" i="4"/>
  <c r="J666" i="4" s="1"/>
  <c r="B669" i="4"/>
  <c r="C668" i="4"/>
  <c r="F623" i="4"/>
  <c r="D623" i="4"/>
  <c r="H623" i="4" s="1"/>
  <c r="I623" i="4"/>
  <c r="J622" i="4" s="1"/>
  <c r="B625" i="4"/>
  <c r="C624" i="4"/>
  <c r="F578" i="4"/>
  <c r="D578" i="4"/>
  <c r="H578" i="4" s="1"/>
  <c r="I578" i="4"/>
  <c r="J577" i="4" s="1"/>
  <c r="B580" i="4"/>
  <c r="C579" i="4"/>
  <c r="I532" i="4"/>
  <c r="J531" i="4" s="1"/>
  <c r="H532" i="4"/>
  <c r="C534" i="4"/>
  <c r="F533" i="4"/>
  <c r="D533" i="4"/>
  <c r="B534" i="4"/>
  <c r="I533" i="4"/>
  <c r="J532" i="4" s="1"/>
  <c r="H533" i="4"/>
  <c r="F485" i="4"/>
  <c r="D485" i="4"/>
  <c r="H485" i="4" s="1"/>
  <c r="I485" i="4"/>
  <c r="J484" i="4" s="1"/>
  <c r="B487" i="4"/>
  <c r="C486" i="4"/>
  <c r="F437" i="4"/>
  <c r="D437" i="4"/>
  <c r="H437" i="4" s="1"/>
  <c r="I437" i="4"/>
  <c r="J436" i="4" s="1"/>
  <c r="B439" i="4"/>
  <c r="C438" i="4"/>
  <c r="F388" i="4"/>
  <c r="D388" i="4"/>
  <c r="H388" i="4" s="1"/>
  <c r="I388" i="4"/>
  <c r="J387" i="4" s="1"/>
  <c r="B390" i="4"/>
  <c r="C389" i="4"/>
  <c r="F338" i="4"/>
  <c r="D338" i="4"/>
  <c r="H338" i="4" s="1"/>
  <c r="I338" i="4"/>
  <c r="J337" i="4" s="1"/>
  <c r="B340" i="4"/>
  <c r="C339" i="4"/>
  <c r="F287" i="4"/>
  <c r="D287" i="4"/>
  <c r="H287" i="4" s="1"/>
  <c r="I287" i="4"/>
  <c r="J286" i="4" s="1"/>
  <c r="B289" i="4"/>
  <c r="C288" i="4"/>
  <c r="F235" i="4"/>
  <c r="D235" i="4"/>
  <c r="H235" i="4" s="1"/>
  <c r="I235" i="4"/>
  <c r="J234" i="4" s="1"/>
  <c r="B237" i="4"/>
  <c r="C236" i="4"/>
  <c r="F182" i="4"/>
  <c r="D182" i="4"/>
  <c r="H182" i="4" s="1"/>
  <c r="I182" i="4"/>
  <c r="J181" i="4" s="1"/>
  <c r="B184" i="4"/>
  <c r="C183" i="4"/>
  <c r="F128" i="4"/>
  <c r="D128" i="4"/>
  <c r="H128" i="4" s="1"/>
  <c r="I128" i="4"/>
  <c r="J127" i="4" s="1"/>
  <c r="B130" i="4"/>
  <c r="C129" i="4"/>
  <c r="I73" i="4"/>
  <c r="J72" i="4" s="1"/>
  <c r="H73" i="4"/>
  <c r="C75" i="4"/>
  <c r="F74" i="4"/>
  <c r="D74" i="4"/>
  <c r="B75" i="4"/>
  <c r="I74" i="4"/>
  <c r="J73" i="4" s="1"/>
  <c r="H74" i="4"/>
  <c r="I17" i="4"/>
  <c r="J16" i="4" s="1"/>
  <c r="H17" i="4"/>
  <c r="C19" i="4"/>
  <c r="F18" i="4"/>
  <c r="D18" i="4"/>
  <c r="B19" i="4"/>
  <c r="I18" i="4"/>
  <c r="J17" i="4" s="1"/>
  <c r="H18" i="4"/>
  <c r="I920" i="3"/>
  <c r="J919" i="3" s="1"/>
  <c r="H920" i="3"/>
  <c r="C922" i="3"/>
  <c r="F921" i="3"/>
  <c r="D921" i="3"/>
  <c r="B922" i="3"/>
  <c r="I921" i="3"/>
  <c r="J920" i="3" s="1"/>
  <c r="H921" i="3"/>
  <c r="I862" i="3"/>
  <c r="J861" i="3" s="1"/>
  <c r="H862" i="3"/>
  <c r="C864" i="3"/>
  <c r="F863" i="3"/>
  <c r="D863" i="3"/>
  <c r="B864" i="3"/>
  <c r="I863" i="3"/>
  <c r="J862" i="3" s="1"/>
  <c r="H863" i="3"/>
  <c r="I803" i="3"/>
  <c r="J802" i="3" s="1"/>
  <c r="H803" i="3"/>
  <c r="C805" i="3"/>
  <c r="F804" i="3"/>
  <c r="D804" i="3"/>
  <c r="B805" i="3"/>
  <c r="I804" i="3"/>
  <c r="J803" i="3" s="1"/>
  <c r="H804" i="3"/>
  <c r="I743" i="3"/>
  <c r="J742" i="3" s="1"/>
  <c r="H743" i="3"/>
  <c r="C745" i="3"/>
  <c r="F744" i="3"/>
  <c r="D744" i="3"/>
  <c r="B745" i="3"/>
  <c r="I744" i="3"/>
  <c r="J743" i="3" s="1"/>
  <c r="H744" i="3"/>
  <c r="I682" i="3"/>
  <c r="J681" i="3" s="1"/>
  <c r="H682" i="3"/>
  <c r="C684" i="3"/>
  <c r="F683" i="3"/>
  <c r="D683" i="3"/>
  <c r="B684" i="3"/>
  <c r="I683" i="3"/>
  <c r="J682" i="3" s="1"/>
  <c r="H683" i="3"/>
  <c r="I620" i="3"/>
  <c r="J619" i="3" s="1"/>
  <c r="H620" i="3"/>
  <c r="C622" i="3"/>
  <c r="F621" i="3"/>
  <c r="D621" i="3"/>
  <c r="B622" i="3"/>
  <c r="I621" i="3"/>
  <c r="J620" i="3" s="1"/>
  <c r="H621" i="3"/>
  <c r="I557" i="3"/>
  <c r="J556" i="3" s="1"/>
  <c r="H557" i="3"/>
  <c r="C559" i="3"/>
  <c r="F558" i="3"/>
  <c r="D558" i="3"/>
  <c r="B559" i="3"/>
  <c r="I558" i="3"/>
  <c r="J557" i="3" s="1"/>
  <c r="H558" i="3"/>
  <c r="I493" i="3"/>
  <c r="J492" i="3" s="1"/>
  <c r="H493" i="3"/>
  <c r="C495" i="3"/>
  <c r="F494" i="3"/>
  <c r="D494" i="3"/>
  <c r="B495" i="3"/>
  <c r="I494" i="3"/>
  <c r="J493" i="3" s="1"/>
  <c r="H494" i="3"/>
  <c r="I428" i="3"/>
  <c r="J427" i="3" s="1"/>
  <c r="H428" i="3"/>
  <c r="C430" i="3"/>
  <c r="F429" i="3"/>
  <c r="D429" i="3"/>
  <c r="B430" i="3"/>
  <c r="I429" i="3"/>
  <c r="J428" i="3" s="1"/>
  <c r="H429" i="3"/>
  <c r="I362" i="3"/>
  <c r="J361" i="3" s="1"/>
  <c r="H362" i="3"/>
  <c r="C364" i="3"/>
  <c r="F363" i="3"/>
  <c r="D363" i="3"/>
  <c r="B364" i="3"/>
  <c r="I363" i="3"/>
  <c r="J362" i="3" s="1"/>
  <c r="H363" i="3"/>
  <c r="I295" i="3"/>
  <c r="J294" i="3" s="1"/>
  <c r="H295" i="3"/>
  <c r="C297" i="3"/>
  <c r="F296" i="3"/>
  <c r="D296" i="3"/>
  <c r="B297" i="3"/>
  <c r="I296" i="3"/>
  <c r="J295" i="3" s="1"/>
  <c r="H296" i="3"/>
  <c r="I227" i="3"/>
  <c r="J226" i="3" s="1"/>
  <c r="H227" i="3"/>
  <c r="C229" i="3"/>
  <c r="F228" i="3"/>
  <c r="D228" i="3"/>
  <c r="B229" i="3"/>
  <c r="I228" i="3"/>
  <c r="J227" i="3" s="1"/>
  <c r="H228" i="3"/>
  <c r="I158" i="3"/>
  <c r="J157" i="3" s="1"/>
  <c r="H158" i="3"/>
  <c r="C160" i="3"/>
  <c r="F159" i="3"/>
  <c r="D159" i="3"/>
  <c r="B160" i="3"/>
  <c r="I159" i="3"/>
  <c r="J158" i="3" s="1"/>
  <c r="H159" i="3"/>
  <c r="I88" i="3"/>
  <c r="J87" i="3" s="1"/>
  <c r="H88" i="3"/>
  <c r="C90" i="3"/>
  <c r="F89" i="3"/>
  <c r="D89" i="3"/>
  <c r="B90" i="3"/>
  <c r="I89" i="3"/>
  <c r="J88" i="3" s="1"/>
  <c r="H89" i="3"/>
  <c r="I17" i="3"/>
  <c r="J16" i="3" s="1"/>
  <c r="H17" i="3"/>
  <c r="C19" i="3"/>
  <c r="F18" i="3"/>
  <c r="D18" i="3"/>
  <c r="B19" i="3"/>
  <c r="I18" i="3"/>
  <c r="J17" i="3" s="1"/>
  <c r="H18" i="3"/>
  <c r="I792" i="2"/>
  <c r="J791" i="2" s="1"/>
  <c r="H792" i="2"/>
  <c r="C794" i="2"/>
  <c r="F793" i="2"/>
  <c r="D793" i="2"/>
  <c r="B794" i="2"/>
  <c r="I793" i="2"/>
  <c r="J792" i="2" s="1"/>
  <c r="H793" i="2"/>
  <c r="I719" i="2"/>
  <c r="J718" i="2" s="1"/>
  <c r="H719" i="2"/>
  <c r="C721" i="2"/>
  <c r="F720" i="2"/>
  <c r="B721" i="2"/>
  <c r="I720" i="2"/>
  <c r="J719" i="2" s="1"/>
  <c r="H720" i="2"/>
  <c r="I645" i="2"/>
  <c r="J644" i="2" s="1"/>
  <c r="H645" i="2"/>
  <c r="C647" i="2"/>
  <c r="F646" i="2"/>
  <c r="B647" i="2"/>
  <c r="I646" i="2"/>
  <c r="J645" i="2" s="1"/>
  <c r="H646" i="2"/>
  <c r="I570" i="2"/>
  <c r="J569" i="2" s="1"/>
  <c r="H570" i="2"/>
  <c r="C572" i="2"/>
  <c r="F571" i="2"/>
  <c r="B572" i="2"/>
  <c r="I571" i="2"/>
  <c r="J570" i="2" s="1"/>
  <c r="H571" i="2"/>
  <c r="I494" i="2"/>
  <c r="J493" i="2" s="1"/>
  <c r="H494" i="2"/>
  <c r="C496" i="2"/>
  <c r="F495" i="2"/>
  <c r="D495" i="2"/>
  <c r="B496" i="2"/>
  <c r="I495" i="2"/>
  <c r="J494" i="2" s="1"/>
  <c r="H495" i="2"/>
  <c r="I417" i="2"/>
  <c r="J416" i="2" s="1"/>
  <c r="H417" i="2"/>
  <c r="C419" i="2"/>
  <c r="F418" i="2"/>
  <c r="D418" i="2"/>
  <c r="B419" i="2"/>
  <c r="I418" i="2"/>
  <c r="J417" i="2" s="1"/>
  <c r="H418" i="2"/>
  <c r="I339" i="2"/>
  <c r="J338" i="2" s="1"/>
  <c r="H339" i="2"/>
  <c r="C341" i="2"/>
  <c r="F340" i="2"/>
  <c r="D340" i="2"/>
  <c r="B341" i="2"/>
  <c r="I340" i="2"/>
  <c r="J339" i="2" s="1"/>
  <c r="H340" i="2"/>
  <c r="I260" i="2"/>
  <c r="J259" i="2" s="1"/>
  <c r="H260" i="2"/>
  <c r="C262" i="2"/>
  <c r="F261" i="2"/>
  <c r="D261" i="2"/>
  <c r="B262" i="2"/>
  <c r="I261" i="2"/>
  <c r="J260" i="2" s="1"/>
  <c r="H261" i="2"/>
  <c r="I180" i="2"/>
  <c r="J179" i="2" s="1"/>
  <c r="H180" i="2"/>
  <c r="C182" i="2"/>
  <c r="F181" i="2"/>
  <c r="D181" i="2"/>
  <c r="B182" i="2"/>
  <c r="I181" i="2"/>
  <c r="J180" i="2" s="1"/>
  <c r="H181" i="2"/>
  <c r="I99" i="2"/>
  <c r="J98" i="2" s="1"/>
  <c r="H99" i="2"/>
  <c r="C101" i="2"/>
  <c r="F100" i="2"/>
  <c r="D100" i="2"/>
  <c r="B101" i="2"/>
  <c r="I100" i="2"/>
  <c r="J99" i="2" s="1"/>
  <c r="H100" i="2"/>
  <c r="I17" i="2"/>
  <c r="J16" i="2" s="1"/>
  <c r="H17" i="2"/>
  <c r="C19" i="2"/>
  <c r="F18" i="2"/>
  <c r="D18" i="2"/>
  <c r="B19" i="2"/>
  <c r="I18" i="2"/>
  <c r="J17" i="2" s="1"/>
  <c r="H18" i="2"/>
  <c r="B20" i="2" l="1"/>
  <c r="C20" i="2"/>
  <c r="F19" i="2"/>
  <c r="D19" i="2"/>
  <c r="B102" i="2"/>
  <c r="C102" i="2"/>
  <c r="F101" i="2"/>
  <c r="D101" i="2"/>
  <c r="B183" i="2"/>
  <c r="C183" i="2"/>
  <c r="F182" i="2"/>
  <c r="D182" i="2"/>
  <c r="B263" i="2"/>
  <c r="C263" i="2"/>
  <c r="F262" i="2"/>
  <c r="D262" i="2"/>
  <c r="B342" i="2"/>
  <c r="C342" i="2"/>
  <c r="F341" i="2"/>
  <c r="D341" i="2"/>
  <c r="B420" i="2"/>
  <c r="C420" i="2"/>
  <c r="F419" i="2"/>
  <c r="D419" i="2"/>
  <c r="B497" i="2"/>
  <c r="C497" i="2"/>
  <c r="F496" i="2"/>
  <c r="D496" i="2"/>
  <c r="B573" i="2"/>
  <c r="C573" i="2"/>
  <c r="F572" i="2"/>
  <c r="B648" i="2"/>
  <c r="C648" i="2"/>
  <c r="F647" i="2"/>
  <c r="B722" i="2"/>
  <c r="C722" i="2"/>
  <c r="F721" i="2"/>
  <c r="B795" i="2"/>
  <c r="C795" i="2"/>
  <c r="F794" i="2"/>
  <c r="D794" i="2"/>
  <c r="B20" i="3"/>
  <c r="C20" i="3"/>
  <c r="F19" i="3"/>
  <c r="D19" i="3"/>
  <c r="B91" i="3"/>
  <c r="C91" i="3"/>
  <c r="F90" i="3"/>
  <c r="D90" i="3"/>
  <c r="B161" i="3"/>
  <c r="C161" i="3"/>
  <c r="F160" i="3"/>
  <c r="D160" i="3"/>
  <c r="B230" i="3"/>
  <c r="C230" i="3"/>
  <c r="F229" i="3"/>
  <c r="D229" i="3"/>
  <c r="B298" i="3"/>
  <c r="C298" i="3"/>
  <c r="F297" i="3"/>
  <c r="D297" i="3"/>
  <c r="B365" i="3"/>
  <c r="C365" i="3"/>
  <c r="F364" i="3"/>
  <c r="D364" i="3"/>
  <c r="B431" i="3"/>
  <c r="C431" i="3"/>
  <c r="F430" i="3"/>
  <c r="D430" i="3"/>
  <c r="B496" i="3"/>
  <c r="C496" i="3"/>
  <c r="F495" i="3"/>
  <c r="D495" i="3"/>
  <c r="B560" i="3"/>
  <c r="C560" i="3"/>
  <c r="F559" i="3"/>
  <c r="D559" i="3"/>
  <c r="B623" i="3"/>
  <c r="C623" i="3"/>
  <c r="F622" i="3"/>
  <c r="D622" i="3"/>
  <c r="B685" i="3"/>
  <c r="C685" i="3"/>
  <c r="F684" i="3"/>
  <c r="D684" i="3"/>
  <c r="B746" i="3"/>
  <c r="C746" i="3"/>
  <c r="F745" i="3"/>
  <c r="D745" i="3"/>
  <c r="B806" i="3"/>
  <c r="C806" i="3"/>
  <c r="F805" i="3"/>
  <c r="D805" i="3"/>
  <c r="B865" i="3"/>
  <c r="C865" i="3"/>
  <c r="F864" i="3"/>
  <c r="D864" i="3"/>
  <c r="B923" i="3"/>
  <c r="C923" i="3"/>
  <c r="F922" i="3"/>
  <c r="D922" i="3"/>
  <c r="B20" i="4"/>
  <c r="C20" i="4"/>
  <c r="F19" i="4"/>
  <c r="D19" i="4"/>
  <c r="B76" i="4"/>
  <c r="C76" i="4"/>
  <c r="F75" i="4"/>
  <c r="D75" i="4"/>
  <c r="F129" i="4"/>
  <c r="D129" i="4"/>
  <c r="H129" i="4" s="1"/>
  <c r="I129" i="4"/>
  <c r="J128" i="4" s="1"/>
  <c r="B131" i="4"/>
  <c r="C130" i="4"/>
  <c r="F183" i="4"/>
  <c r="D183" i="4"/>
  <c r="H183" i="4" s="1"/>
  <c r="I183" i="4"/>
  <c r="J182" i="4" s="1"/>
  <c r="B185" i="4"/>
  <c r="C184" i="4"/>
  <c r="F236" i="4"/>
  <c r="D236" i="4"/>
  <c r="H236" i="4" s="1"/>
  <c r="I236" i="4"/>
  <c r="J235" i="4" s="1"/>
  <c r="B238" i="4"/>
  <c r="C237" i="4"/>
  <c r="F288" i="4"/>
  <c r="D288" i="4"/>
  <c r="H288" i="4" s="1"/>
  <c r="I288" i="4"/>
  <c r="J287" i="4" s="1"/>
  <c r="B290" i="4"/>
  <c r="C289" i="4"/>
  <c r="F339" i="4"/>
  <c r="D339" i="4"/>
  <c r="H339" i="4" s="1"/>
  <c r="I339" i="4"/>
  <c r="J338" i="4" s="1"/>
  <c r="B341" i="4"/>
  <c r="C340" i="4"/>
  <c r="F389" i="4"/>
  <c r="D389" i="4"/>
  <c r="H389" i="4" s="1"/>
  <c r="I389" i="4"/>
  <c r="J388" i="4" s="1"/>
  <c r="B391" i="4"/>
  <c r="C390" i="4"/>
  <c r="F438" i="4"/>
  <c r="D438" i="4"/>
  <c r="H438" i="4" s="1"/>
  <c r="I438" i="4"/>
  <c r="J437" i="4" s="1"/>
  <c r="B440" i="4"/>
  <c r="C439" i="4"/>
  <c r="F486" i="4"/>
  <c r="D486" i="4"/>
  <c r="H486" i="4" s="1"/>
  <c r="I486" i="4"/>
  <c r="J485" i="4" s="1"/>
  <c r="B488" i="4"/>
  <c r="C487" i="4"/>
  <c r="B535" i="4"/>
  <c r="C535" i="4"/>
  <c r="F534" i="4"/>
  <c r="D534" i="4"/>
  <c r="F579" i="4"/>
  <c r="D579" i="4"/>
  <c r="H579" i="4" s="1"/>
  <c r="I579" i="4"/>
  <c r="J578" i="4" s="1"/>
  <c r="B581" i="4"/>
  <c r="C580" i="4"/>
  <c r="F624" i="4"/>
  <c r="D624" i="4"/>
  <c r="H624" i="4" s="1"/>
  <c r="I624" i="4"/>
  <c r="J623" i="4" s="1"/>
  <c r="B626" i="4"/>
  <c r="C625" i="4"/>
  <c r="F668" i="4"/>
  <c r="D668" i="4"/>
  <c r="H668" i="4" s="1"/>
  <c r="I668" i="4"/>
  <c r="J667" i="4" s="1"/>
  <c r="B670" i="4"/>
  <c r="C669" i="4"/>
  <c r="F711" i="4"/>
  <c r="D711" i="4"/>
  <c r="H711" i="4" s="1"/>
  <c r="I711" i="4"/>
  <c r="J710" i="4" s="1"/>
  <c r="B713" i="4"/>
  <c r="C712" i="4"/>
  <c r="F753" i="4"/>
  <c r="D753" i="4"/>
  <c r="H753" i="4" s="1"/>
  <c r="I753" i="4"/>
  <c r="J752" i="4" s="1"/>
  <c r="B755" i="4"/>
  <c r="C754" i="4"/>
  <c r="F794" i="4"/>
  <c r="D794" i="4"/>
  <c r="H794" i="4" s="1"/>
  <c r="I794" i="4"/>
  <c r="J793" i="4" s="1"/>
  <c r="B796" i="4"/>
  <c r="C795" i="4"/>
  <c r="F834" i="4"/>
  <c r="D834" i="4"/>
  <c r="H834" i="4" s="1"/>
  <c r="I834" i="4"/>
  <c r="J833" i="4" s="1"/>
  <c r="B836" i="4"/>
  <c r="C835" i="4"/>
  <c r="F873" i="4"/>
  <c r="D873" i="4"/>
  <c r="H873" i="4" s="1"/>
  <c r="I873" i="4"/>
  <c r="J872" i="4" s="1"/>
  <c r="B875" i="4"/>
  <c r="C874" i="4"/>
  <c r="F911" i="4"/>
  <c r="D911" i="4"/>
  <c r="H911" i="4" s="1"/>
  <c r="I911" i="4"/>
  <c r="J910" i="4" s="1"/>
  <c r="B913" i="4"/>
  <c r="C912" i="4"/>
  <c r="F18" i="5"/>
  <c r="D18" i="5"/>
  <c r="H18" i="5" s="1"/>
  <c r="I18" i="5"/>
  <c r="J17" i="5" s="1"/>
  <c r="B20" i="5"/>
  <c r="C19" i="5"/>
  <c r="F54" i="5"/>
  <c r="D54" i="5"/>
  <c r="H54" i="5" s="1"/>
  <c r="I54" i="5"/>
  <c r="J53" i="5" s="1"/>
  <c r="B56" i="5"/>
  <c r="C55" i="5"/>
  <c r="F89" i="5"/>
  <c r="D89" i="5"/>
  <c r="H89" i="5" s="1"/>
  <c r="I89" i="5"/>
  <c r="J88" i="5" s="1"/>
  <c r="B91" i="5"/>
  <c r="C90" i="5"/>
  <c r="F123" i="5"/>
  <c r="D123" i="5"/>
  <c r="H123" i="5" s="1"/>
  <c r="I123" i="5"/>
  <c r="J122" i="5" s="1"/>
  <c r="B125" i="5"/>
  <c r="C124" i="5"/>
  <c r="F156" i="5"/>
  <c r="D156" i="5"/>
  <c r="H156" i="5" s="1"/>
  <c r="I156" i="5"/>
  <c r="J155" i="5" s="1"/>
  <c r="B158" i="5"/>
  <c r="C157" i="5"/>
  <c r="F188" i="5"/>
  <c r="D188" i="5"/>
  <c r="H188" i="5" s="1"/>
  <c r="I188" i="5"/>
  <c r="J187" i="5" s="1"/>
  <c r="B190" i="5"/>
  <c r="C189" i="5"/>
  <c r="F219" i="5"/>
  <c r="D219" i="5"/>
  <c r="H219" i="5" s="1"/>
  <c r="I219" i="5"/>
  <c r="J218" i="5" s="1"/>
  <c r="B221" i="5"/>
  <c r="C220" i="5"/>
  <c r="F249" i="5"/>
  <c r="D249" i="5"/>
  <c r="H249" i="5" s="1"/>
  <c r="I249" i="5"/>
  <c r="J248" i="5" s="1"/>
  <c r="B251" i="5"/>
  <c r="C250" i="5"/>
  <c r="F278" i="5"/>
  <c r="D278" i="5"/>
  <c r="H278" i="5" s="1"/>
  <c r="I278" i="5"/>
  <c r="J277" i="5" s="1"/>
  <c r="B280" i="5"/>
  <c r="C279" i="5"/>
  <c r="F306" i="5"/>
  <c r="D306" i="5"/>
  <c r="H306" i="5" s="1"/>
  <c r="I306" i="5"/>
  <c r="J305" i="5" s="1"/>
  <c r="B308" i="5"/>
  <c r="C307" i="5"/>
  <c r="F333" i="5"/>
  <c r="D333" i="5"/>
  <c r="H333" i="5" s="1"/>
  <c r="I333" i="5"/>
  <c r="J332" i="5" s="1"/>
  <c r="B335" i="5"/>
  <c r="C334" i="5"/>
  <c r="F359" i="5"/>
  <c r="D359" i="5"/>
  <c r="H359" i="5" s="1"/>
  <c r="I359" i="5"/>
  <c r="J358" i="5" s="1"/>
  <c r="B361" i="5"/>
  <c r="C360" i="5"/>
  <c r="F384" i="5"/>
  <c r="D384" i="5"/>
  <c r="H384" i="5" s="1"/>
  <c r="I384" i="5"/>
  <c r="J383" i="5" s="1"/>
  <c r="B386" i="5"/>
  <c r="C385" i="5"/>
  <c r="F408" i="5"/>
  <c r="D408" i="5"/>
  <c r="H408" i="5" s="1"/>
  <c r="I408" i="5"/>
  <c r="J407" i="5" s="1"/>
  <c r="B410" i="5"/>
  <c r="C409" i="5"/>
  <c r="F431" i="5"/>
  <c r="D431" i="5"/>
  <c r="H431" i="5" s="1"/>
  <c r="I431" i="5"/>
  <c r="J430" i="5" s="1"/>
  <c r="B433" i="5"/>
  <c r="C432" i="5"/>
  <c r="F453" i="5"/>
  <c r="D453" i="5"/>
  <c r="H453" i="5" s="1"/>
  <c r="I453" i="5"/>
  <c r="J452" i="5" s="1"/>
  <c r="B455" i="5"/>
  <c r="C454" i="5"/>
  <c r="F474" i="5"/>
  <c r="D474" i="5"/>
  <c r="H474" i="5" s="1"/>
  <c r="I474" i="5"/>
  <c r="J473" i="5" s="1"/>
  <c r="B476" i="5"/>
  <c r="C475" i="5"/>
  <c r="F494" i="5"/>
  <c r="D494" i="5"/>
  <c r="H494" i="5" s="1"/>
  <c r="I494" i="5"/>
  <c r="J493" i="5" s="1"/>
  <c r="B496" i="5"/>
  <c r="C495" i="5"/>
  <c r="F513" i="5"/>
  <c r="D513" i="5"/>
  <c r="H513" i="5" s="1"/>
  <c r="I513" i="5"/>
  <c r="J512" i="5" s="1"/>
  <c r="B515" i="5"/>
  <c r="C514" i="5"/>
  <c r="F531" i="5"/>
  <c r="D531" i="5"/>
  <c r="H531" i="5" s="1"/>
  <c r="I531" i="5"/>
  <c r="J530" i="5" s="1"/>
  <c r="B533" i="5"/>
  <c r="C532" i="5"/>
  <c r="F18" i="6"/>
  <c r="D18" i="6"/>
  <c r="H18" i="6" s="1"/>
  <c r="I18" i="6"/>
  <c r="B20" i="6"/>
  <c r="C19" i="6"/>
  <c r="F19" i="6" l="1"/>
  <c r="D19" i="6"/>
  <c r="H19" i="6" s="1"/>
  <c r="I19" i="6"/>
  <c r="B21" i="6"/>
  <c r="C20" i="6"/>
  <c r="F532" i="5"/>
  <c r="D532" i="5"/>
  <c r="H532" i="5" s="1"/>
  <c r="I532" i="5"/>
  <c r="J531" i="5" s="1"/>
  <c r="B534" i="5"/>
  <c r="C533" i="5"/>
  <c r="F514" i="5"/>
  <c r="D514" i="5"/>
  <c r="H514" i="5" s="1"/>
  <c r="I514" i="5"/>
  <c r="J513" i="5" s="1"/>
  <c r="B516" i="5"/>
  <c r="C515" i="5"/>
  <c r="F495" i="5"/>
  <c r="D495" i="5"/>
  <c r="H495" i="5" s="1"/>
  <c r="I495" i="5"/>
  <c r="J494" i="5" s="1"/>
  <c r="B497" i="5"/>
  <c r="C496" i="5"/>
  <c r="F475" i="5"/>
  <c r="D475" i="5"/>
  <c r="H475" i="5" s="1"/>
  <c r="I475" i="5"/>
  <c r="J474" i="5" s="1"/>
  <c r="B477" i="5"/>
  <c r="C476" i="5"/>
  <c r="F454" i="5"/>
  <c r="D454" i="5"/>
  <c r="H454" i="5" s="1"/>
  <c r="I454" i="5"/>
  <c r="J453" i="5" s="1"/>
  <c r="B456" i="5"/>
  <c r="C455" i="5"/>
  <c r="F432" i="5"/>
  <c r="D432" i="5"/>
  <c r="H432" i="5" s="1"/>
  <c r="I432" i="5"/>
  <c r="J431" i="5" s="1"/>
  <c r="B434" i="5"/>
  <c r="C433" i="5"/>
  <c r="F409" i="5"/>
  <c r="D409" i="5"/>
  <c r="H409" i="5" s="1"/>
  <c r="I409" i="5"/>
  <c r="J408" i="5" s="1"/>
  <c r="B411" i="5"/>
  <c r="C410" i="5"/>
  <c r="F385" i="5"/>
  <c r="D385" i="5"/>
  <c r="H385" i="5" s="1"/>
  <c r="I385" i="5"/>
  <c r="J384" i="5" s="1"/>
  <c r="B387" i="5"/>
  <c r="C386" i="5"/>
  <c r="F360" i="5"/>
  <c r="D360" i="5"/>
  <c r="H360" i="5" s="1"/>
  <c r="I360" i="5"/>
  <c r="J359" i="5" s="1"/>
  <c r="B362" i="5"/>
  <c r="C361" i="5"/>
  <c r="F334" i="5"/>
  <c r="D334" i="5"/>
  <c r="H334" i="5" s="1"/>
  <c r="I334" i="5"/>
  <c r="J333" i="5" s="1"/>
  <c r="B336" i="5"/>
  <c r="C335" i="5"/>
  <c r="F307" i="5"/>
  <c r="D307" i="5"/>
  <c r="H307" i="5" s="1"/>
  <c r="I307" i="5"/>
  <c r="J306" i="5" s="1"/>
  <c r="B309" i="5"/>
  <c r="C308" i="5"/>
  <c r="F279" i="5"/>
  <c r="D279" i="5"/>
  <c r="H279" i="5" s="1"/>
  <c r="I279" i="5"/>
  <c r="J278" i="5" s="1"/>
  <c r="B281" i="5"/>
  <c r="C280" i="5"/>
  <c r="F250" i="5"/>
  <c r="D250" i="5"/>
  <c r="H250" i="5" s="1"/>
  <c r="I250" i="5"/>
  <c r="J249" i="5" s="1"/>
  <c r="B252" i="5"/>
  <c r="C251" i="5"/>
  <c r="F220" i="5"/>
  <c r="D220" i="5"/>
  <c r="H220" i="5" s="1"/>
  <c r="I220" i="5"/>
  <c r="J219" i="5" s="1"/>
  <c r="B222" i="5"/>
  <c r="C221" i="5"/>
  <c r="F189" i="5"/>
  <c r="D189" i="5"/>
  <c r="H189" i="5" s="1"/>
  <c r="I189" i="5"/>
  <c r="J188" i="5" s="1"/>
  <c r="B191" i="5"/>
  <c r="C190" i="5"/>
  <c r="F157" i="5"/>
  <c r="D157" i="5"/>
  <c r="H157" i="5" s="1"/>
  <c r="I157" i="5"/>
  <c r="J156" i="5" s="1"/>
  <c r="B159" i="5"/>
  <c r="C158" i="5"/>
  <c r="F124" i="5"/>
  <c r="D124" i="5"/>
  <c r="H124" i="5" s="1"/>
  <c r="I124" i="5"/>
  <c r="J123" i="5" s="1"/>
  <c r="B126" i="5"/>
  <c r="C125" i="5"/>
  <c r="F90" i="5"/>
  <c r="D90" i="5"/>
  <c r="H90" i="5" s="1"/>
  <c r="I90" i="5"/>
  <c r="J89" i="5" s="1"/>
  <c r="B92" i="5"/>
  <c r="C91" i="5"/>
  <c r="F55" i="5"/>
  <c r="D55" i="5"/>
  <c r="H55" i="5" s="1"/>
  <c r="I55" i="5"/>
  <c r="J54" i="5" s="1"/>
  <c r="B57" i="5"/>
  <c r="C56" i="5"/>
  <c r="F19" i="5"/>
  <c r="D19" i="5"/>
  <c r="H19" i="5" s="1"/>
  <c r="I19" i="5"/>
  <c r="J18" i="5" s="1"/>
  <c r="B21" i="5"/>
  <c r="C20" i="5"/>
  <c r="F912" i="4"/>
  <c r="D912" i="4"/>
  <c r="H912" i="4" s="1"/>
  <c r="I912" i="4"/>
  <c r="J911" i="4" s="1"/>
  <c r="B914" i="4"/>
  <c r="C913" i="4"/>
  <c r="F874" i="4"/>
  <c r="D874" i="4"/>
  <c r="H874" i="4" s="1"/>
  <c r="I874" i="4"/>
  <c r="J873" i="4" s="1"/>
  <c r="B876" i="4"/>
  <c r="C875" i="4"/>
  <c r="F835" i="4"/>
  <c r="D835" i="4"/>
  <c r="H835" i="4" s="1"/>
  <c r="I835" i="4"/>
  <c r="J834" i="4" s="1"/>
  <c r="B837" i="4"/>
  <c r="C836" i="4"/>
  <c r="F795" i="4"/>
  <c r="D795" i="4"/>
  <c r="H795" i="4" s="1"/>
  <c r="I795" i="4"/>
  <c r="J794" i="4" s="1"/>
  <c r="B797" i="4"/>
  <c r="C796" i="4"/>
  <c r="F754" i="4"/>
  <c r="D754" i="4"/>
  <c r="H754" i="4" s="1"/>
  <c r="I754" i="4"/>
  <c r="J753" i="4" s="1"/>
  <c r="B756" i="4"/>
  <c r="C755" i="4"/>
  <c r="F712" i="4"/>
  <c r="D712" i="4"/>
  <c r="H712" i="4" s="1"/>
  <c r="I712" i="4"/>
  <c r="J711" i="4" s="1"/>
  <c r="B714" i="4"/>
  <c r="C713" i="4"/>
  <c r="F669" i="4"/>
  <c r="D669" i="4"/>
  <c r="H669" i="4" s="1"/>
  <c r="I669" i="4"/>
  <c r="J668" i="4" s="1"/>
  <c r="B671" i="4"/>
  <c r="C670" i="4"/>
  <c r="F625" i="4"/>
  <c r="D625" i="4"/>
  <c r="H625" i="4" s="1"/>
  <c r="I625" i="4"/>
  <c r="J624" i="4" s="1"/>
  <c r="B627" i="4"/>
  <c r="C626" i="4"/>
  <c r="F580" i="4"/>
  <c r="D580" i="4"/>
  <c r="H580" i="4" s="1"/>
  <c r="I580" i="4"/>
  <c r="J579" i="4" s="1"/>
  <c r="B582" i="4"/>
  <c r="C581" i="4"/>
  <c r="I534" i="4"/>
  <c r="J533" i="4" s="1"/>
  <c r="H534" i="4"/>
  <c r="C536" i="4"/>
  <c r="F535" i="4"/>
  <c r="D535" i="4"/>
  <c r="B536" i="4"/>
  <c r="I535" i="4"/>
  <c r="J534" i="4" s="1"/>
  <c r="H535" i="4"/>
  <c r="F487" i="4"/>
  <c r="D487" i="4"/>
  <c r="H487" i="4" s="1"/>
  <c r="I487" i="4"/>
  <c r="J486" i="4" s="1"/>
  <c r="B489" i="4"/>
  <c r="C488" i="4"/>
  <c r="F439" i="4"/>
  <c r="D439" i="4"/>
  <c r="H439" i="4" s="1"/>
  <c r="I439" i="4"/>
  <c r="J438" i="4" s="1"/>
  <c r="B441" i="4"/>
  <c r="C440" i="4"/>
  <c r="F390" i="4"/>
  <c r="D390" i="4"/>
  <c r="H390" i="4" s="1"/>
  <c r="I390" i="4"/>
  <c r="J389" i="4" s="1"/>
  <c r="B392" i="4"/>
  <c r="C391" i="4"/>
  <c r="F340" i="4"/>
  <c r="D340" i="4"/>
  <c r="H340" i="4" s="1"/>
  <c r="I340" i="4"/>
  <c r="J339" i="4" s="1"/>
  <c r="B342" i="4"/>
  <c r="C341" i="4"/>
  <c r="F289" i="4"/>
  <c r="D289" i="4"/>
  <c r="H289" i="4" s="1"/>
  <c r="I289" i="4"/>
  <c r="J288" i="4" s="1"/>
  <c r="B291" i="4"/>
  <c r="C290" i="4"/>
  <c r="F237" i="4"/>
  <c r="D237" i="4"/>
  <c r="H237" i="4" s="1"/>
  <c r="I237" i="4"/>
  <c r="J236" i="4" s="1"/>
  <c r="B239" i="4"/>
  <c r="C238" i="4"/>
  <c r="F184" i="4"/>
  <c r="D184" i="4"/>
  <c r="H184" i="4" s="1"/>
  <c r="I184" i="4"/>
  <c r="J183" i="4" s="1"/>
  <c r="B186" i="4"/>
  <c r="C185" i="4"/>
  <c r="F130" i="4"/>
  <c r="D130" i="4"/>
  <c r="H130" i="4" s="1"/>
  <c r="I130" i="4"/>
  <c r="J129" i="4" s="1"/>
  <c r="B132" i="4"/>
  <c r="C131" i="4"/>
  <c r="I75" i="4"/>
  <c r="J74" i="4" s="1"/>
  <c r="H75" i="4"/>
  <c r="C77" i="4"/>
  <c r="F76" i="4"/>
  <c r="D76" i="4"/>
  <c r="B77" i="4"/>
  <c r="I76" i="4"/>
  <c r="J75" i="4" s="1"/>
  <c r="H76" i="4"/>
  <c r="I19" i="4"/>
  <c r="J18" i="4" s="1"/>
  <c r="H19" i="4"/>
  <c r="C21" i="4"/>
  <c r="F20" i="4"/>
  <c r="D20" i="4"/>
  <c r="B21" i="4"/>
  <c r="I20" i="4"/>
  <c r="J19" i="4" s="1"/>
  <c r="H20" i="4"/>
  <c r="I922" i="3"/>
  <c r="J921" i="3" s="1"/>
  <c r="H922" i="3"/>
  <c r="C924" i="3"/>
  <c r="F923" i="3"/>
  <c r="D923" i="3"/>
  <c r="B924" i="3"/>
  <c r="I923" i="3"/>
  <c r="J922" i="3" s="1"/>
  <c r="H923" i="3"/>
  <c r="I864" i="3"/>
  <c r="J863" i="3" s="1"/>
  <c r="H864" i="3"/>
  <c r="C866" i="3"/>
  <c r="F865" i="3"/>
  <c r="D865" i="3"/>
  <c r="B866" i="3"/>
  <c r="I865" i="3"/>
  <c r="J864" i="3" s="1"/>
  <c r="H865" i="3"/>
  <c r="I805" i="3"/>
  <c r="J804" i="3" s="1"/>
  <c r="H805" i="3"/>
  <c r="C807" i="3"/>
  <c r="F806" i="3"/>
  <c r="D806" i="3"/>
  <c r="B807" i="3"/>
  <c r="I806" i="3"/>
  <c r="J805" i="3" s="1"/>
  <c r="H806" i="3"/>
  <c r="I745" i="3"/>
  <c r="J744" i="3" s="1"/>
  <c r="H745" i="3"/>
  <c r="C747" i="3"/>
  <c r="F746" i="3"/>
  <c r="D746" i="3"/>
  <c r="B747" i="3"/>
  <c r="I746" i="3"/>
  <c r="J745" i="3" s="1"/>
  <c r="H746" i="3"/>
  <c r="I684" i="3"/>
  <c r="J683" i="3" s="1"/>
  <c r="H684" i="3"/>
  <c r="C686" i="3"/>
  <c r="F685" i="3"/>
  <c r="D685" i="3"/>
  <c r="B686" i="3"/>
  <c r="I685" i="3"/>
  <c r="J684" i="3" s="1"/>
  <c r="H685" i="3"/>
  <c r="I622" i="3"/>
  <c r="J621" i="3" s="1"/>
  <c r="H622" i="3"/>
  <c r="C624" i="3"/>
  <c r="F623" i="3"/>
  <c r="D623" i="3"/>
  <c r="B624" i="3"/>
  <c r="I623" i="3"/>
  <c r="J622" i="3" s="1"/>
  <c r="H623" i="3"/>
  <c r="I559" i="3"/>
  <c r="J558" i="3" s="1"/>
  <c r="H559" i="3"/>
  <c r="C561" i="3"/>
  <c r="F560" i="3"/>
  <c r="D560" i="3"/>
  <c r="B561" i="3"/>
  <c r="I560" i="3"/>
  <c r="J559" i="3" s="1"/>
  <c r="H560" i="3"/>
  <c r="I495" i="3"/>
  <c r="J494" i="3" s="1"/>
  <c r="H495" i="3"/>
  <c r="C497" i="3"/>
  <c r="F496" i="3"/>
  <c r="D496" i="3"/>
  <c r="B497" i="3"/>
  <c r="I496" i="3"/>
  <c r="J495" i="3" s="1"/>
  <c r="H496" i="3"/>
  <c r="I430" i="3"/>
  <c r="J429" i="3" s="1"/>
  <c r="H430" i="3"/>
  <c r="C432" i="3"/>
  <c r="F431" i="3"/>
  <c r="D431" i="3"/>
  <c r="B432" i="3"/>
  <c r="I431" i="3"/>
  <c r="J430" i="3" s="1"/>
  <c r="H431" i="3"/>
  <c r="I364" i="3"/>
  <c r="J363" i="3" s="1"/>
  <c r="H364" i="3"/>
  <c r="C366" i="3"/>
  <c r="F365" i="3"/>
  <c r="D365" i="3"/>
  <c r="B366" i="3"/>
  <c r="I365" i="3"/>
  <c r="J364" i="3" s="1"/>
  <c r="H365" i="3"/>
  <c r="I297" i="3"/>
  <c r="J296" i="3" s="1"/>
  <c r="H297" i="3"/>
  <c r="C299" i="3"/>
  <c r="F298" i="3"/>
  <c r="D298" i="3"/>
  <c r="B299" i="3"/>
  <c r="I298" i="3"/>
  <c r="J297" i="3" s="1"/>
  <c r="H298" i="3"/>
  <c r="I229" i="3"/>
  <c r="J228" i="3" s="1"/>
  <c r="H229" i="3"/>
  <c r="C231" i="3"/>
  <c r="F230" i="3"/>
  <c r="D230" i="3"/>
  <c r="B231" i="3"/>
  <c r="I230" i="3"/>
  <c r="J229" i="3" s="1"/>
  <c r="H230" i="3"/>
  <c r="I160" i="3"/>
  <c r="J159" i="3" s="1"/>
  <c r="H160" i="3"/>
  <c r="C162" i="3"/>
  <c r="F161" i="3"/>
  <c r="D161" i="3"/>
  <c r="B162" i="3"/>
  <c r="I161" i="3"/>
  <c r="J160" i="3" s="1"/>
  <c r="H161" i="3"/>
  <c r="I90" i="3"/>
  <c r="J89" i="3" s="1"/>
  <c r="H90" i="3"/>
  <c r="C92" i="3"/>
  <c r="F91" i="3"/>
  <c r="D91" i="3"/>
  <c r="B92" i="3"/>
  <c r="I91" i="3"/>
  <c r="J90" i="3" s="1"/>
  <c r="H91" i="3"/>
  <c r="I19" i="3"/>
  <c r="J18" i="3" s="1"/>
  <c r="H19" i="3"/>
  <c r="C21" i="3"/>
  <c r="F20" i="3"/>
  <c r="D20" i="3"/>
  <c r="B21" i="3"/>
  <c r="I20" i="3"/>
  <c r="J19" i="3" s="1"/>
  <c r="H20" i="3"/>
  <c r="I794" i="2"/>
  <c r="J793" i="2" s="1"/>
  <c r="H794" i="2"/>
  <c r="C796" i="2"/>
  <c r="F795" i="2"/>
  <c r="D795" i="2"/>
  <c r="B796" i="2"/>
  <c r="I795" i="2"/>
  <c r="J794" i="2" s="1"/>
  <c r="H795" i="2"/>
  <c r="I721" i="2"/>
  <c r="J720" i="2" s="1"/>
  <c r="H721" i="2"/>
  <c r="C723" i="2"/>
  <c r="F722" i="2"/>
  <c r="B723" i="2"/>
  <c r="I722" i="2"/>
  <c r="J721" i="2" s="1"/>
  <c r="H722" i="2"/>
  <c r="I647" i="2"/>
  <c r="J646" i="2" s="1"/>
  <c r="H647" i="2"/>
  <c r="C649" i="2"/>
  <c r="F648" i="2"/>
  <c r="B649" i="2"/>
  <c r="I648" i="2"/>
  <c r="J647" i="2" s="1"/>
  <c r="H648" i="2"/>
  <c r="I572" i="2"/>
  <c r="J571" i="2" s="1"/>
  <c r="H572" i="2"/>
  <c r="C574" i="2"/>
  <c r="F573" i="2"/>
  <c r="B574" i="2"/>
  <c r="I573" i="2"/>
  <c r="J572" i="2" s="1"/>
  <c r="H573" i="2"/>
  <c r="I496" i="2"/>
  <c r="J495" i="2" s="1"/>
  <c r="H496" i="2"/>
  <c r="C498" i="2"/>
  <c r="F497" i="2"/>
  <c r="D497" i="2"/>
  <c r="B498" i="2"/>
  <c r="I497" i="2"/>
  <c r="J496" i="2" s="1"/>
  <c r="H497" i="2"/>
  <c r="I419" i="2"/>
  <c r="J418" i="2" s="1"/>
  <c r="H419" i="2"/>
  <c r="C421" i="2"/>
  <c r="F420" i="2"/>
  <c r="D420" i="2"/>
  <c r="B421" i="2"/>
  <c r="I420" i="2"/>
  <c r="J419" i="2" s="1"/>
  <c r="H420" i="2"/>
  <c r="I341" i="2"/>
  <c r="J340" i="2" s="1"/>
  <c r="H341" i="2"/>
  <c r="C343" i="2"/>
  <c r="F342" i="2"/>
  <c r="D342" i="2"/>
  <c r="B343" i="2"/>
  <c r="I342" i="2"/>
  <c r="J341" i="2" s="1"/>
  <c r="H342" i="2"/>
  <c r="I262" i="2"/>
  <c r="J261" i="2" s="1"/>
  <c r="H262" i="2"/>
  <c r="C264" i="2"/>
  <c r="F263" i="2"/>
  <c r="D263" i="2"/>
  <c r="B264" i="2"/>
  <c r="I263" i="2"/>
  <c r="J262" i="2" s="1"/>
  <c r="H263" i="2"/>
  <c r="I182" i="2"/>
  <c r="J181" i="2" s="1"/>
  <c r="H182" i="2"/>
  <c r="C184" i="2"/>
  <c r="F183" i="2"/>
  <c r="D183" i="2"/>
  <c r="B184" i="2"/>
  <c r="I183" i="2"/>
  <c r="J182" i="2" s="1"/>
  <c r="H183" i="2"/>
  <c r="I101" i="2"/>
  <c r="J100" i="2" s="1"/>
  <c r="H101" i="2"/>
  <c r="C103" i="2"/>
  <c r="F102" i="2"/>
  <c r="D102" i="2"/>
  <c r="B103" i="2"/>
  <c r="I102" i="2"/>
  <c r="J101" i="2" s="1"/>
  <c r="H102" i="2"/>
  <c r="I19" i="2"/>
  <c r="J18" i="2" s="1"/>
  <c r="H19" i="2"/>
  <c r="C21" i="2"/>
  <c r="F20" i="2"/>
  <c r="D20" i="2"/>
  <c r="B21" i="2"/>
  <c r="I20" i="2"/>
  <c r="J19" i="2" s="1"/>
  <c r="H20" i="2"/>
  <c r="B22" i="2" l="1"/>
  <c r="C22" i="2"/>
  <c r="F21" i="2"/>
  <c r="D21" i="2"/>
  <c r="B104" i="2"/>
  <c r="C104" i="2"/>
  <c r="F103" i="2"/>
  <c r="D103" i="2"/>
  <c r="B185" i="2"/>
  <c r="C185" i="2"/>
  <c r="F184" i="2"/>
  <c r="D184" i="2"/>
  <c r="B265" i="2"/>
  <c r="C265" i="2"/>
  <c r="F264" i="2"/>
  <c r="D264" i="2"/>
  <c r="B344" i="2"/>
  <c r="C344" i="2"/>
  <c r="F343" i="2"/>
  <c r="D343" i="2"/>
  <c r="B422" i="2"/>
  <c r="C422" i="2"/>
  <c r="F421" i="2"/>
  <c r="D421" i="2"/>
  <c r="B499" i="2"/>
  <c r="C499" i="2"/>
  <c r="F498" i="2"/>
  <c r="D498" i="2"/>
  <c r="B575" i="2"/>
  <c r="C575" i="2"/>
  <c r="F574" i="2"/>
  <c r="B650" i="2"/>
  <c r="C650" i="2"/>
  <c r="F649" i="2"/>
  <c r="B724" i="2"/>
  <c r="C724" i="2"/>
  <c r="F723" i="2"/>
  <c r="B797" i="2"/>
  <c r="C797" i="2"/>
  <c r="F796" i="2"/>
  <c r="D796" i="2"/>
  <c r="B22" i="3"/>
  <c r="C22" i="3"/>
  <c r="F21" i="3"/>
  <c r="D21" i="3"/>
  <c r="B93" i="3"/>
  <c r="C93" i="3"/>
  <c r="F92" i="3"/>
  <c r="D92" i="3"/>
  <c r="B163" i="3"/>
  <c r="C163" i="3"/>
  <c r="F162" i="3"/>
  <c r="D162" i="3"/>
  <c r="B232" i="3"/>
  <c r="C232" i="3"/>
  <c r="F231" i="3"/>
  <c r="D231" i="3"/>
  <c r="B300" i="3"/>
  <c r="C300" i="3"/>
  <c r="F299" i="3"/>
  <c r="D299" i="3"/>
  <c r="B367" i="3"/>
  <c r="C367" i="3"/>
  <c r="F366" i="3"/>
  <c r="D366" i="3"/>
  <c r="B433" i="3"/>
  <c r="C433" i="3"/>
  <c r="F432" i="3"/>
  <c r="D432" i="3"/>
  <c r="B498" i="3"/>
  <c r="C498" i="3"/>
  <c r="F497" i="3"/>
  <c r="D497" i="3"/>
  <c r="B562" i="3"/>
  <c r="C562" i="3"/>
  <c r="F561" i="3"/>
  <c r="D561" i="3"/>
  <c r="B625" i="3"/>
  <c r="C625" i="3"/>
  <c r="F624" i="3"/>
  <c r="D624" i="3"/>
  <c r="B687" i="3"/>
  <c r="C687" i="3"/>
  <c r="F686" i="3"/>
  <c r="D686" i="3"/>
  <c r="B748" i="3"/>
  <c r="C748" i="3"/>
  <c r="F747" i="3"/>
  <c r="D747" i="3"/>
  <c r="B808" i="3"/>
  <c r="C808" i="3"/>
  <c r="F807" i="3"/>
  <c r="D807" i="3"/>
  <c r="B867" i="3"/>
  <c r="C867" i="3"/>
  <c r="F866" i="3"/>
  <c r="D866" i="3"/>
  <c r="B925" i="3"/>
  <c r="C925" i="3"/>
  <c r="F924" i="3"/>
  <c r="D924" i="3"/>
  <c r="B22" i="4"/>
  <c r="C22" i="4"/>
  <c r="F21" i="4"/>
  <c r="D21" i="4"/>
  <c r="B78" i="4"/>
  <c r="C78" i="4"/>
  <c r="F77" i="4"/>
  <c r="D77" i="4"/>
  <c r="F131" i="4"/>
  <c r="D131" i="4"/>
  <c r="H131" i="4" s="1"/>
  <c r="I131" i="4"/>
  <c r="J130" i="4" s="1"/>
  <c r="B133" i="4"/>
  <c r="C132" i="4"/>
  <c r="F185" i="4"/>
  <c r="D185" i="4"/>
  <c r="H185" i="4" s="1"/>
  <c r="I185" i="4"/>
  <c r="J184" i="4" s="1"/>
  <c r="B187" i="4"/>
  <c r="C186" i="4"/>
  <c r="F238" i="4"/>
  <c r="D238" i="4"/>
  <c r="H238" i="4" s="1"/>
  <c r="I238" i="4"/>
  <c r="J237" i="4" s="1"/>
  <c r="B240" i="4"/>
  <c r="C239" i="4"/>
  <c r="F290" i="4"/>
  <c r="D290" i="4"/>
  <c r="H290" i="4" s="1"/>
  <c r="I290" i="4"/>
  <c r="J289" i="4" s="1"/>
  <c r="B292" i="4"/>
  <c r="C291" i="4"/>
  <c r="F341" i="4"/>
  <c r="D341" i="4"/>
  <c r="H341" i="4" s="1"/>
  <c r="I341" i="4"/>
  <c r="J340" i="4" s="1"/>
  <c r="B343" i="4"/>
  <c r="C342" i="4"/>
  <c r="F391" i="4"/>
  <c r="D391" i="4"/>
  <c r="H391" i="4" s="1"/>
  <c r="I391" i="4"/>
  <c r="J390" i="4" s="1"/>
  <c r="B393" i="4"/>
  <c r="C392" i="4"/>
  <c r="F440" i="4"/>
  <c r="D440" i="4"/>
  <c r="H440" i="4" s="1"/>
  <c r="I440" i="4"/>
  <c r="J439" i="4" s="1"/>
  <c r="B442" i="4"/>
  <c r="C441" i="4"/>
  <c r="F488" i="4"/>
  <c r="D488" i="4"/>
  <c r="H488" i="4" s="1"/>
  <c r="I488" i="4"/>
  <c r="J487" i="4" s="1"/>
  <c r="B490" i="4"/>
  <c r="C489" i="4"/>
  <c r="B537" i="4"/>
  <c r="C537" i="4"/>
  <c r="F536" i="4"/>
  <c r="D536" i="4"/>
  <c r="F581" i="4"/>
  <c r="D581" i="4"/>
  <c r="H581" i="4" s="1"/>
  <c r="I581" i="4"/>
  <c r="J580" i="4" s="1"/>
  <c r="B583" i="4"/>
  <c r="C582" i="4"/>
  <c r="F626" i="4"/>
  <c r="D626" i="4"/>
  <c r="H626" i="4" s="1"/>
  <c r="I626" i="4"/>
  <c r="J625" i="4" s="1"/>
  <c r="B628" i="4"/>
  <c r="C627" i="4"/>
  <c r="F670" i="4"/>
  <c r="D670" i="4"/>
  <c r="H670" i="4" s="1"/>
  <c r="I670" i="4"/>
  <c r="J669" i="4" s="1"/>
  <c r="B672" i="4"/>
  <c r="C671" i="4"/>
  <c r="F713" i="4"/>
  <c r="D713" i="4"/>
  <c r="H713" i="4" s="1"/>
  <c r="I713" i="4"/>
  <c r="J712" i="4" s="1"/>
  <c r="B715" i="4"/>
  <c r="C714" i="4"/>
  <c r="F755" i="4"/>
  <c r="D755" i="4"/>
  <c r="H755" i="4" s="1"/>
  <c r="I755" i="4"/>
  <c r="J754" i="4" s="1"/>
  <c r="B757" i="4"/>
  <c r="C756" i="4"/>
  <c r="F796" i="4"/>
  <c r="D796" i="4"/>
  <c r="H796" i="4" s="1"/>
  <c r="I796" i="4"/>
  <c r="J795" i="4" s="1"/>
  <c r="B798" i="4"/>
  <c r="C797" i="4"/>
  <c r="F836" i="4"/>
  <c r="D836" i="4"/>
  <c r="H836" i="4" s="1"/>
  <c r="I836" i="4"/>
  <c r="J835" i="4" s="1"/>
  <c r="B838" i="4"/>
  <c r="C837" i="4"/>
  <c r="F875" i="4"/>
  <c r="D875" i="4"/>
  <c r="H875" i="4" s="1"/>
  <c r="I875" i="4"/>
  <c r="J874" i="4" s="1"/>
  <c r="B877" i="4"/>
  <c r="C876" i="4"/>
  <c r="F913" i="4"/>
  <c r="D913" i="4"/>
  <c r="H913" i="4" s="1"/>
  <c r="I913" i="4"/>
  <c r="J912" i="4" s="1"/>
  <c r="B915" i="4"/>
  <c r="C914" i="4"/>
  <c r="F20" i="5"/>
  <c r="D20" i="5"/>
  <c r="H20" i="5" s="1"/>
  <c r="I20" i="5"/>
  <c r="J19" i="5" s="1"/>
  <c r="B22" i="5"/>
  <c r="C21" i="5"/>
  <c r="F56" i="5"/>
  <c r="D56" i="5"/>
  <c r="H56" i="5" s="1"/>
  <c r="I56" i="5"/>
  <c r="J55" i="5" s="1"/>
  <c r="B58" i="5"/>
  <c r="C57" i="5"/>
  <c r="F91" i="5"/>
  <c r="D91" i="5"/>
  <c r="H91" i="5" s="1"/>
  <c r="I91" i="5"/>
  <c r="J90" i="5" s="1"/>
  <c r="B93" i="5"/>
  <c r="C92" i="5"/>
  <c r="F125" i="5"/>
  <c r="D125" i="5"/>
  <c r="H125" i="5" s="1"/>
  <c r="I125" i="5"/>
  <c r="J124" i="5" s="1"/>
  <c r="B127" i="5"/>
  <c r="C126" i="5"/>
  <c r="F158" i="5"/>
  <c r="D158" i="5"/>
  <c r="H158" i="5" s="1"/>
  <c r="I158" i="5"/>
  <c r="J157" i="5" s="1"/>
  <c r="B160" i="5"/>
  <c r="C159" i="5"/>
  <c r="F190" i="5"/>
  <c r="D190" i="5"/>
  <c r="H190" i="5" s="1"/>
  <c r="I190" i="5"/>
  <c r="J189" i="5" s="1"/>
  <c r="B192" i="5"/>
  <c r="C191" i="5"/>
  <c r="F221" i="5"/>
  <c r="D221" i="5"/>
  <c r="H221" i="5" s="1"/>
  <c r="I221" i="5"/>
  <c r="J220" i="5" s="1"/>
  <c r="B223" i="5"/>
  <c r="C222" i="5"/>
  <c r="F251" i="5"/>
  <c r="D251" i="5"/>
  <c r="H251" i="5" s="1"/>
  <c r="I251" i="5"/>
  <c r="J250" i="5" s="1"/>
  <c r="B253" i="5"/>
  <c r="C252" i="5"/>
  <c r="F280" i="5"/>
  <c r="D280" i="5"/>
  <c r="H280" i="5" s="1"/>
  <c r="I280" i="5"/>
  <c r="J279" i="5" s="1"/>
  <c r="B282" i="5"/>
  <c r="C281" i="5"/>
  <c r="F308" i="5"/>
  <c r="D308" i="5"/>
  <c r="H308" i="5" s="1"/>
  <c r="I308" i="5"/>
  <c r="J307" i="5" s="1"/>
  <c r="B310" i="5"/>
  <c r="C309" i="5"/>
  <c r="F335" i="5"/>
  <c r="D335" i="5"/>
  <c r="H335" i="5" s="1"/>
  <c r="I335" i="5"/>
  <c r="J334" i="5" s="1"/>
  <c r="B337" i="5"/>
  <c r="C336" i="5"/>
  <c r="F361" i="5"/>
  <c r="D361" i="5"/>
  <c r="H361" i="5" s="1"/>
  <c r="I361" i="5"/>
  <c r="J360" i="5" s="1"/>
  <c r="B363" i="5"/>
  <c r="C362" i="5"/>
  <c r="F386" i="5"/>
  <c r="D386" i="5"/>
  <c r="H386" i="5" s="1"/>
  <c r="I386" i="5"/>
  <c r="J385" i="5" s="1"/>
  <c r="B388" i="5"/>
  <c r="C387" i="5"/>
  <c r="F410" i="5"/>
  <c r="D410" i="5"/>
  <c r="H410" i="5" s="1"/>
  <c r="I410" i="5"/>
  <c r="J409" i="5" s="1"/>
  <c r="B412" i="5"/>
  <c r="C411" i="5"/>
  <c r="F433" i="5"/>
  <c r="D433" i="5"/>
  <c r="H433" i="5" s="1"/>
  <c r="I433" i="5"/>
  <c r="J432" i="5" s="1"/>
  <c r="B435" i="5"/>
  <c r="C434" i="5"/>
  <c r="F455" i="5"/>
  <c r="D455" i="5"/>
  <c r="H455" i="5" s="1"/>
  <c r="I455" i="5"/>
  <c r="J454" i="5" s="1"/>
  <c r="B457" i="5"/>
  <c r="C456" i="5"/>
  <c r="F476" i="5"/>
  <c r="D476" i="5"/>
  <c r="H476" i="5" s="1"/>
  <c r="I476" i="5"/>
  <c r="J475" i="5" s="1"/>
  <c r="B478" i="5"/>
  <c r="C477" i="5"/>
  <c r="F496" i="5"/>
  <c r="D496" i="5"/>
  <c r="H496" i="5" s="1"/>
  <c r="I496" i="5"/>
  <c r="J495" i="5" s="1"/>
  <c r="B498" i="5"/>
  <c r="C497" i="5"/>
  <c r="F515" i="5"/>
  <c r="D515" i="5"/>
  <c r="H515" i="5" s="1"/>
  <c r="I515" i="5"/>
  <c r="J514" i="5" s="1"/>
  <c r="B517" i="5"/>
  <c r="C516" i="5"/>
  <c r="F533" i="5"/>
  <c r="D533" i="5"/>
  <c r="H533" i="5" s="1"/>
  <c r="I533" i="5"/>
  <c r="J532" i="5" s="1"/>
  <c r="B535" i="5"/>
  <c r="C534" i="5"/>
  <c r="F20" i="6"/>
  <c r="D20" i="6"/>
  <c r="H20" i="6" s="1"/>
  <c r="I20" i="6"/>
  <c r="B22" i="6"/>
  <c r="C21" i="6"/>
  <c r="F21" i="6" l="1"/>
  <c r="D21" i="6"/>
  <c r="H21" i="6" s="1"/>
  <c r="I21" i="6"/>
  <c r="B23" i="6"/>
  <c r="C22" i="6"/>
  <c r="F534" i="5"/>
  <c r="D534" i="5"/>
  <c r="H534" i="5" s="1"/>
  <c r="I534" i="5"/>
  <c r="J533" i="5" s="1"/>
  <c r="B536" i="5"/>
  <c r="C535" i="5"/>
  <c r="F516" i="5"/>
  <c r="D516" i="5"/>
  <c r="H516" i="5" s="1"/>
  <c r="I516" i="5"/>
  <c r="J515" i="5" s="1"/>
  <c r="B518" i="5"/>
  <c r="C517" i="5"/>
  <c r="F497" i="5"/>
  <c r="D497" i="5"/>
  <c r="H497" i="5" s="1"/>
  <c r="I497" i="5"/>
  <c r="J496" i="5" s="1"/>
  <c r="B499" i="5"/>
  <c r="C498" i="5"/>
  <c r="F477" i="5"/>
  <c r="D477" i="5"/>
  <c r="H477" i="5" s="1"/>
  <c r="I477" i="5"/>
  <c r="J476" i="5" s="1"/>
  <c r="B479" i="5"/>
  <c r="C478" i="5"/>
  <c r="F456" i="5"/>
  <c r="D456" i="5"/>
  <c r="H456" i="5" s="1"/>
  <c r="I456" i="5"/>
  <c r="J455" i="5" s="1"/>
  <c r="B458" i="5"/>
  <c r="C457" i="5"/>
  <c r="F434" i="5"/>
  <c r="D434" i="5"/>
  <c r="H434" i="5" s="1"/>
  <c r="I434" i="5"/>
  <c r="J433" i="5" s="1"/>
  <c r="B436" i="5"/>
  <c r="C435" i="5"/>
  <c r="F411" i="5"/>
  <c r="D411" i="5"/>
  <c r="H411" i="5" s="1"/>
  <c r="I411" i="5"/>
  <c r="J410" i="5" s="1"/>
  <c r="B413" i="5"/>
  <c r="C412" i="5"/>
  <c r="F387" i="5"/>
  <c r="D387" i="5"/>
  <c r="H387" i="5" s="1"/>
  <c r="I387" i="5"/>
  <c r="J386" i="5" s="1"/>
  <c r="B389" i="5"/>
  <c r="C388" i="5"/>
  <c r="F362" i="5"/>
  <c r="D362" i="5"/>
  <c r="H362" i="5" s="1"/>
  <c r="I362" i="5"/>
  <c r="J361" i="5" s="1"/>
  <c r="B364" i="5"/>
  <c r="C363" i="5"/>
  <c r="F336" i="5"/>
  <c r="D336" i="5"/>
  <c r="H336" i="5" s="1"/>
  <c r="I336" i="5"/>
  <c r="J335" i="5" s="1"/>
  <c r="B338" i="5"/>
  <c r="C337" i="5"/>
  <c r="F309" i="5"/>
  <c r="D309" i="5"/>
  <c r="H309" i="5" s="1"/>
  <c r="I309" i="5"/>
  <c r="J308" i="5" s="1"/>
  <c r="B311" i="5"/>
  <c r="C310" i="5"/>
  <c r="F281" i="5"/>
  <c r="D281" i="5"/>
  <c r="H281" i="5" s="1"/>
  <c r="I281" i="5"/>
  <c r="J280" i="5" s="1"/>
  <c r="B283" i="5"/>
  <c r="C282" i="5"/>
  <c r="F252" i="5"/>
  <c r="D252" i="5"/>
  <c r="H252" i="5" s="1"/>
  <c r="I252" i="5"/>
  <c r="J251" i="5" s="1"/>
  <c r="B254" i="5"/>
  <c r="C253" i="5"/>
  <c r="F222" i="5"/>
  <c r="D222" i="5"/>
  <c r="H222" i="5" s="1"/>
  <c r="I222" i="5"/>
  <c r="J221" i="5" s="1"/>
  <c r="B224" i="5"/>
  <c r="C223" i="5"/>
  <c r="F191" i="5"/>
  <c r="D191" i="5"/>
  <c r="H191" i="5" s="1"/>
  <c r="I191" i="5"/>
  <c r="J190" i="5" s="1"/>
  <c r="B193" i="5"/>
  <c r="C192" i="5"/>
  <c r="F159" i="5"/>
  <c r="D159" i="5"/>
  <c r="H159" i="5" s="1"/>
  <c r="I159" i="5"/>
  <c r="J158" i="5" s="1"/>
  <c r="B161" i="5"/>
  <c r="C160" i="5"/>
  <c r="F126" i="5"/>
  <c r="D126" i="5"/>
  <c r="H126" i="5" s="1"/>
  <c r="I126" i="5"/>
  <c r="J125" i="5" s="1"/>
  <c r="B128" i="5"/>
  <c r="C127" i="5"/>
  <c r="F92" i="5"/>
  <c r="D92" i="5"/>
  <c r="H92" i="5" s="1"/>
  <c r="I92" i="5"/>
  <c r="J91" i="5" s="1"/>
  <c r="B94" i="5"/>
  <c r="C93" i="5"/>
  <c r="F57" i="5"/>
  <c r="D57" i="5"/>
  <c r="H57" i="5" s="1"/>
  <c r="I57" i="5"/>
  <c r="J56" i="5" s="1"/>
  <c r="B59" i="5"/>
  <c r="C58" i="5"/>
  <c r="F21" i="5"/>
  <c r="D21" i="5"/>
  <c r="H21" i="5" s="1"/>
  <c r="I21" i="5"/>
  <c r="J20" i="5" s="1"/>
  <c r="B23" i="5"/>
  <c r="C22" i="5"/>
  <c r="F914" i="4"/>
  <c r="D914" i="4"/>
  <c r="H914" i="4" s="1"/>
  <c r="I914" i="4"/>
  <c r="J913" i="4" s="1"/>
  <c r="B916" i="4"/>
  <c r="C915" i="4"/>
  <c r="F876" i="4"/>
  <c r="D876" i="4"/>
  <c r="H876" i="4" s="1"/>
  <c r="I876" i="4"/>
  <c r="J875" i="4" s="1"/>
  <c r="B878" i="4"/>
  <c r="C877" i="4"/>
  <c r="F837" i="4"/>
  <c r="D837" i="4"/>
  <c r="H837" i="4" s="1"/>
  <c r="I837" i="4"/>
  <c r="J836" i="4" s="1"/>
  <c r="B839" i="4"/>
  <c r="C838" i="4"/>
  <c r="F797" i="4"/>
  <c r="D797" i="4"/>
  <c r="H797" i="4" s="1"/>
  <c r="I797" i="4"/>
  <c r="J796" i="4" s="1"/>
  <c r="B799" i="4"/>
  <c r="C798" i="4"/>
  <c r="F756" i="4"/>
  <c r="D756" i="4"/>
  <c r="H756" i="4" s="1"/>
  <c r="I756" i="4"/>
  <c r="J755" i="4" s="1"/>
  <c r="B758" i="4"/>
  <c r="C757" i="4"/>
  <c r="F714" i="4"/>
  <c r="D714" i="4"/>
  <c r="H714" i="4" s="1"/>
  <c r="I714" i="4"/>
  <c r="J713" i="4" s="1"/>
  <c r="B716" i="4"/>
  <c r="C715" i="4"/>
  <c r="F671" i="4"/>
  <c r="D671" i="4"/>
  <c r="H671" i="4" s="1"/>
  <c r="I671" i="4"/>
  <c r="J670" i="4" s="1"/>
  <c r="B673" i="4"/>
  <c r="C672" i="4"/>
  <c r="F627" i="4"/>
  <c r="D627" i="4"/>
  <c r="H627" i="4" s="1"/>
  <c r="I627" i="4"/>
  <c r="J626" i="4" s="1"/>
  <c r="B629" i="4"/>
  <c r="C628" i="4"/>
  <c r="F582" i="4"/>
  <c r="D582" i="4"/>
  <c r="H582" i="4" s="1"/>
  <c r="I582" i="4"/>
  <c r="J581" i="4" s="1"/>
  <c r="B584" i="4"/>
  <c r="C583" i="4"/>
  <c r="I536" i="4"/>
  <c r="J535" i="4" s="1"/>
  <c r="H536" i="4"/>
  <c r="C538" i="4"/>
  <c r="F537" i="4"/>
  <c r="D537" i="4"/>
  <c r="B538" i="4"/>
  <c r="I537" i="4"/>
  <c r="J536" i="4" s="1"/>
  <c r="H537" i="4"/>
  <c r="F489" i="4"/>
  <c r="D489" i="4"/>
  <c r="H489" i="4" s="1"/>
  <c r="I489" i="4"/>
  <c r="J488" i="4" s="1"/>
  <c r="B491" i="4"/>
  <c r="C490" i="4"/>
  <c r="F441" i="4"/>
  <c r="D441" i="4"/>
  <c r="H441" i="4" s="1"/>
  <c r="I441" i="4"/>
  <c r="J440" i="4" s="1"/>
  <c r="B443" i="4"/>
  <c r="C442" i="4"/>
  <c r="F392" i="4"/>
  <c r="D392" i="4"/>
  <c r="H392" i="4" s="1"/>
  <c r="I392" i="4"/>
  <c r="J391" i="4" s="1"/>
  <c r="B394" i="4"/>
  <c r="C393" i="4"/>
  <c r="F342" i="4"/>
  <c r="D342" i="4"/>
  <c r="H342" i="4" s="1"/>
  <c r="I342" i="4"/>
  <c r="J341" i="4" s="1"/>
  <c r="B344" i="4"/>
  <c r="C343" i="4"/>
  <c r="F291" i="4"/>
  <c r="D291" i="4"/>
  <c r="H291" i="4" s="1"/>
  <c r="I291" i="4"/>
  <c r="J290" i="4" s="1"/>
  <c r="B293" i="4"/>
  <c r="C292" i="4"/>
  <c r="F239" i="4"/>
  <c r="D239" i="4"/>
  <c r="H239" i="4" s="1"/>
  <c r="I239" i="4"/>
  <c r="J238" i="4" s="1"/>
  <c r="B241" i="4"/>
  <c r="C240" i="4"/>
  <c r="F186" i="4"/>
  <c r="D186" i="4"/>
  <c r="H186" i="4" s="1"/>
  <c r="I186" i="4"/>
  <c r="J185" i="4" s="1"/>
  <c r="B188" i="4"/>
  <c r="C187" i="4"/>
  <c r="F132" i="4"/>
  <c r="D132" i="4"/>
  <c r="H132" i="4" s="1"/>
  <c r="I132" i="4"/>
  <c r="J131" i="4" s="1"/>
  <c r="B134" i="4"/>
  <c r="C133" i="4"/>
  <c r="I77" i="4"/>
  <c r="J76" i="4" s="1"/>
  <c r="H77" i="4"/>
  <c r="C79" i="4"/>
  <c r="F78" i="4"/>
  <c r="D78" i="4"/>
  <c r="B79" i="4"/>
  <c r="I78" i="4"/>
  <c r="J77" i="4" s="1"/>
  <c r="H78" i="4"/>
  <c r="I21" i="4"/>
  <c r="J20" i="4" s="1"/>
  <c r="H21" i="4"/>
  <c r="C23" i="4"/>
  <c r="F22" i="4"/>
  <c r="D22" i="4"/>
  <c r="B23" i="4"/>
  <c r="I22" i="4"/>
  <c r="J21" i="4" s="1"/>
  <c r="H22" i="4"/>
  <c r="I924" i="3"/>
  <c r="J923" i="3" s="1"/>
  <c r="H924" i="3"/>
  <c r="C926" i="3"/>
  <c r="F925" i="3"/>
  <c r="D925" i="3"/>
  <c r="B926" i="3"/>
  <c r="I925" i="3"/>
  <c r="J924" i="3" s="1"/>
  <c r="H925" i="3"/>
  <c r="I866" i="3"/>
  <c r="J865" i="3" s="1"/>
  <c r="H866" i="3"/>
  <c r="C868" i="3"/>
  <c r="F867" i="3"/>
  <c r="D867" i="3"/>
  <c r="B868" i="3"/>
  <c r="I867" i="3"/>
  <c r="J866" i="3" s="1"/>
  <c r="H867" i="3"/>
  <c r="I807" i="3"/>
  <c r="J806" i="3" s="1"/>
  <c r="H807" i="3"/>
  <c r="C809" i="3"/>
  <c r="F808" i="3"/>
  <c r="D808" i="3"/>
  <c r="B809" i="3"/>
  <c r="I808" i="3"/>
  <c r="J807" i="3" s="1"/>
  <c r="H808" i="3"/>
  <c r="I747" i="3"/>
  <c r="J746" i="3" s="1"/>
  <c r="H747" i="3"/>
  <c r="C749" i="3"/>
  <c r="F748" i="3"/>
  <c r="D748" i="3"/>
  <c r="B749" i="3"/>
  <c r="I748" i="3"/>
  <c r="J747" i="3" s="1"/>
  <c r="H748" i="3"/>
  <c r="I686" i="3"/>
  <c r="J685" i="3" s="1"/>
  <c r="H686" i="3"/>
  <c r="C688" i="3"/>
  <c r="F687" i="3"/>
  <c r="D687" i="3"/>
  <c r="B688" i="3"/>
  <c r="I687" i="3"/>
  <c r="J686" i="3" s="1"/>
  <c r="H687" i="3"/>
  <c r="I624" i="3"/>
  <c r="J623" i="3" s="1"/>
  <c r="H624" i="3"/>
  <c r="C626" i="3"/>
  <c r="F625" i="3"/>
  <c r="D625" i="3"/>
  <c r="B626" i="3"/>
  <c r="I625" i="3"/>
  <c r="J624" i="3" s="1"/>
  <c r="H625" i="3"/>
  <c r="I561" i="3"/>
  <c r="J560" i="3" s="1"/>
  <c r="H561" i="3"/>
  <c r="C563" i="3"/>
  <c r="F562" i="3"/>
  <c r="D562" i="3"/>
  <c r="B563" i="3"/>
  <c r="I562" i="3"/>
  <c r="J561" i="3" s="1"/>
  <c r="H562" i="3"/>
  <c r="I497" i="3"/>
  <c r="J496" i="3" s="1"/>
  <c r="H497" i="3"/>
  <c r="C499" i="3"/>
  <c r="F498" i="3"/>
  <c r="D498" i="3"/>
  <c r="B499" i="3"/>
  <c r="I498" i="3"/>
  <c r="J497" i="3" s="1"/>
  <c r="H498" i="3"/>
  <c r="I432" i="3"/>
  <c r="J431" i="3" s="1"/>
  <c r="H432" i="3"/>
  <c r="C434" i="3"/>
  <c r="F433" i="3"/>
  <c r="D433" i="3"/>
  <c r="B434" i="3"/>
  <c r="I433" i="3"/>
  <c r="J432" i="3" s="1"/>
  <c r="H433" i="3"/>
  <c r="I366" i="3"/>
  <c r="J365" i="3" s="1"/>
  <c r="H366" i="3"/>
  <c r="C368" i="3"/>
  <c r="F367" i="3"/>
  <c r="D367" i="3"/>
  <c r="B368" i="3"/>
  <c r="I367" i="3"/>
  <c r="J366" i="3" s="1"/>
  <c r="H367" i="3"/>
  <c r="I299" i="3"/>
  <c r="J298" i="3" s="1"/>
  <c r="H299" i="3"/>
  <c r="C301" i="3"/>
  <c r="F300" i="3"/>
  <c r="D300" i="3"/>
  <c r="B301" i="3"/>
  <c r="I300" i="3"/>
  <c r="J299" i="3" s="1"/>
  <c r="H300" i="3"/>
  <c r="I231" i="3"/>
  <c r="J230" i="3" s="1"/>
  <c r="H231" i="3"/>
  <c r="C233" i="3"/>
  <c r="F232" i="3"/>
  <c r="D232" i="3"/>
  <c r="B233" i="3"/>
  <c r="I232" i="3"/>
  <c r="J231" i="3" s="1"/>
  <c r="H232" i="3"/>
  <c r="I162" i="3"/>
  <c r="J161" i="3" s="1"/>
  <c r="H162" i="3"/>
  <c r="C164" i="3"/>
  <c r="F163" i="3"/>
  <c r="D163" i="3"/>
  <c r="B164" i="3"/>
  <c r="I163" i="3"/>
  <c r="J162" i="3" s="1"/>
  <c r="H163" i="3"/>
  <c r="I92" i="3"/>
  <c r="J91" i="3" s="1"/>
  <c r="H92" i="3"/>
  <c r="C94" i="3"/>
  <c r="F93" i="3"/>
  <c r="D93" i="3"/>
  <c r="B94" i="3"/>
  <c r="I93" i="3"/>
  <c r="J92" i="3" s="1"/>
  <c r="H93" i="3"/>
  <c r="I21" i="3"/>
  <c r="J20" i="3" s="1"/>
  <c r="H21" i="3"/>
  <c r="C23" i="3"/>
  <c r="F22" i="3"/>
  <c r="D22" i="3"/>
  <c r="B23" i="3"/>
  <c r="I22" i="3"/>
  <c r="J21" i="3" s="1"/>
  <c r="H22" i="3"/>
  <c r="I796" i="2"/>
  <c r="J795" i="2" s="1"/>
  <c r="H796" i="2"/>
  <c r="C798" i="2"/>
  <c r="F797" i="2"/>
  <c r="D797" i="2"/>
  <c r="B798" i="2"/>
  <c r="I797" i="2"/>
  <c r="J796" i="2" s="1"/>
  <c r="H797" i="2"/>
  <c r="I723" i="2"/>
  <c r="J722" i="2" s="1"/>
  <c r="H723" i="2"/>
  <c r="C725" i="2"/>
  <c r="F724" i="2"/>
  <c r="B725" i="2"/>
  <c r="I724" i="2"/>
  <c r="J723" i="2" s="1"/>
  <c r="H724" i="2"/>
  <c r="I649" i="2"/>
  <c r="J648" i="2" s="1"/>
  <c r="H649" i="2"/>
  <c r="C651" i="2"/>
  <c r="F650" i="2"/>
  <c r="B651" i="2"/>
  <c r="I650" i="2"/>
  <c r="J649" i="2" s="1"/>
  <c r="H650" i="2"/>
  <c r="I574" i="2"/>
  <c r="J573" i="2" s="1"/>
  <c r="H574" i="2"/>
  <c r="C576" i="2"/>
  <c r="F575" i="2"/>
  <c r="B576" i="2"/>
  <c r="I575" i="2"/>
  <c r="J574" i="2" s="1"/>
  <c r="H575" i="2"/>
  <c r="I498" i="2"/>
  <c r="J497" i="2" s="1"/>
  <c r="H498" i="2"/>
  <c r="C500" i="2"/>
  <c r="F499" i="2"/>
  <c r="D499" i="2"/>
  <c r="B500" i="2"/>
  <c r="I499" i="2"/>
  <c r="J498" i="2" s="1"/>
  <c r="H499" i="2"/>
  <c r="I421" i="2"/>
  <c r="J420" i="2" s="1"/>
  <c r="H421" i="2"/>
  <c r="C423" i="2"/>
  <c r="F422" i="2"/>
  <c r="D422" i="2"/>
  <c r="B423" i="2"/>
  <c r="I422" i="2"/>
  <c r="J421" i="2" s="1"/>
  <c r="H422" i="2"/>
  <c r="I343" i="2"/>
  <c r="J342" i="2" s="1"/>
  <c r="H343" i="2"/>
  <c r="C345" i="2"/>
  <c r="F344" i="2"/>
  <c r="D344" i="2"/>
  <c r="B345" i="2"/>
  <c r="I344" i="2"/>
  <c r="J343" i="2" s="1"/>
  <c r="H344" i="2"/>
  <c r="I264" i="2"/>
  <c r="J263" i="2" s="1"/>
  <c r="H264" i="2"/>
  <c r="C266" i="2"/>
  <c r="F265" i="2"/>
  <c r="D265" i="2"/>
  <c r="B266" i="2"/>
  <c r="I265" i="2"/>
  <c r="J264" i="2" s="1"/>
  <c r="H265" i="2"/>
  <c r="I184" i="2"/>
  <c r="J183" i="2" s="1"/>
  <c r="H184" i="2"/>
  <c r="C186" i="2"/>
  <c r="F185" i="2"/>
  <c r="D185" i="2"/>
  <c r="B186" i="2"/>
  <c r="I185" i="2"/>
  <c r="J184" i="2" s="1"/>
  <c r="H185" i="2"/>
  <c r="I103" i="2"/>
  <c r="J102" i="2" s="1"/>
  <c r="H103" i="2"/>
  <c r="C105" i="2"/>
  <c r="F104" i="2"/>
  <c r="D104" i="2"/>
  <c r="B105" i="2"/>
  <c r="I104" i="2"/>
  <c r="J103" i="2" s="1"/>
  <c r="H104" i="2"/>
  <c r="I21" i="2"/>
  <c r="J20" i="2" s="1"/>
  <c r="H21" i="2"/>
  <c r="C23" i="2"/>
  <c r="F22" i="2"/>
  <c r="D22" i="2"/>
  <c r="B23" i="2"/>
  <c r="I22" i="2"/>
  <c r="J21" i="2" s="1"/>
  <c r="H22" i="2"/>
  <c r="B24" i="2" l="1"/>
  <c r="C24" i="2"/>
  <c r="F23" i="2"/>
  <c r="D23" i="2"/>
  <c r="B106" i="2"/>
  <c r="C106" i="2"/>
  <c r="F105" i="2"/>
  <c r="D105" i="2"/>
  <c r="B187" i="2"/>
  <c r="C187" i="2"/>
  <c r="F186" i="2"/>
  <c r="D186" i="2"/>
  <c r="B267" i="2"/>
  <c r="C267" i="2"/>
  <c r="F266" i="2"/>
  <c r="D266" i="2"/>
  <c r="B346" i="2"/>
  <c r="C346" i="2"/>
  <c r="F345" i="2"/>
  <c r="D345" i="2"/>
  <c r="B424" i="2"/>
  <c r="C424" i="2"/>
  <c r="F423" i="2"/>
  <c r="D423" i="2"/>
  <c r="B501" i="2"/>
  <c r="C501" i="2"/>
  <c r="F500" i="2"/>
  <c r="D500" i="2"/>
  <c r="B577" i="2"/>
  <c r="C577" i="2"/>
  <c r="F576" i="2"/>
  <c r="B652" i="2"/>
  <c r="C652" i="2"/>
  <c r="F651" i="2"/>
  <c r="B726" i="2"/>
  <c r="C726" i="2"/>
  <c r="F725" i="2"/>
  <c r="B799" i="2"/>
  <c r="C799" i="2"/>
  <c r="F798" i="2"/>
  <c r="D798" i="2"/>
  <c r="B24" i="3"/>
  <c r="C24" i="3"/>
  <c r="F23" i="3"/>
  <c r="D23" i="3"/>
  <c r="B95" i="3"/>
  <c r="C95" i="3"/>
  <c r="F94" i="3"/>
  <c r="D94" i="3"/>
  <c r="B165" i="3"/>
  <c r="C165" i="3"/>
  <c r="F164" i="3"/>
  <c r="D164" i="3"/>
  <c r="B234" i="3"/>
  <c r="C234" i="3"/>
  <c r="F233" i="3"/>
  <c r="D233" i="3"/>
  <c r="B302" i="3"/>
  <c r="C302" i="3"/>
  <c r="F301" i="3"/>
  <c r="D301" i="3"/>
  <c r="B369" i="3"/>
  <c r="C369" i="3"/>
  <c r="F368" i="3"/>
  <c r="D368" i="3"/>
  <c r="B435" i="3"/>
  <c r="C435" i="3"/>
  <c r="F434" i="3"/>
  <c r="D434" i="3"/>
  <c r="B500" i="3"/>
  <c r="C500" i="3"/>
  <c r="F499" i="3"/>
  <c r="D499" i="3"/>
  <c r="B564" i="3"/>
  <c r="C564" i="3"/>
  <c r="F563" i="3"/>
  <c r="D563" i="3"/>
  <c r="B627" i="3"/>
  <c r="C627" i="3"/>
  <c r="F626" i="3"/>
  <c r="D626" i="3"/>
  <c r="B689" i="3"/>
  <c r="C689" i="3"/>
  <c r="F688" i="3"/>
  <c r="D688" i="3"/>
  <c r="B750" i="3"/>
  <c r="C750" i="3"/>
  <c r="F749" i="3"/>
  <c r="D749" i="3"/>
  <c r="B810" i="3"/>
  <c r="C810" i="3"/>
  <c r="F809" i="3"/>
  <c r="D809" i="3"/>
  <c r="B869" i="3"/>
  <c r="C869" i="3"/>
  <c r="F868" i="3"/>
  <c r="D868" i="3"/>
  <c r="B927" i="3"/>
  <c r="C927" i="3"/>
  <c r="F926" i="3"/>
  <c r="D926" i="3"/>
  <c r="B24" i="4"/>
  <c r="C24" i="4"/>
  <c r="F23" i="4"/>
  <c r="D23" i="4"/>
  <c r="B80" i="4"/>
  <c r="C80" i="4"/>
  <c r="F79" i="4"/>
  <c r="D79" i="4"/>
  <c r="F133" i="4"/>
  <c r="D133" i="4"/>
  <c r="H133" i="4" s="1"/>
  <c r="I133" i="4"/>
  <c r="J132" i="4" s="1"/>
  <c r="B135" i="4"/>
  <c r="C134" i="4"/>
  <c r="F187" i="4"/>
  <c r="D187" i="4"/>
  <c r="H187" i="4" s="1"/>
  <c r="I187" i="4"/>
  <c r="J186" i="4" s="1"/>
  <c r="B189" i="4"/>
  <c r="C188" i="4"/>
  <c r="F240" i="4"/>
  <c r="D240" i="4"/>
  <c r="H240" i="4" s="1"/>
  <c r="I240" i="4"/>
  <c r="J239" i="4" s="1"/>
  <c r="B242" i="4"/>
  <c r="C241" i="4"/>
  <c r="F292" i="4"/>
  <c r="D292" i="4"/>
  <c r="H292" i="4" s="1"/>
  <c r="I292" i="4"/>
  <c r="J291" i="4" s="1"/>
  <c r="B294" i="4"/>
  <c r="C293" i="4"/>
  <c r="F343" i="4"/>
  <c r="D343" i="4"/>
  <c r="H343" i="4" s="1"/>
  <c r="I343" i="4"/>
  <c r="J342" i="4" s="1"/>
  <c r="B345" i="4"/>
  <c r="C344" i="4"/>
  <c r="F393" i="4"/>
  <c r="D393" i="4"/>
  <c r="H393" i="4" s="1"/>
  <c r="I393" i="4"/>
  <c r="J392" i="4" s="1"/>
  <c r="B395" i="4"/>
  <c r="C394" i="4"/>
  <c r="F442" i="4"/>
  <c r="D442" i="4"/>
  <c r="H442" i="4" s="1"/>
  <c r="I442" i="4"/>
  <c r="J441" i="4" s="1"/>
  <c r="B444" i="4"/>
  <c r="C443" i="4"/>
  <c r="F490" i="4"/>
  <c r="D490" i="4"/>
  <c r="H490" i="4" s="1"/>
  <c r="I490" i="4"/>
  <c r="J489" i="4" s="1"/>
  <c r="B492" i="4"/>
  <c r="C491" i="4"/>
  <c r="B539" i="4"/>
  <c r="C539" i="4"/>
  <c r="F538" i="4"/>
  <c r="D538" i="4"/>
  <c r="F583" i="4"/>
  <c r="D583" i="4"/>
  <c r="H583" i="4" s="1"/>
  <c r="I583" i="4"/>
  <c r="J582" i="4" s="1"/>
  <c r="B585" i="4"/>
  <c r="C584" i="4"/>
  <c r="F628" i="4"/>
  <c r="D628" i="4"/>
  <c r="H628" i="4" s="1"/>
  <c r="I628" i="4"/>
  <c r="J627" i="4" s="1"/>
  <c r="B630" i="4"/>
  <c r="C629" i="4"/>
  <c r="F672" i="4"/>
  <c r="D672" i="4"/>
  <c r="H672" i="4" s="1"/>
  <c r="I672" i="4"/>
  <c r="J671" i="4" s="1"/>
  <c r="B674" i="4"/>
  <c r="C673" i="4"/>
  <c r="F715" i="4"/>
  <c r="D715" i="4"/>
  <c r="H715" i="4" s="1"/>
  <c r="I715" i="4"/>
  <c r="J714" i="4" s="1"/>
  <c r="B717" i="4"/>
  <c r="C716" i="4"/>
  <c r="F757" i="4"/>
  <c r="D757" i="4"/>
  <c r="H757" i="4" s="1"/>
  <c r="I757" i="4"/>
  <c r="J756" i="4" s="1"/>
  <c r="B759" i="4"/>
  <c r="C758" i="4"/>
  <c r="F798" i="4"/>
  <c r="D798" i="4"/>
  <c r="H798" i="4" s="1"/>
  <c r="I798" i="4"/>
  <c r="J797" i="4" s="1"/>
  <c r="B800" i="4"/>
  <c r="C799" i="4"/>
  <c r="F838" i="4"/>
  <c r="D838" i="4"/>
  <c r="H838" i="4" s="1"/>
  <c r="I838" i="4"/>
  <c r="J837" i="4" s="1"/>
  <c r="B840" i="4"/>
  <c r="C839" i="4"/>
  <c r="F877" i="4"/>
  <c r="D877" i="4"/>
  <c r="H877" i="4" s="1"/>
  <c r="I877" i="4"/>
  <c r="J876" i="4" s="1"/>
  <c r="B879" i="4"/>
  <c r="C878" i="4"/>
  <c r="F915" i="4"/>
  <c r="D915" i="4"/>
  <c r="H915" i="4" s="1"/>
  <c r="I915" i="4"/>
  <c r="J914" i="4" s="1"/>
  <c r="B917" i="4"/>
  <c r="C916" i="4"/>
  <c r="F22" i="5"/>
  <c r="D22" i="5"/>
  <c r="H22" i="5" s="1"/>
  <c r="I22" i="5"/>
  <c r="J21" i="5" s="1"/>
  <c r="B24" i="5"/>
  <c r="C23" i="5"/>
  <c r="F58" i="5"/>
  <c r="D58" i="5"/>
  <c r="H58" i="5" s="1"/>
  <c r="I58" i="5"/>
  <c r="J57" i="5" s="1"/>
  <c r="B60" i="5"/>
  <c r="C59" i="5"/>
  <c r="F93" i="5"/>
  <c r="D93" i="5"/>
  <c r="H93" i="5" s="1"/>
  <c r="I93" i="5"/>
  <c r="J92" i="5" s="1"/>
  <c r="B95" i="5"/>
  <c r="C94" i="5"/>
  <c r="F127" i="5"/>
  <c r="D127" i="5"/>
  <c r="H127" i="5" s="1"/>
  <c r="I127" i="5"/>
  <c r="J126" i="5" s="1"/>
  <c r="B129" i="5"/>
  <c r="C128" i="5"/>
  <c r="F160" i="5"/>
  <c r="D160" i="5"/>
  <c r="H160" i="5" s="1"/>
  <c r="I160" i="5"/>
  <c r="J159" i="5" s="1"/>
  <c r="B162" i="5"/>
  <c r="C161" i="5"/>
  <c r="F192" i="5"/>
  <c r="D192" i="5"/>
  <c r="H192" i="5" s="1"/>
  <c r="I192" i="5"/>
  <c r="J191" i="5" s="1"/>
  <c r="B194" i="5"/>
  <c r="C193" i="5"/>
  <c r="F223" i="5"/>
  <c r="D223" i="5"/>
  <c r="H223" i="5" s="1"/>
  <c r="I223" i="5"/>
  <c r="J222" i="5" s="1"/>
  <c r="B225" i="5"/>
  <c r="C224" i="5"/>
  <c r="F253" i="5"/>
  <c r="D253" i="5"/>
  <c r="H253" i="5" s="1"/>
  <c r="I253" i="5"/>
  <c r="J252" i="5" s="1"/>
  <c r="B255" i="5"/>
  <c r="C254" i="5"/>
  <c r="F282" i="5"/>
  <c r="D282" i="5"/>
  <c r="H282" i="5" s="1"/>
  <c r="I282" i="5"/>
  <c r="J281" i="5" s="1"/>
  <c r="B284" i="5"/>
  <c r="C283" i="5"/>
  <c r="F310" i="5"/>
  <c r="D310" i="5"/>
  <c r="H310" i="5" s="1"/>
  <c r="I310" i="5"/>
  <c r="J309" i="5" s="1"/>
  <c r="B312" i="5"/>
  <c r="C311" i="5"/>
  <c r="F337" i="5"/>
  <c r="D337" i="5"/>
  <c r="H337" i="5" s="1"/>
  <c r="I337" i="5"/>
  <c r="J336" i="5" s="1"/>
  <c r="B339" i="5"/>
  <c r="C338" i="5"/>
  <c r="F363" i="5"/>
  <c r="D363" i="5"/>
  <c r="H363" i="5" s="1"/>
  <c r="I363" i="5"/>
  <c r="J362" i="5" s="1"/>
  <c r="B365" i="5"/>
  <c r="C364" i="5"/>
  <c r="F388" i="5"/>
  <c r="D388" i="5"/>
  <c r="H388" i="5" s="1"/>
  <c r="I388" i="5"/>
  <c r="J387" i="5" s="1"/>
  <c r="B390" i="5"/>
  <c r="C389" i="5"/>
  <c r="F412" i="5"/>
  <c r="D412" i="5"/>
  <c r="H412" i="5" s="1"/>
  <c r="I412" i="5"/>
  <c r="J411" i="5" s="1"/>
  <c r="B414" i="5"/>
  <c r="C413" i="5"/>
  <c r="F435" i="5"/>
  <c r="D435" i="5"/>
  <c r="H435" i="5" s="1"/>
  <c r="I435" i="5"/>
  <c r="J434" i="5" s="1"/>
  <c r="B437" i="5"/>
  <c r="C436" i="5"/>
  <c r="F457" i="5"/>
  <c r="D457" i="5"/>
  <c r="H457" i="5" s="1"/>
  <c r="I457" i="5"/>
  <c r="J456" i="5" s="1"/>
  <c r="B459" i="5"/>
  <c r="C458" i="5"/>
  <c r="F478" i="5"/>
  <c r="D478" i="5"/>
  <c r="H478" i="5" s="1"/>
  <c r="I478" i="5"/>
  <c r="J477" i="5" s="1"/>
  <c r="B480" i="5"/>
  <c r="C479" i="5"/>
  <c r="F498" i="5"/>
  <c r="D498" i="5"/>
  <c r="H498" i="5" s="1"/>
  <c r="I498" i="5"/>
  <c r="J497" i="5" s="1"/>
  <c r="B500" i="5"/>
  <c r="C499" i="5"/>
  <c r="F517" i="5"/>
  <c r="D517" i="5"/>
  <c r="H517" i="5" s="1"/>
  <c r="I517" i="5"/>
  <c r="J516" i="5" s="1"/>
  <c r="B519" i="5"/>
  <c r="C518" i="5"/>
  <c r="F535" i="5"/>
  <c r="D535" i="5"/>
  <c r="H535" i="5" s="1"/>
  <c r="I535" i="5"/>
  <c r="J534" i="5" s="1"/>
  <c r="B537" i="5"/>
  <c r="C536" i="5"/>
  <c r="F22" i="6"/>
  <c r="D22" i="6"/>
  <c r="H22" i="6" s="1"/>
  <c r="I22" i="6"/>
  <c r="B24" i="6"/>
  <c r="C23" i="6"/>
  <c r="F23" i="6" l="1"/>
  <c r="D23" i="6"/>
  <c r="H23" i="6" s="1"/>
  <c r="I23" i="6"/>
  <c r="B25" i="6"/>
  <c r="C24" i="6"/>
  <c r="F536" i="5"/>
  <c r="D536" i="5"/>
  <c r="H536" i="5" s="1"/>
  <c r="I536" i="5"/>
  <c r="J535" i="5" s="1"/>
  <c r="B538" i="5"/>
  <c r="C537" i="5"/>
  <c r="F518" i="5"/>
  <c r="D518" i="5"/>
  <c r="H518" i="5" s="1"/>
  <c r="I518" i="5"/>
  <c r="J517" i="5" s="1"/>
  <c r="B520" i="5"/>
  <c r="C519" i="5"/>
  <c r="F499" i="5"/>
  <c r="D499" i="5"/>
  <c r="H499" i="5" s="1"/>
  <c r="I499" i="5"/>
  <c r="J498" i="5" s="1"/>
  <c r="B501" i="5"/>
  <c r="C500" i="5"/>
  <c r="F479" i="5"/>
  <c r="D479" i="5"/>
  <c r="H479" i="5" s="1"/>
  <c r="I479" i="5"/>
  <c r="J478" i="5" s="1"/>
  <c r="B481" i="5"/>
  <c r="C480" i="5"/>
  <c r="F458" i="5"/>
  <c r="D458" i="5"/>
  <c r="H458" i="5" s="1"/>
  <c r="I458" i="5"/>
  <c r="J457" i="5" s="1"/>
  <c r="B460" i="5"/>
  <c r="C459" i="5"/>
  <c r="F436" i="5"/>
  <c r="D436" i="5"/>
  <c r="H436" i="5" s="1"/>
  <c r="I436" i="5"/>
  <c r="J435" i="5" s="1"/>
  <c r="B438" i="5"/>
  <c r="C437" i="5"/>
  <c r="F413" i="5"/>
  <c r="D413" i="5"/>
  <c r="H413" i="5" s="1"/>
  <c r="I413" i="5"/>
  <c r="J412" i="5" s="1"/>
  <c r="B415" i="5"/>
  <c r="C414" i="5"/>
  <c r="F389" i="5"/>
  <c r="D389" i="5"/>
  <c r="H389" i="5" s="1"/>
  <c r="I389" i="5"/>
  <c r="J388" i="5" s="1"/>
  <c r="B391" i="5"/>
  <c r="C390" i="5"/>
  <c r="F364" i="5"/>
  <c r="D364" i="5"/>
  <c r="H364" i="5" s="1"/>
  <c r="I364" i="5"/>
  <c r="J363" i="5" s="1"/>
  <c r="B366" i="5"/>
  <c r="C365" i="5"/>
  <c r="F338" i="5"/>
  <c r="D338" i="5"/>
  <c r="H338" i="5" s="1"/>
  <c r="I338" i="5"/>
  <c r="J337" i="5" s="1"/>
  <c r="B340" i="5"/>
  <c r="C339" i="5"/>
  <c r="F311" i="5"/>
  <c r="D311" i="5"/>
  <c r="H311" i="5" s="1"/>
  <c r="I311" i="5"/>
  <c r="J310" i="5" s="1"/>
  <c r="B313" i="5"/>
  <c r="C312" i="5"/>
  <c r="F283" i="5"/>
  <c r="D283" i="5"/>
  <c r="H283" i="5" s="1"/>
  <c r="I283" i="5"/>
  <c r="J282" i="5" s="1"/>
  <c r="B285" i="5"/>
  <c r="C284" i="5"/>
  <c r="F254" i="5"/>
  <c r="D254" i="5"/>
  <c r="H254" i="5" s="1"/>
  <c r="I254" i="5"/>
  <c r="J253" i="5" s="1"/>
  <c r="B256" i="5"/>
  <c r="C255" i="5"/>
  <c r="F224" i="5"/>
  <c r="D224" i="5"/>
  <c r="H224" i="5" s="1"/>
  <c r="I224" i="5"/>
  <c r="J223" i="5" s="1"/>
  <c r="B226" i="5"/>
  <c r="C225" i="5"/>
  <c r="F193" i="5"/>
  <c r="D193" i="5"/>
  <c r="H193" i="5" s="1"/>
  <c r="I193" i="5"/>
  <c r="J192" i="5" s="1"/>
  <c r="B195" i="5"/>
  <c r="C194" i="5"/>
  <c r="F161" i="5"/>
  <c r="D161" i="5"/>
  <c r="H161" i="5" s="1"/>
  <c r="I161" i="5"/>
  <c r="J160" i="5" s="1"/>
  <c r="B163" i="5"/>
  <c r="C162" i="5"/>
  <c r="F128" i="5"/>
  <c r="D128" i="5"/>
  <c r="H128" i="5" s="1"/>
  <c r="I128" i="5"/>
  <c r="J127" i="5" s="1"/>
  <c r="B130" i="5"/>
  <c r="C129" i="5"/>
  <c r="F94" i="5"/>
  <c r="D94" i="5"/>
  <c r="H94" i="5" s="1"/>
  <c r="I94" i="5"/>
  <c r="J93" i="5" s="1"/>
  <c r="B96" i="5"/>
  <c r="C95" i="5"/>
  <c r="F59" i="5"/>
  <c r="D59" i="5"/>
  <c r="H59" i="5" s="1"/>
  <c r="I59" i="5"/>
  <c r="J58" i="5" s="1"/>
  <c r="B61" i="5"/>
  <c r="C60" i="5"/>
  <c r="F23" i="5"/>
  <c r="D23" i="5"/>
  <c r="H23" i="5" s="1"/>
  <c r="I23" i="5"/>
  <c r="J22" i="5" s="1"/>
  <c r="B25" i="5"/>
  <c r="C24" i="5"/>
  <c r="F916" i="4"/>
  <c r="D916" i="4"/>
  <c r="H916" i="4" s="1"/>
  <c r="I916" i="4"/>
  <c r="J915" i="4" s="1"/>
  <c r="B918" i="4"/>
  <c r="C917" i="4"/>
  <c r="F878" i="4"/>
  <c r="D878" i="4"/>
  <c r="H878" i="4" s="1"/>
  <c r="I878" i="4"/>
  <c r="J877" i="4" s="1"/>
  <c r="B880" i="4"/>
  <c r="C879" i="4"/>
  <c r="F839" i="4"/>
  <c r="D839" i="4"/>
  <c r="H839" i="4" s="1"/>
  <c r="I839" i="4"/>
  <c r="J838" i="4" s="1"/>
  <c r="B841" i="4"/>
  <c r="C840" i="4"/>
  <c r="F799" i="4"/>
  <c r="D799" i="4"/>
  <c r="H799" i="4" s="1"/>
  <c r="I799" i="4"/>
  <c r="J798" i="4" s="1"/>
  <c r="B801" i="4"/>
  <c r="C800" i="4"/>
  <c r="F758" i="4"/>
  <c r="D758" i="4"/>
  <c r="H758" i="4" s="1"/>
  <c r="I758" i="4"/>
  <c r="J757" i="4" s="1"/>
  <c r="B760" i="4"/>
  <c r="C759" i="4"/>
  <c r="F716" i="4"/>
  <c r="D716" i="4"/>
  <c r="H716" i="4" s="1"/>
  <c r="I716" i="4"/>
  <c r="J715" i="4" s="1"/>
  <c r="B718" i="4"/>
  <c r="C717" i="4"/>
  <c r="F673" i="4"/>
  <c r="D673" i="4"/>
  <c r="H673" i="4" s="1"/>
  <c r="I673" i="4"/>
  <c r="J672" i="4" s="1"/>
  <c r="B675" i="4"/>
  <c r="C674" i="4"/>
  <c r="F629" i="4"/>
  <c r="D629" i="4"/>
  <c r="H629" i="4" s="1"/>
  <c r="I629" i="4"/>
  <c r="J628" i="4" s="1"/>
  <c r="B631" i="4"/>
  <c r="C630" i="4"/>
  <c r="F584" i="4"/>
  <c r="D584" i="4"/>
  <c r="H584" i="4" s="1"/>
  <c r="I584" i="4"/>
  <c r="J583" i="4" s="1"/>
  <c r="B586" i="4"/>
  <c r="C585" i="4"/>
  <c r="I538" i="4"/>
  <c r="J537" i="4" s="1"/>
  <c r="H538" i="4"/>
  <c r="C540" i="4"/>
  <c r="F539" i="4"/>
  <c r="D539" i="4"/>
  <c r="B540" i="4"/>
  <c r="I539" i="4"/>
  <c r="J538" i="4" s="1"/>
  <c r="H539" i="4"/>
  <c r="F491" i="4"/>
  <c r="D491" i="4"/>
  <c r="H491" i="4" s="1"/>
  <c r="I491" i="4"/>
  <c r="J490" i="4" s="1"/>
  <c r="B493" i="4"/>
  <c r="C492" i="4"/>
  <c r="F443" i="4"/>
  <c r="D443" i="4"/>
  <c r="H443" i="4" s="1"/>
  <c r="I443" i="4"/>
  <c r="J442" i="4" s="1"/>
  <c r="B445" i="4"/>
  <c r="C444" i="4"/>
  <c r="F394" i="4"/>
  <c r="D394" i="4"/>
  <c r="H394" i="4" s="1"/>
  <c r="I394" i="4"/>
  <c r="J393" i="4" s="1"/>
  <c r="B396" i="4"/>
  <c r="C395" i="4"/>
  <c r="F344" i="4"/>
  <c r="D344" i="4"/>
  <c r="H344" i="4" s="1"/>
  <c r="I344" i="4"/>
  <c r="J343" i="4" s="1"/>
  <c r="B346" i="4"/>
  <c r="C345" i="4"/>
  <c r="F293" i="4"/>
  <c r="D293" i="4"/>
  <c r="H293" i="4" s="1"/>
  <c r="I293" i="4"/>
  <c r="J292" i="4" s="1"/>
  <c r="B295" i="4"/>
  <c r="C294" i="4"/>
  <c r="F241" i="4"/>
  <c r="D241" i="4"/>
  <c r="H241" i="4" s="1"/>
  <c r="I241" i="4"/>
  <c r="J240" i="4" s="1"/>
  <c r="B243" i="4"/>
  <c r="C242" i="4"/>
  <c r="F188" i="4"/>
  <c r="D188" i="4"/>
  <c r="H188" i="4" s="1"/>
  <c r="I188" i="4"/>
  <c r="J187" i="4" s="1"/>
  <c r="B190" i="4"/>
  <c r="C189" i="4"/>
  <c r="F134" i="4"/>
  <c r="D134" i="4"/>
  <c r="H134" i="4" s="1"/>
  <c r="I134" i="4"/>
  <c r="J133" i="4" s="1"/>
  <c r="B136" i="4"/>
  <c r="C135" i="4"/>
  <c r="I79" i="4"/>
  <c r="J78" i="4" s="1"/>
  <c r="H79" i="4"/>
  <c r="C81" i="4"/>
  <c r="F80" i="4"/>
  <c r="D80" i="4"/>
  <c r="B81" i="4"/>
  <c r="I80" i="4"/>
  <c r="J79" i="4" s="1"/>
  <c r="H80" i="4"/>
  <c r="I23" i="4"/>
  <c r="J22" i="4" s="1"/>
  <c r="H23" i="4"/>
  <c r="C25" i="4"/>
  <c r="F24" i="4"/>
  <c r="D24" i="4"/>
  <c r="B25" i="4"/>
  <c r="I24" i="4"/>
  <c r="J23" i="4" s="1"/>
  <c r="H24" i="4"/>
  <c r="I926" i="3"/>
  <c r="J925" i="3" s="1"/>
  <c r="H926" i="3"/>
  <c r="C928" i="3"/>
  <c r="F927" i="3"/>
  <c r="D927" i="3"/>
  <c r="B928" i="3"/>
  <c r="I927" i="3"/>
  <c r="J926" i="3" s="1"/>
  <c r="H927" i="3"/>
  <c r="I868" i="3"/>
  <c r="J867" i="3" s="1"/>
  <c r="H868" i="3"/>
  <c r="C870" i="3"/>
  <c r="F869" i="3"/>
  <c r="D869" i="3"/>
  <c r="B870" i="3"/>
  <c r="I869" i="3"/>
  <c r="J868" i="3" s="1"/>
  <c r="H869" i="3"/>
  <c r="I809" i="3"/>
  <c r="J808" i="3" s="1"/>
  <c r="H809" i="3"/>
  <c r="C811" i="3"/>
  <c r="F810" i="3"/>
  <c r="D810" i="3"/>
  <c r="B811" i="3"/>
  <c r="I810" i="3"/>
  <c r="J809" i="3" s="1"/>
  <c r="H810" i="3"/>
  <c r="I749" i="3"/>
  <c r="J748" i="3" s="1"/>
  <c r="H749" i="3"/>
  <c r="C751" i="3"/>
  <c r="F750" i="3"/>
  <c r="D750" i="3"/>
  <c r="B751" i="3"/>
  <c r="I750" i="3"/>
  <c r="J749" i="3" s="1"/>
  <c r="H750" i="3"/>
  <c r="I688" i="3"/>
  <c r="J687" i="3" s="1"/>
  <c r="H688" i="3"/>
  <c r="C690" i="3"/>
  <c r="F689" i="3"/>
  <c r="D689" i="3"/>
  <c r="B690" i="3"/>
  <c r="I689" i="3"/>
  <c r="J688" i="3" s="1"/>
  <c r="H689" i="3"/>
  <c r="I626" i="3"/>
  <c r="J625" i="3" s="1"/>
  <c r="H626" i="3"/>
  <c r="C628" i="3"/>
  <c r="F627" i="3"/>
  <c r="D627" i="3"/>
  <c r="B628" i="3"/>
  <c r="I627" i="3"/>
  <c r="J626" i="3" s="1"/>
  <c r="H627" i="3"/>
  <c r="I563" i="3"/>
  <c r="J562" i="3" s="1"/>
  <c r="H563" i="3"/>
  <c r="C565" i="3"/>
  <c r="F564" i="3"/>
  <c r="D564" i="3"/>
  <c r="B565" i="3"/>
  <c r="I564" i="3"/>
  <c r="J563" i="3" s="1"/>
  <c r="H564" i="3"/>
  <c r="I499" i="3"/>
  <c r="J498" i="3" s="1"/>
  <c r="H499" i="3"/>
  <c r="C501" i="3"/>
  <c r="F500" i="3"/>
  <c r="D500" i="3"/>
  <c r="B501" i="3"/>
  <c r="I500" i="3"/>
  <c r="J499" i="3" s="1"/>
  <c r="H500" i="3"/>
  <c r="I434" i="3"/>
  <c r="J433" i="3" s="1"/>
  <c r="H434" i="3"/>
  <c r="C436" i="3"/>
  <c r="F435" i="3"/>
  <c r="D435" i="3"/>
  <c r="B436" i="3"/>
  <c r="I435" i="3"/>
  <c r="J434" i="3" s="1"/>
  <c r="H435" i="3"/>
  <c r="I368" i="3"/>
  <c r="J367" i="3" s="1"/>
  <c r="H368" i="3"/>
  <c r="C370" i="3"/>
  <c r="F369" i="3"/>
  <c r="D369" i="3"/>
  <c r="B370" i="3"/>
  <c r="I369" i="3"/>
  <c r="J368" i="3" s="1"/>
  <c r="H369" i="3"/>
  <c r="I301" i="3"/>
  <c r="J300" i="3" s="1"/>
  <c r="H301" i="3"/>
  <c r="C303" i="3"/>
  <c r="F302" i="3"/>
  <c r="D302" i="3"/>
  <c r="B303" i="3"/>
  <c r="I302" i="3"/>
  <c r="J301" i="3" s="1"/>
  <c r="H302" i="3"/>
  <c r="I233" i="3"/>
  <c r="J232" i="3" s="1"/>
  <c r="H233" i="3"/>
  <c r="C235" i="3"/>
  <c r="F234" i="3"/>
  <c r="D234" i="3"/>
  <c r="B235" i="3"/>
  <c r="I234" i="3"/>
  <c r="J233" i="3" s="1"/>
  <c r="H234" i="3"/>
  <c r="I164" i="3"/>
  <c r="J163" i="3" s="1"/>
  <c r="H164" i="3"/>
  <c r="C166" i="3"/>
  <c r="F165" i="3"/>
  <c r="D165" i="3"/>
  <c r="B166" i="3"/>
  <c r="I165" i="3"/>
  <c r="J164" i="3" s="1"/>
  <c r="H165" i="3"/>
  <c r="I94" i="3"/>
  <c r="J93" i="3" s="1"/>
  <c r="H94" i="3"/>
  <c r="C96" i="3"/>
  <c r="F95" i="3"/>
  <c r="D95" i="3"/>
  <c r="B96" i="3"/>
  <c r="I95" i="3"/>
  <c r="J94" i="3" s="1"/>
  <c r="H95" i="3"/>
  <c r="I23" i="3"/>
  <c r="J22" i="3" s="1"/>
  <c r="H23" i="3"/>
  <c r="C25" i="3"/>
  <c r="F24" i="3"/>
  <c r="D24" i="3"/>
  <c r="B25" i="3"/>
  <c r="I24" i="3"/>
  <c r="J23" i="3" s="1"/>
  <c r="H24" i="3"/>
  <c r="I798" i="2"/>
  <c r="J797" i="2" s="1"/>
  <c r="H798" i="2"/>
  <c r="C800" i="2"/>
  <c r="F799" i="2"/>
  <c r="D799" i="2"/>
  <c r="B800" i="2"/>
  <c r="I799" i="2"/>
  <c r="J798" i="2" s="1"/>
  <c r="H799" i="2"/>
  <c r="I725" i="2"/>
  <c r="J724" i="2" s="1"/>
  <c r="H725" i="2"/>
  <c r="C727" i="2"/>
  <c r="F726" i="2"/>
  <c r="B727" i="2"/>
  <c r="I726" i="2"/>
  <c r="J725" i="2" s="1"/>
  <c r="H726" i="2"/>
  <c r="I651" i="2"/>
  <c r="J650" i="2" s="1"/>
  <c r="H651" i="2"/>
  <c r="C653" i="2"/>
  <c r="F652" i="2"/>
  <c r="B653" i="2"/>
  <c r="I652" i="2"/>
  <c r="J651" i="2" s="1"/>
  <c r="H652" i="2"/>
  <c r="I576" i="2"/>
  <c r="J575" i="2" s="1"/>
  <c r="H576" i="2"/>
  <c r="C578" i="2"/>
  <c r="F577" i="2"/>
  <c r="B578" i="2"/>
  <c r="I577" i="2"/>
  <c r="J576" i="2" s="1"/>
  <c r="H577" i="2"/>
  <c r="I500" i="2"/>
  <c r="J499" i="2" s="1"/>
  <c r="H500" i="2"/>
  <c r="C502" i="2"/>
  <c r="F501" i="2"/>
  <c r="D501" i="2"/>
  <c r="B502" i="2"/>
  <c r="I501" i="2"/>
  <c r="J500" i="2" s="1"/>
  <c r="H501" i="2"/>
  <c r="I423" i="2"/>
  <c r="J422" i="2" s="1"/>
  <c r="H423" i="2"/>
  <c r="C425" i="2"/>
  <c r="F424" i="2"/>
  <c r="D424" i="2"/>
  <c r="B425" i="2"/>
  <c r="I424" i="2"/>
  <c r="J423" i="2" s="1"/>
  <c r="H424" i="2"/>
  <c r="I345" i="2"/>
  <c r="J344" i="2" s="1"/>
  <c r="H345" i="2"/>
  <c r="C347" i="2"/>
  <c r="F346" i="2"/>
  <c r="D346" i="2"/>
  <c r="B347" i="2"/>
  <c r="I346" i="2"/>
  <c r="J345" i="2" s="1"/>
  <c r="H346" i="2"/>
  <c r="I266" i="2"/>
  <c r="J265" i="2" s="1"/>
  <c r="H266" i="2"/>
  <c r="C268" i="2"/>
  <c r="F267" i="2"/>
  <c r="D267" i="2"/>
  <c r="B268" i="2"/>
  <c r="I267" i="2"/>
  <c r="J266" i="2" s="1"/>
  <c r="H267" i="2"/>
  <c r="I186" i="2"/>
  <c r="J185" i="2" s="1"/>
  <c r="H186" i="2"/>
  <c r="C188" i="2"/>
  <c r="F187" i="2"/>
  <c r="D187" i="2"/>
  <c r="B188" i="2"/>
  <c r="I187" i="2"/>
  <c r="J186" i="2" s="1"/>
  <c r="H187" i="2"/>
  <c r="I105" i="2"/>
  <c r="J104" i="2" s="1"/>
  <c r="H105" i="2"/>
  <c r="C107" i="2"/>
  <c r="F106" i="2"/>
  <c r="D106" i="2"/>
  <c r="B107" i="2"/>
  <c r="I106" i="2"/>
  <c r="J105" i="2" s="1"/>
  <c r="H106" i="2"/>
  <c r="I23" i="2"/>
  <c r="J22" i="2" s="1"/>
  <c r="H23" i="2"/>
  <c r="C25" i="2"/>
  <c r="F24" i="2"/>
  <c r="D24" i="2"/>
  <c r="B25" i="2"/>
  <c r="I24" i="2"/>
  <c r="J23" i="2" s="1"/>
  <c r="H24" i="2"/>
  <c r="B26" i="2" l="1"/>
  <c r="C26" i="2"/>
  <c r="F25" i="2"/>
  <c r="D25" i="2"/>
  <c r="B108" i="2"/>
  <c r="C108" i="2"/>
  <c r="F107" i="2"/>
  <c r="D107" i="2"/>
  <c r="B189" i="2"/>
  <c r="C189" i="2"/>
  <c r="F188" i="2"/>
  <c r="D188" i="2"/>
  <c r="B269" i="2"/>
  <c r="C269" i="2"/>
  <c r="F268" i="2"/>
  <c r="D268" i="2"/>
  <c r="B348" i="2"/>
  <c r="C348" i="2"/>
  <c r="F347" i="2"/>
  <c r="D347" i="2"/>
  <c r="B426" i="2"/>
  <c r="C426" i="2"/>
  <c r="F425" i="2"/>
  <c r="D425" i="2"/>
  <c r="B503" i="2"/>
  <c r="C503" i="2"/>
  <c r="F502" i="2"/>
  <c r="D502" i="2"/>
  <c r="B579" i="2"/>
  <c r="C579" i="2"/>
  <c r="F578" i="2"/>
  <c r="B654" i="2"/>
  <c r="C654" i="2"/>
  <c r="F653" i="2"/>
  <c r="B728" i="2"/>
  <c r="C728" i="2"/>
  <c r="F727" i="2"/>
  <c r="B801" i="2"/>
  <c r="C801" i="2"/>
  <c r="F800" i="2"/>
  <c r="D800" i="2"/>
  <c r="B26" i="3"/>
  <c r="C26" i="3"/>
  <c r="F25" i="3"/>
  <c r="D25" i="3"/>
  <c r="B97" i="3"/>
  <c r="C97" i="3"/>
  <c r="F96" i="3"/>
  <c r="D96" i="3"/>
  <c r="B167" i="3"/>
  <c r="C167" i="3"/>
  <c r="F166" i="3"/>
  <c r="D166" i="3"/>
  <c r="B236" i="3"/>
  <c r="C236" i="3"/>
  <c r="F235" i="3"/>
  <c r="D235" i="3"/>
  <c r="B304" i="3"/>
  <c r="C304" i="3"/>
  <c r="F303" i="3"/>
  <c r="D303" i="3"/>
  <c r="B371" i="3"/>
  <c r="C371" i="3"/>
  <c r="F370" i="3"/>
  <c r="D370" i="3"/>
  <c r="B437" i="3"/>
  <c r="C437" i="3"/>
  <c r="F436" i="3"/>
  <c r="D436" i="3"/>
  <c r="B502" i="3"/>
  <c r="C502" i="3"/>
  <c r="F501" i="3"/>
  <c r="D501" i="3"/>
  <c r="B566" i="3"/>
  <c r="C566" i="3"/>
  <c r="F565" i="3"/>
  <c r="D565" i="3"/>
  <c r="B629" i="3"/>
  <c r="C629" i="3"/>
  <c r="F628" i="3"/>
  <c r="D628" i="3"/>
  <c r="B691" i="3"/>
  <c r="C691" i="3"/>
  <c r="F690" i="3"/>
  <c r="D690" i="3"/>
  <c r="B752" i="3"/>
  <c r="C752" i="3"/>
  <c r="F751" i="3"/>
  <c r="D751" i="3"/>
  <c r="B812" i="3"/>
  <c r="C812" i="3"/>
  <c r="F811" i="3"/>
  <c r="D811" i="3"/>
  <c r="B871" i="3"/>
  <c r="C871" i="3"/>
  <c r="F870" i="3"/>
  <c r="D870" i="3"/>
  <c r="B929" i="3"/>
  <c r="C929" i="3"/>
  <c r="F928" i="3"/>
  <c r="D928" i="3"/>
  <c r="B26" i="4"/>
  <c r="C26" i="4"/>
  <c r="F25" i="4"/>
  <c r="D25" i="4"/>
  <c r="B82" i="4"/>
  <c r="C82" i="4"/>
  <c r="F81" i="4"/>
  <c r="D81" i="4"/>
  <c r="F135" i="4"/>
  <c r="D135" i="4"/>
  <c r="H135" i="4" s="1"/>
  <c r="I135" i="4"/>
  <c r="J134" i="4" s="1"/>
  <c r="B137" i="4"/>
  <c r="C136" i="4"/>
  <c r="F189" i="4"/>
  <c r="D189" i="4"/>
  <c r="H189" i="4" s="1"/>
  <c r="I189" i="4"/>
  <c r="J188" i="4" s="1"/>
  <c r="B191" i="4"/>
  <c r="C190" i="4"/>
  <c r="F242" i="4"/>
  <c r="D242" i="4"/>
  <c r="H242" i="4" s="1"/>
  <c r="I242" i="4"/>
  <c r="J241" i="4" s="1"/>
  <c r="B244" i="4"/>
  <c r="C243" i="4"/>
  <c r="F294" i="4"/>
  <c r="D294" i="4"/>
  <c r="H294" i="4" s="1"/>
  <c r="I294" i="4"/>
  <c r="J293" i="4" s="1"/>
  <c r="B296" i="4"/>
  <c r="C295" i="4"/>
  <c r="F345" i="4"/>
  <c r="D345" i="4"/>
  <c r="H345" i="4" s="1"/>
  <c r="I345" i="4"/>
  <c r="J344" i="4" s="1"/>
  <c r="B347" i="4"/>
  <c r="C346" i="4"/>
  <c r="F395" i="4"/>
  <c r="D395" i="4"/>
  <c r="H395" i="4" s="1"/>
  <c r="I395" i="4"/>
  <c r="J394" i="4" s="1"/>
  <c r="B397" i="4"/>
  <c r="C396" i="4"/>
  <c r="F444" i="4"/>
  <c r="D444" i="4"/>
  <c r="H444" i="4" s="1"/>
  <c r="I444" i="4"/>
  <c r="J443" i="4" s="1"/>
  <c r="B446" i="4"/>
  <c r="C445" i="4"/>
  <c r="F492" i="4"/>
  <c r="D492" i="4"/>
  <c r="H492" i="4" s="1"/>
  <c r="I492" i="4"/>
  <c r="J491" i="4" s="1"/>
  <c r="B494" i="4"/>
  <c r="C493" i="4"/>
  <c r="B541" i="4"/>
  <c r="C541" i="4"/>
  <c r="F540" i="4"/>
  <c r="D540" i="4"/>
  <c r="F585" i="4"/>
  <c r="D585" i="4"/>
  <c r="H585" i="4" s="1"/>
  <c r="I585" i="4"/>
  <c r="J584" i="4" s="1"/>
  <c r="B587" i="4"/>
  <c r="C586" i="4"/>
  <c r="F630" i="4"/>
  <c r="D630" i="4"/>
  <c r="H630" i="4" s="1"/>
  <c r="I630" i="4"/>
  <c r="J629" i="4" s="1"/>
  <c r="B632" i="4"/>
  <c r="C631" i="4"/>
  <c r="F674" i="4"/>
  <c r="D674" i="4"/>
  <c r="H674" i="4" s="1"/>
  <c r="I674" i="4"/>
  <c r="J673" i="4" s="1"/>
  <c r="B676" i="4"/>
  <c r="C675" i="4"/>
  <c r="F717" i="4"/>
  <c r="D717" i="4"/>
  <c r="H717" i="4" s="1"/>
  <c r="I717" i="4"/>
  <c r="J716" i="4" s="1"/>
  <c r="B719" i="4"/>
  <c r="C718" i="4"/>
  <c r="F759" i="4"/>
  <c r="D759" i="4"/>
  <c r="H759" i="4" s="1"/>
  <c r="I759" i="4"/>
  <c r="J758" i="4" s="1"/>
  <c r="B761" i="4"/>
  <c r="C760" i="4"/>
  <c r="F800" i="4"/>
  <c r="D800" i="4"/>
  <c r="H800" i="4" s="1"/>
  <c r="I800" i="4"/>
  <c r="J799" i="4" s="1"/>
  <c r="B802" i="4"/>
  <c r="C801" i="4"/>
  <c r="F840" i="4"/>
  <c r="D840" i="4"/>
  <c r="H840" i="4" s="1"/>
  <c r="I840" i="4"/>
  <c r="J839" i="4" s="1"/>
  <c r="B842" i="4"/>
  <c r="C841" i="4"/>
  <c r="F879" i="4"/>
  <c r="D879" i="4"/>
  <c r="H879" i="4" s="1"/>
  <c r="I879" i="4"/>
  <c r="J878" i="4" s="1"/>
  <c r="B881" i="4"/>
  <c r="C880" i="4"/>
  <c r="F917" i="4"/>
  <c r="D917" i="4"/>
  <c r="H917" i="4" s="1"/>
  <c r="I917" i="4"/>
  <c r="J916" i="4" s="1"/>
  <c r="B919" i="4"/>
  <c r="C918" i="4"/>
  <c r="F24" i="5"/>
  <c r="D24" i="5"/>
  <c r="H24" i="5" s="1"/>
  <c r="I24" i="5"/>
  <c r="J23" i="5" s="1"/>
  <c r="B26" i="5"/>
  <c r="C25" i="5"/>
  <c r="F60" i="5"/>
  <c r="D60" i="5"/>
  <c r="H60" i="5" s="1"/>
  <c r="I60" i="5"/>
  <c r="J59" i="5" s="1"/>
  <c r="B62" i="5"/>
  <c r="C61" i="5"/>
  <c r="F95" i="5"/>
  <c r="D95" i="5"/>
  <c r="H95" i="5" s="1"/>
  <c r="I95" i="5"/>
  <c r="J94" i="5" s="1"/>
  <c r="B97" i="5"/>
  <c r="C96" i="5"/>
  <c r="F129" i="5"/>
  <c r="D129" i="5"/>
  <c r="H129" i="5" s="1"/>
  <c r="I129" i="5"/>
  <c r="J128" i="5" s="1"/>
  <c r="B131" i="5"/>
  <c r="C130" i="5"/>
  <c r="F162" i="5"/>
  <c r="D162" i="5"/>
  <c r="H162" i="5" s="1"/>
  <c r="I162" i="5"/>
  <c r="J161" i="5" s="1"/>
  <c r="B164" i="5"/>
  <c r="C163" i="5"/>
  <c r="F194" i="5"/>
  <c r="D194" i="5"/>
  <c r="H194" i="5" s="1"/>
  <c r="I194" i="5"/>
  <c r="J193" i="5" s="1"/>
  <c r="B196" i="5"/>
  <c r="C195" i="5"/>
  <c r="F225" i="5"/>
  <c r="D225" i="5"/>
  <c r="H225" i="5" s="1"/>
  <c r="I225" i="5"/>
  <c r="J224" i="5" s="1"/>
  <c r="B227" i="5"/>
  <c r="C226" i="5"/>
  <c r="F255" i="5"/>
  <c r="D255" i="5"/>
  <c r="H255" i="5" s="1"/>
  <c r="I255" i="5"/>
  <c r="J254" i="5" s="1"/>
  <c r="B257" i="5"/>
  <c r="C256" i="5"/>
  <c r="F284" i="5"/>
  <c r="D284" i="5"/>
  <c r="H284" i="5" s="1"/>
  <c r="I284" i="5"/>
  <c r="J283" i="5" s="1"/>
  <c r="B286" i="5"/>
  <c r="C285" i="5"/>
  <c r="F312" i="5"/>
  <c r="D312" i="5"/>
  <c r="H312" i="5" s="1"/>
  <c r="I312" i="5"/>
  <c r="J311" i="5" s="1"/>
  <c r="B314" i="5"/>
  <c r="C313" i="5"/>
  <c r="F339" i="5"/>
  <c r="D339" i="5"/>
  <c r="H339" i="5" s="1"/>
  <c r="I339" i="5"/>
  <c r="J338" i="5" s="1"/>
  <c r="B341" i="5"/>
  <c r="C340" i="5"/>
  <c r="F365" i="5"/>
  <c r="D365" i="5"/>
  <c r="H365" i="5" s="1"/>
  <c r="I365" i="5"/>
  <c r="J364" i="5" s="1"/>
  <c r="B367" i="5"/>
  <c r="C366" i="5"/>
  <c r="F390" i="5"/>
  <c r="D390" i="5"/>
  <c r="H390" i="5" s="1"/>
  <c r="I390" i="5"/>
  <c r="J389" i="5" s="1"/>
  <c r="B392" i="5"/>
  <c r="C391" i="5"/>
  <c r="F414" i="5"/>
  <c r="D414" i="5"/>
  <c r="H414" i="5" s="1"/>
  <c r="I414" i="5"/>
  <c r="J413" i="5" s="1"/>
  <c r="B416" i="5"/>
  <c r="C415" i="5"/>
  <c r="F437" i="5"/>
  <c r="D437" i="5"/>
  <c r="H437" i="5" s="1"/>
  <c r="I437" i="5"/>
  <c r="J436" i="5" s="1"/>
  <c r="B439" i="5"/>
  <c r="C438" i="5"/>
  <c r="F459" i="5"/>
  <c r="D459" i="5"/>
  <c r="H459" i="5" s="1"/>
  <c r="I459" i="5"/>
  <c r="J458" i="5" s="1"/>
  <c r="B461" i="5"/>
  <c r="C460" i="5"/>
  <c r="F480" i="5"/>
  <c r="D480" i="5"/>
  <c r="H480" i="5" s="1"/>
  <c r="I480" i="5"/>
  <c r="J479" i="5" s="1"/>
  <c r="B482" i="5"/>
  <c r="C481" i="5"/>
  <c r="F500" i="5"/>
  <c r="D500" i="5"/>
  <c r="H500" i="5" s="1"/>
  <c r="I500" i="5"/>
  <c r="J499" i="5" s="1"/>
  <c r="B502" i="5"/>
  <c r="C501" i="5"/>
  <c r="F519" i="5"/>
  <c r="D519" i="5"/>
  <c r="H519" i="5" s="1"/>
  <c r="I519" i="5"/>
  <c r="J518" i="5" s="1"/>
  <c r="B521" i="5"/>
  <c r="C520" i="5"/>
  <c r="F537" i="5"/>
  <c r="D537" i="5"/>
  <c r="H537" i="5" s="1"/>
  <c r="I537" i="5"/>
  <c r="J536" i="5" s="1"/>
  <c r="B539" i="5"/>
  <c r="C538" i="5"/>
  <c r="F24" i="6"/>
  <c r="D24" i="6"/>
  <c r="H24" i="6" s="1"/>
  <c r="I24" i="6"/>
  <c r="C25" i="6"/>
  <c r="F25" i="6" l="1"/>
  <c r="D25" i="6"/>
  <c r="H25" i="6" s="1"/>
  <c r="I25" i="6"/>
  <c r="F538" i="5"/>
  <c r="D538" i="5"/>
  <c r="H538" i="5" s="1"/>
  <c r="I538" i="5"/>
  <c r="J537" i="5" s="1"/>
  <c r="C539" i="5"/>
  <c r="F520" i="5"/>
  <c r="D520" i="5"/>
  <c r="H520" i="5" s="1"/>
  <c r="I520" i="5"/>
  <c r="J519" i="5" s="1"/>
  <c r="B522" i="5"/>
  <c r="C521" i="5"/>
  <c r="F501" i="5"/>
  <c r="D501" i="5"/>
  <c r="H501" i="5" s="1"/>
  <c r="I501" i="5"/>
  <c r="J500" i="5" s="1"/>
  <c r="B503" i="5"/>
  <c r="C502" i="5"/>
  <c r="F481" i="5"/>
  <c r="D481" i="5"/>
  <c r="H481" i="5" s="1"/>
  <c r="I481" i="5"/>
  <c r="J480" i="5" s="1"/>
  <c r="B483" i="5"/>
  <c r="C482" i="5"/>
  <c r="F460" i="5"/>
  <c r="D460" i="5"/>
  <c r="H460" i="5" s="1"/>
  <c r="I460" i="5"/>
  <c r="J459" i="5" s="1"/>
  <c r="B462" i="5"/>
  <c r="C461" i="5"/>
  <c r="F438" i="5"/>
  <c r="D438" i="5"/>
  <c r="H438" i="5" s="1"/>
  <c r="I438" i="5"/>
  <c r="J437" i="5" s="1"/>
  <c r="B440" i="5"/>
  <c r="C439" i="5"/>
  <c r="F415" i="5"/>
  <c r="D415" i="5"/>
  <c r="H415" i="5" s="1"/>
  <c r="I415" i="5"/>
  <c r="J414" i="5" s="1"/>
  <c r="B417" i="5"/>
  <c r="C416" i="5"/>
  <c r="F391" i="5"/>
  <c r="D391" i="5"/>
  <c r="H391" i="5" s="1"/>
  <c r="I391" i="5"/>
  <c r="J390" i="5" s="1"/>
  <c r="B393" i="5"/>
  <c r="C392" i="5"/>
  <c r="F366" i="5"/>
  <c r="D366" i="5"/>
  <c r="H366" i="5" s="1"/>
  <c r="I366" i="5"/>
  <c r="J365" i="5" s="1"/>
  <c r="B368" i="5"/>
  <c r="C367" i="5"/>
  <c r="F340" i="5"/>
  <c r="D340" i="5"/>
  <c r="H340" i="5" s="1"/>
  <c r="I340" i="5"/>
  <c r="J339" i="5" s="1"/>
  <c r="B342" i="5"/>
  <c r="C341" i="5"/>
  <c r="F313" i="5"/>
  <c r="D313" i="5"/>
  <c r="H313" i="5" s="1"/>
  <c r="I313" i="5"/>
  <c r="J312" i="5" s="1"/>
  <c r="B315" i="5"/>
  <c r="C314" i="5"/>
  <c r="F285" i="5"/>
  <c r="D285" i="5"/>
  <c r="H285" i="5" s="1"/>
  <c r="I285" i="5"/>
  <c r="J284" i="5" s="1"/>
  <c r="B287" i="5"/>
  <c r="C286" i="5"/>
  <c r="F256" i="5"/>
  <c r="D256" i="5"/>
  <c r="H256" i="5" s="1"/>
  <c r="I256" i="5"/>
  <c r="J255" i="5" s="1"/>
  <c r="B258" i="5"/>
  <c r="C257" i="5"/>
  <c r="F226" i="5"/>
  <c r="D226" i="5"/>
  <c r="H226" i="5" s="1"/>
  <c r="I226" i="5"/>
  <c r="J225" i="5" s="1"/>
  <c r="B228" i="5"/>
  <c r="C227" i="5"/>
  <c r="F195" i="5"/>
  <c r="D195" i="5"/>
  <c r="H195" i="5" s="1"/>
  <c r="I195" i="5"/>
  <c r="J194" i="5" s="1"/>
  <c r="B197" i="5"/>
  <c r="C196" i="5"/>
  <c r="F163" i="5"/>
  <c r="D163" i="5"/>
  <c r="H163" i="5" s="1"/>
  <c r="I163" i="5"/>
  <c r="J162" i="5" s="1"/>
  <c r="B165" i="5"/>
  <c r="C164" i="5"/>
  <c r="F130" i="5"/>
  <c r="D130" i="5"/>
  <c r="H130" i="5" s="1"/>
  <c r="I130" i="5"/>
  <c r="J129" i="5" s="1"/>
  <c r="B132" i="5"/>
  <c r="C131" i="5"/>
  <c r="F96" i="5"/>
  <c r="D96" i="5"/>
  <c r="H96" i="5" s="1"/>
  <c r="I96" i="5"/>
  <c r="J95" i="5" s="1"/>
  <c r="B98" i="5"/>
  <c r="C97" i="5"/>
  <c r="F61" i="5"/>
  <c r="D61" i="5"/>
  <c r="H61" i="5" s="1"/>
  <c r="I61" i="5"/>
  <c r="J60" i="5" s="1"/>
  <c r="B63" i="5"/>
  <c r="C62" i="5"/>
  <c r="F25" i="5"/>
  <c r="D25" i="5"/>
  <c r="H25" i="5" s="1"/>
  <c r="I25" i="5"/>
  <c r="J24" i="5" s="1"/>
  <c r="B27" i="5"/>
  <c r="C26" i="5"/>
  <c r="F918" i="4"/>
  <c r="D918" i="4"/>
  <c r="H918" i="4" s="1"/>
  <c r="I918" i="4"/>
  <c r="J917" i="4" s="1"/>
  <c r="B920" i="4"/>
  <c r="C919" i="4"/>
  <c r="F880" i="4"/>
  <c r="D880" i="4"/>
  <c r="H880" i="4" s="1"/>
  <c r="I880" i="4"/>
  <c r="J879" i="4" s="1"/>
  <c r="B882" i="4"/>
  <c r="C881" i="4"/>
  <c r="F841" i="4"/>
  <c r="D841" i="4"/>
  <c r="H841" i="4" s="1"/>
  <c r="I841" i="4"/>
  <c r="J840" i="4" s="1"/>
  <c r="B843" i="4"/>
  <c r="C842" i="4"/>
  <c r="F801" i="4"/>
  <c r="D801" i="4"/>
  <c r="H801" i="4" s="1"/>
  <c r="I801" i="4"/>
  <c r="J800" i="4" s="1"/>
  <c r="B803" i="4"/>
  <c r="C802" i="4"/>
  <c r="F760" i="4"/>
  <c r="D760" i="4"/>
  <c r="H760" i="4" s="1"/>
  <c r="I760" i="4"/>
  <c r="J759" i="4" s="1"/>
  <c r="B762" i="4"/>
  <c r="C761" i="4"/>
  <c r="F718" i="4"/>
  <c r="D718" i="4"/>
  <c r="H718" i="4" s="1"/>
  <c r="I718" i="4"/>
  <c r="J717" i="4" s="1"/>
  <c r="B720" i="4"/>
  <c r="C719" i="4"/>
  <c r="F675" i="4"/>
  <c r="D675" i="4"/>
  <c r="H675" i="4" s="1"/>
  <c r="I675" i="4"/>
  <c r="J674" i="4" s="1"/>
  <c r="B677" i="4"/>
  <c r="C676" i="4"/>
  <c r="F631" i="4"/>
  <c r="D631" i="4"/>
  <c r="H631" i="4" s="1"/>
  <c r="I631" i="4"/>
  <c r="J630" i="4" s="1"/>
  <c r="B633" i="4"/>
  <c r="C632" i="4"/>
  <c r="F586" i="4"/>
  <c r="D586" i="4"/>
  <c r="H586" i="4" s="1"/>
  <c r="I586" i="4"/>
  <c r="J585" i="4" s="1"/>
  <c r="B588" i="4"/>
  <c r="C587" i="4"/>
  <c r="I540" i="4"/>
  <c r="J539" i="4" s="1"/>
  <c r="H540" i="4"/>
  <c r="C542" i="4"/>
  <c r="F541" i="4"/>
  <c r="D541" i="4"/>
  <c r="B542" i="4"/>
  <c r="I541" i="4"/>
  <c r="J540" i="4" s="1"/>
  <c r="H541" i="4"/>
  <c r="F493" i="4"/>
  <c r="D493" i="4"/>
  <c r="H493" i="4" s="1"/>
  <c r="I493" i="4"/>
  <c r="J492" i="4" s="1"/>
  <c r="B495" i="4"/>
  <c r="C494" i="4"/>
  <c r="F445" i="4"/>
  <c r="D445" i="4"/>
  <c r="H445" i="4" s="1"/>
  <c r="I445" i="4"/>
  <c r="J444" i="4" s="1"/>
  <c r="B447" i="4"/>
  <c r="C446" i="4"/>
  <c r="F396" i="4"/>
  <c r="D396" i="4"/>
  <c r="H396" i="4" s="1"/>
  <c r="I396" i="4"/>
  <c r="J395" i="4" s="1"/>
  <c r="B398" i="4"/>
  <c r="C397" i="4"/>
  <c r="F346" i="4"/>
  <c r="D346" i="4"/>
  <c r="H346" i="4" s="1"/>
  <c r="I346" i="4"/>
  <c r="J345" i="4" s="1"/>
  <c r="B348" i="4"/>
  <c r="C347" i="4"/>
  <c r="F295" i="4"/>
  <c r="D295" i="4"/>
  <c r="H295" i="4" s="1"/>
  <c r="I295" i="4"/>
  <c r="J294" i="4" s="1"/>
  <c r="B297" i="4"/>
  <c r="C296" i="4"/>
  <c r="F243" i="4"/>
  <c r="D243" i="4"/>
  <c r="H243" i="4" s="1"/>
  <c r="I243" i="4"/>
  <c r="J242" i="4" s="1"/>
  <c r="B245" i="4"/>
  <c r="C244" i="4"/>
  <c r="F190" i="4"/>
  <c r="D190" i="4"/>
  <c r="H190" i="4" s="1"/>
  <c r="I190" i="4"/>
  <c r="J189" i="4" s="1"/>
  <c r="B192" i="4"/>
  <c r="C191" i="4"/>
  <c r="F136" i="4"/>
  <c r="D136" i="4"/>
  <c r="H136" i="4" s="1"/>
  <c r="I136" i="4"/>
  <c r="J135" i="4" s="1"/>
  <c r="B138" i="4"/>
  <c r="C137" i="4"/>
  <c r="I81" i="4"/>
  <c r="J80" i="4" s="1"/>
  <c r="H81" i="4"/>
  <c r="C83" i="4"/>
  <c r="F82" i="4"/>
  <c r="D82" i="4"/>
  <c r="B83" i="4"/>
  <c r="I82" i="4"/>
  <c r="J81" i="4" s="1"/>
  <c r="H82" i="4"/>
  <c r="I25" i="4"/>
  <c r="J24" i="4" s="1"/>
  <c r="H25" i="4"/>
  <c r="C27" i="4"/>
  <c r="F26" i="4"/>
  <c r="D26" i="4"/>
  <c r="B27" i="4"/>
  <c r="I26" i="4"/>
  <c r="J25" i="4" s="1"/>
  <c r="H26" i="4"/>
  <c r="I928" i="3"/>
  <c r="J927" i="3" s="1"/>
  <c r="H928" i="3"/>
  <c r="C930" i="3"/>
  <c r="F929" i="3"/>
  <c r="D929" i="3"/>
  <c r="B930" i="3"/>
  <c r="I929" i="3"/>
  <c r="J928" i="3" s="1"/>
  <c r="H929" i="3"/>
  <c r="I870" i="3"/>
  <c r="J869" i="3" s="1"/>
  <c r="H870" i="3"/>
  <c r="C872" i="3"/>
  <c r="F871" i="3"/>
  <c r="D871" i="3"/>
  <c r="B872" i="3"/>
  <c r="I871" i="3"/>
  <c r="J870" i="3" s="1"/>
  <c r="H871" i="3"/>
  <c r="I811" i="3"/>
  <c r="J810" i="3" s="1"/>
  <c r="H811" i="3"/>
  <c r="C813" i="3"/>
  <c r="F812" i="3"/>
  <c r="D812" i="3"/>
  <c r="B813" i="3"/>
  <c r="I812" i="3"/>
  <c r="J811" i="3" s="1"/>
  <c r="H812" i="3"/>
  <c r="I751" i="3"/>
  <c r="J750" i="3" s="1"/>
  <c r="H751" i="3"/>
  <c r="C753" i="3"/>
  <c r="F752" i="3"/>
  <c r="D752" i="3"/>
  <c r="B753" i="3"/>
  <c r="I752" i="3"/>
  <c r="J751" i="3" s="1"/>
  <c r="H752" i="3"/>
  <c r="I690" i="3"/>
  <c r="J689" i="3" s="1"/>
  <c r="H690" i="3"/>
  <c r="C692" i="3"/>
  <c r="F691" i="3"/>
  <c r="D691" i="3"/>
  <c r="B692" i="3"/>
  <c r="I691" i="3"/>
  <c r="J690" i="3" s="1"/>
  <c r="H691" i="3"/>
  <c r="I628" i="3"/>
  <c r="J627" i="3" s="1"/>
  <c r="H628" i="3"/>
  <c r="C630" i="3"/>
  <c r="F629" i="3"/>
  <c r="D629" i="3"/>
  <c r="B630" i="3"/>
  <c r="I629" i="3"/>
  <c r="J628" i="3" s="1"/>
  <c r="H629" i="3"/>
  <c r="I565" i="3"/>
  <c r="J564" i="3" s="1"/>
  <c r="H565" i="3"/>
  <c r="C567" i="3"/>
  <c r="F566" i="3"/>
  <c r="D566" i="3"/>
  <c r="B567" i="3"/>
  <c r="I566" i="3"/>
  <c r="J565" i="3" s="1"/>
  <c r="H566" i="3"/>
  <c r="I501" i="3"/>
  <c r="J500" i="3" s="1"/>
  <c r="H501" i="3"/>
  <c r="C503" i="3"/>
  <c r="F502" i="3"/>
  <c r="D502" i="3"/>
  <c r="B503" i="3"/>
  <c r="I502" i="3"/>
  <c r="J501" i="3" s="1"/>
  <c r="H502" i="3"/>
  <c r="I436" i="3"/>
  <c r="J435" i="3" s="1"/>
  <c r="H436" i="3"/>
  <c r="C438" i="3"/>
  <c r="F437" i="3"/>
  <c r="D437" i="3"/>
  <c r="B438" i="3"/>
  <c r="I437" i="3"/>
  <c r="J436" i="3" s="1"/>
  <c r="H437" i="3"/>
  <c r="I370" i="3"/>
  <c r="J369" i="3" s="1"/>
  <c r="H370" i="3"/>
  <c r="C372" i="3"/>
  <c r="F371" i="3"/>
  <c r="D371" i="3"/>
  <c r="B372" i="3"/>
  <c r="I371" i="3"/>
  <c r="J370" i="3" s="1"/>
  <c r="H371" i="3"/>
  <c r="I303" i="3"/>
  <c r="J302" i="3" s="1"/>
  <c r="H303" i="3"/>
  <c r="C305" i="3"/>
  <c r="F304" i="3"/>
  <c r="D304" i="3"/>
  <c r="B305" i="3"/>
  <c r="I304" i="3"/>
  <c r="J303" i="3" s="1"/>
  <c r="H304" i="3"/>
  <c r="I235" i="3"/>
  <c r="J234" i="3" s="1"/>
  <c r="H235" i="3"/>
  <c r="C237" i="3"/>
  <c r="F236" i="3"/>
  <c r="D236" i="3"/>
  <c r="B237" i="3"/>
  <c r="I236" i="3"/>
  <c r="J235" i="3" s="1"/>
  <c r="H236" i="3"/>
  <c r="I166" i="3"/>
  <c r="J165" i="3" s="1"/>
  <c r="H166" i="3"/>
  <c r="C168" i="3"/>
  <c r="F167" i="3"/>
  <c r="D167" i="3"/>
  <c r="B168" i="3"/>
  <c r="I167" i="3"/>
  <c r="J166" i="3" s="1"/>
  <c r="H167" i="3"/>
  <c r="I96" i="3"/>
  <c r="J95" i="3" s="1"/>
  <c r="H96" i="3"/>
  <c r="C98" i="3"/>
  <c r="F97" i="3"/>
  <c r="D97" i="3"/>
  <c r="B98" i="3"/>
  <c r="I97" i="3"/>
  <c r="J96" i="3" s="1"/>
  <c r="H97" i="3"/>
  <c r="I25" i="3"/>
  <c r="J24" i="3" s="1"/>
  <c r="H25" i="3"/>
  <c r="C27" i="3"/>
  <c r="F26" i="3"/>
  <c r="D26" i="3"/>
  <c r="B27" i="3"/>
  <c r="I26" i="3"/>
  <c r="J25" i="3" s="1"/>
  <c r="H26" i="3"/>
  <c r="I800" i="2"/>
  <c r="J799" i="2" s="1"/>
  <c r="H800" i="2"/>
  <c r="C802" i="2"/>
  <c r="F801" i="2"/>
  <c r="D801" i="2"/>
  <c r="B802" i="2"/>
  <c r="I801" i="2"/>
  <c r="J800" i="2" s="1"/>
  <c r="H801" i="2"/>
  <c r="I727" i="2"/>
  <c r="J726" i="2" s="1"/>
  <c r="H727" i="2"/>
  <c r="C729" i="2"/>
  <c r="F728" i="2"/>
  <c r="B729" i="2"/>
  <c r="I728" i="2"/>
  <c r="J727" i="2" s="1"/>
  <c r="H728" i="2"/>
  <c r="I653" i="2"/>
  <c r="J652" i="2" s="1"/>
  <c r="H653" i="2"/>
  <c r="C655" i="2"/>
  <c r="F654" i="2"/>
  <c r="B655" i="2"/>
  <c r="I654" i="2"/>
  <c r="J653" i="2" s="1"/>
  <c r="H654" i="2"/>
  <c r="I578" i="2"/>
  <c r="J577" i="2" s="1"/>
  <c r="H578" i="2"/>
  <c r="C580" i="2"/>
  <c r="F579" i="2"/>
  <c r="B580" i="2"/>
  <c r="I579" i="2"/>
  <c r="J578" i="2" s="1"/>
  <c r="H579" i="2"/>
  <c r="I502" i="2"/>
  <c r="J501" i="2" s="1"/>
  <c r="H502" i="2"/>
  <c r="C504" i="2"/>
  <c r="F503" i="2"/>
  <c r="D503" i="2"/>
  <c r="B504" i="2"/>
  <c r="I503" i="2"/>
  <c r="J502" i="2" s="1"/>
  <c r="H503" i="2"/>
  <c r="I425" i="2"/>
  <c r="J424" i="2" s="1"/>
  <c r="H425" i="2"/>
  <c r="C427" i="2"/>
  <c r="F426" i="2"/>
  <c r="D426" i="2"/>
  <c r="B427" i="2"/>
  <c r="I426" i="2"/>
  <c r="J425" i="2" s="1"/>
  <c r="H426" i="2"/>
  <c r="I347" i="2"/>
  <c r="J346" i="2" s="1"/>
  <c r="H347" i="2"/>
  <c r="C349" i="2"/>
  <c r="F348" i="2"/>
  <c r="D348" i="2"/>
  <c r="B349" i="2"/>
  <c r="I348" i="2"/>
  <c r="J347" i="2" s="1"/>
  <c r="H348" i="2"/>
  <c r="I268" i="2"/>
  <c r="J267" i="2" s="1"/>
  <c r="H268" i="2"/>
  <c r="C270" i="2"/>
  <c r="F269" i="2"/>
  <c r="D269" i="2"/>
  <c r="B270" i="2"/>
  <c r="I269" i="2"/>
  <c r="J268" i="2" s="1"/>
  <c r="H269" i="2"/>
  <c r="I188" i="2"/>
  <c r="J187" i="2" s="1"/>
  <c r="H188" i="2"/>
  <c r="C190" i="2"/>
  <c r="F189" i="2"/>
  <c r="D189" i="2"/>
  <c r="B190" i="2"/>
  <c r="I189" i="2"/>
  <c r="J188" i="2" s="1"/>
  <c r="H189" i="2"/>
  <c r="I107" i="2"/>
  <c r="J106" i="2" s="1"/>
  <c r="H107" i="2"/>
  <c r="C109" i="2"/>
  <c r="F108" i="2"/>
  <c r="D108" i="2"/>
  <c r="B109" i="2"/>
  <c r="I108" i="2"/>
  <c r="J107" i="2" s="1"/>
  <c r="H108" i="2"/>
  <c r="I25" i="2"/>
  <c r="J24" i="2" s="1"/>
  <c r="H25" i="2"/>
  <c r="C27" i="2"/>
  <c r="F26" i="2"/>
  <c r="D26" i="2"/>
  <c r="B27" i="2"/>
  <c r="I26" i="2"/>
  <c r="J25" i="2" s="1"/>
  <c r="H26" i="2"/>
  <c r="B28" i="2" l="1"/>
  <c r="C28" i="2"/>
  <c r="F27" i="2"/>
  <c r="D27" i="2"/>
  <c r="B110" i="2"/>
  <c r="C110" i="2"/>
  <c r="F109" i="2"/>
  <c r="D109" i="2"/>
  <c r="B191" i="2"/>
  <c r="C191" i="2"/>
  <c r="F190" i="2"/>
  <c r="D190" i="2"/>
  <c r="B271" i="2"/>
  <c r="C271" i="2"/>
  <c r="F270" i="2"/>
  <c r="D270" i="2"/>
  <c r="B350" i="2"/>
  <c r="C350" i="2"/>
  <c r="F349" i="2"/>
  <c r="D349" i="2"/>
  <c r="B428" i="2"/>
  <c r="C428" i="2"/>
  <c r="F427" i="2"/>
  <c r="D427" i="2"/>
  <c r="B505" i="2"/>
  <c r="C505" i="2"/>
  <c r="F504" i="2"/>
  <c r="D504" i="2"/>
  <c r="B581" i="2"/>
  <c r="C581" i="2"/>
  <c r="F580" i="2"/>
  <c r="B656" i="2"/>
  <c r="C656" i="2"/>
  <c r="F655" i="2"/>
  <c r="B730" i="2"/>
  <c r="C730" i="2"/>
  <c r="F729" i="2"/>
  <c r="B803" i="2"/>
  <c r="C803" i="2"/>
  <c r="F802" i="2"/>
  <c r="D802" i="2"/>
  <c r="B28" i="3"/>
  <c r="C28" i="3"/>
  <c r="F27" i="3"/>
  <c r="D27" i="3"/>
  <c r="B99" i="3"/>
  <c r="C99" i="3"/>
  <c r="F98" i="3"/>
  <c r="D98" i="3"/>
  <c r="B169" i="3"/>
  <c r="C169" i="3"/>
  <c r="F168" i="3"/>
  <c r="D168" i="3"/>
  <c r="B238" i="3"/>
  <c r="C238" i="3"/>
  <c r="F237" i="3"/>
  <c r="D237" i="3"/>
  <c r="B306" i="3"/>
  <c r="C306" i="3"/>
  <c r="F305" i="3"/>
  <c r="D305" i="3"/>
  <c r="B373" i="3"/>
  <c r="C373" i="3"/>
  <c r="F372" i="3"/>
  <c r="D372" i="3"/>
  <c r="B439" i="3"/>
  <c r="C439" i="3"/>
  <c r="F438" i="3"/>
  <c r="D438" i="3"/>
  <c r="B504" i="3"/>
  <c r="C504" i="3"/>
  <c r="F503" i="3"/>
  <c r="D503" i="3"/>
  <c r="B568" i="3"/>
  <c r="C568" i="3"/>
  <c r="F567" i="3"/>
  <c r="D567" i="3"/>
  <c r="B631" i="3"/>
  <c r="C631" i="3"/>
  <c r="F630" i="3"/>
  <c r="D630" i="3"/>
  <c r="B693" i="3"/>
  <c r="C693" i="3"/>
  <c r="F692" i="3"/>
  <c r="D692" i="3"/>
  <c r="B754" i="3"/>
  <c r="C754" i="3"/>
  <c r="F753" i="3"/>
  <c r="D753" i="3"/>
  <c r="B814" i="3"/>
  <c r="C814" i="3"/>
  <c r="F813" i="3"/>
  <c r="D813" i="3"/>
  <c r="B873" i="3"/>
  <c r="C873" i="3"/>
  <c r="F872" i="3"/>
  <c r="D872" i="3"/>
  <c r="B931" i="3"/>
  <c r="C931" i="3"/>
  <c r="F930" i="3"/>
  <c r="D930" i="3"/>
  <c r="B28" i="4"/>
  <c r="C28" i="4"/>
  <c r="F27" i="4"/>
  <c r="D27" i="4"/>
  <c r="B84" i="4"/>
  <c r="C84" i="4"/>
  <c r="F83" i="4"/>
  <c r="D83" i="4"/>
  <c r="F137" i="4"/>
  <c r="D137" i="4"/>
  <c r="H137" i="4" s="1"/>
  <c r="I137" i="4"/>
  <c r="J136" i="4" s="1"/>
  <c r="B139" i="4"/>
  <c r="C138" i="4"/>
  <c r="F191" i="4"/>
  <c r="D191" i="4"/>
  <c r="H191" i="4" s="1"/>
  <c r="I191" i="4"/>
  <c r="J190" i="4" s="1"/>
  <c r="B193" i="4"/>
  <c r="C192" i="4"/>
  <c r="F244" i="4"/>
  <c r="D244" i="4"/>
  <c r="H244" i="4" s="1"/>
  <c r="I244" i="4"/>
  <c r="J243" i="4" s="1"/>
  <c r="B246" i="4"/>
  <c r="C245" i="4"/>
  <c r="F296" i="4"/>
  <c r="D296" i="4"/>
  <c r="H296" i="4" s="1"/>
  <c r="I296" i="4"/>
  <c r="J295" i="4" s="1"/>
  <c r="B298" i="4"/>
  <c r="C297" i="4"/>
  <c r="F347" i="4"/>
  <c r="D347" i="4"/>
  <c r="H347" i="4" s="1"/>
  <c r="I347" i="4"/>
  <c r="J346" i="4" s="1"/>
  <c r="B349" i="4"/>
  <c r="C348" i="4"/>
  <c r="F397" i="4"/>
  <c r="D397" i="4"/>
  <c r="H397" i="4" s="1"/>
  <c r="I397" i="4"/>
  <c r="J396" i="4" s="1"/>
  <c r="B399" i="4"/>
  <c r="C398" i="4"/>
  <c r="F446" i="4"/>
  <c r="D446" i="4"/>
  <c r="H446" i="4" s="1"/>
  <c r="I446" i="4"/>
  <c r="J445" i="4" s="1"/>
  <c r="B448" i="4"/>
  <c r="C447" i="4"/>
  <c r="F494" i="4"/>
  <c r="D494" i="4"/>
  <c r="H494" i="4" s="1"/>
  <c r="I494" i="4"/>
  <c r="J493" i="4" s="1"/>
  <c r="B496" i="4"/>
  <c r="C495" i="4"/>
  <c r="B543" i="4"/>
  <c r="C543" i="4"/>
  <c r="F542" i="4"/>
  <c r="D542" i="4"/>
  <c r="F587" i="4"/>
  <c r="D587" i="4"/>
  <c r="H587" i="4" s="1"/>
  <c r="I587" i="4"/>
  <c r="J586" i="4" s="1"/>
  <c r="B589" i="4"/>
  <c r="C588" i="4"/>
  <c r="F632" i="4"/>
  <c r="D632" i="4"/>
  <c r="H632" i="4" s="1"/>
  <c r="I632" i="4"/>
  <c r="J631" i="4" s="1"/>
  <c r="B634" i="4"/>
  <c r="C633" i="4"/>
  <c r="F676" i="4"/>
  <c r="D676" i="4"/>
  <c r="H676" i="4" s="1"/>
  <c r="I676" i="4"/>
  <c r="J675" i="4" s="1"/>
  <c r="B678" i="4"/>
  <c r="C677" i="4"/>
  <c r="F719" i="4"/>
  <c r="D719" i="4"/>
  <c r="H719" i="4" s="1"/>
  <c r="I719" i="4"/>
  <c r="J718" i="4" s="1"/>
  <c r="B721" i="4"/>
  <c r="C720" i="4"/>
  <c r="F761" i="4"/>
  <c r="D761" i="4"/>
  <c r="H761" i="4" s="1"/>
  <c r="I761" i="4"/>
  <c r="J760" i="4" s="1"/>
  <c r="B763" i="4"/>
  <c r="C762" i="4"/>
  <c r="F802" i="4"/>
  <c r="D802" i="4"/>
  <c r="H802" i="4" s="1"/>
  <c r="I802" i="4"/>
  <c r="J801" i="4" s="1"/>
  <c r="B804" i="4"/>
  <c r="C803" i="4"/>
  <c r="F842" i="4"/>
  <c r="D842" i="4"/>
  <c r="H842" i="4" s="1"/>
  <c r="I842" i="4"/>
  <c r="J841" i="4" s="1"/>
  <c r="B844" i="4"/>
  <c r="C843" i="4"/>
  <c r="F881" i="4"/>
  <c r="D881" i="4"/>
  <c r="H881" i="4" s="1"/>
  <c r="I881" i="4"/>
  <c r="J880" i="4" s="1"/>
  <c r="B883" i="4"/>
  <c r="C882" i="4"/>
  <c r="F919" i="4"/>
  <c r="D919" i="4"/>
  <c r="H919" i="4" s="1"/>
  <c r="I919" i="4"/>
  <c r="J918" i="4" s="1"/>
  <c r="B921" i="4"/>
  <c r="C920" i="4"/>
  <c r="F26" i="5"/>
  <c r="D26" i="5"/>
  <c r="H26" i="5" s="1"/>
  <c r="I26" i="5"/>
  <c r="J25" i="5" s="1"/>
  <c r="B28" i="5"/>
  <c r="C27" i="5"/>
  <c r="F62" i="5"/>
  <c r="D62" i="5"/>
  <c r="H62" i="5" s="1"/>
  <c r="I62" i="5"/>
  <c r="J61" i="5" s="1"/>
  <c r="B64" i="5"/>
  <c r="C63" i="5"/>
  <c r="F97" i="5"/>
  <c r="D97" i="5"/>
  <c r="H97" i="5" s="1"/>
  <c r="I97" i="5"/>
  <c r="J96" i="5" s="1"/>
  <c r="B99" i="5"/>
  <c r="C98" i="5"/>
  <c r="F131" i="5"/>
  <c r="D131" i="5"/>
  <c r="H131" i="5" s="1"/>
  <c r="I131" i="5"/>
  <c r="J130" i="5" s="1"/>
  <c r="B133" i="5"/>
  <c r="C132" i="5"/>
  <c r="F164" i="5"/>
  <c r="D164" i="5"/>
  <c r="H164" i="5" s="1"/>
  <c r="I164" i="5"/>
  <c r="J163" i="5" s="1"/>
  <c r="B166" i="5"/>
  <c r="C165" i="5"/>
  <c r="F196" i="5"/>
  <c r="D196" i="5"/>
  <c r="H196" i="5" s="1"/>
  <c r="I196" i="5"/>
  <c r="J195" i="5" s="1"/>
  <c r="B198" i="5"/>
  <c r="C197" i="5"/>
  <c r="F227" i="5"/>
  <c r="D227" i="5"/>
  <c r="H227" i="5" s="1"/>
  <c r="I227" i="5"/>
  <c r="J226" i="5" s="1"/>
  <c r="B229" i="5"/>
  <c r="C228" i="5"/>
  <c r="F257" i="5"/>
  <c r="D257" i="5"/>
  <c r="H257" i="5" s="1"/>
  <c r="I257" i="5"/>
  <c r="J256" i="5" s="1"/>
  <c r="B259" i="5"/>
  <c r="C258" i="5"/>
  <c r="F286" i="5"/>
  <c r="D286" i="5"/>
  <c r="H286" i="5" s="1"/>
  <c r="I286" i="5"/>
  <c r="J285" i="5" s="1"/>
  <c r="B288" i="5"/>
  <c r="C287" i="5"/>
  <c r="F314" i="5"/>
  <c r="D314" i="5"/>
  <c r="H314" i="5" s="1"/>
  <c r="I314" i="5"/>
  <c r="J313" i="5" s="1"/>
  <c r="B316" i="5"/>
  <c r="C315" i="5"/>
  <c r="F341" i="5"/>
  <c r="D341" i="5"/>
  <c r="H341" i="5" s="1"/>
  <c r="I341" i="5"/>
  <c r="J340" i="5" s="1"/>
  <c r="B343" i="5"/>
  <c r="C342" i="5"/>
  <c r="F367" i="5"/>
  <c r="D367" i="5"/>
  <c r="H367" i="5" s="1"/>
  <c r="I367" i="5"/>
  <c r="J366" i="5" s="1"/>
  <c r="B369" i="5"/>
  <c r="C368" i="5"/>
  <c r="F392" i="5"/>
  <c r="D392" i="5"/>
  <c r="H392" i="5" s="1"/>
  <c r="I392" i="5"/>
  <c r="J391" i="5" s="1"/>
  <c r="B394" i="5"/>
  <c r="C393" i="5"/>
  <c r="F416" i="5"/>
  <c r="D416" i="5"/>
  <c r="H416" i="5" s="1"/>
  <c r="I416" i="5"/>
  <c r="J415" i="5" s="1"/>
  <c r="B418" i="5"/>
  <c r="C417" i="5"/>
  <c r="F439" i="5"/>
  <c r="D439" i="5"/>
  <c r="H439" i="5" s="1"/>
  <c r="I439" i="5"/>
  <c r="J438" i="5" s="1"/>
  <c r="B441" i="5"/>
  <c r="C440" i="5"/>
  <c r="F461" i="5"/>
  <c r="D461" i="5"/>
  <c r="H461" i="5" s="1"/>
  <c r="I461" i="5"/>
  <c r="J460" i="5" s="1"/>
  <c r="B463" i="5"/>
  <c r="C462" i="5"/>
  <c r="F482" i="5"/>
  <c r="D482" i="5"/>
  <c r="H482" i="5" s="1"/>
  <c r="I482" i="5"/>
  <c r="J481" i="5" s="1"/>
  <c r="B484" i="5"/>
  <c r="C483" i="5"/>
  <c r="F502" i="5"/>
  <c r="D502" i="5"/>
  <c r="H502" i="5" s="1"/>
  <c r="I502" i="5"/>
  <c r="J501" i="5" s="1"/>
  <c r="B504" i="5"/>
  <c r="C503" i="5"/>
  <c r="F521" i="5"/>
  <c r="D521" i="5"/>
  <c r="H521" i="5" s="1"/>
  <c r="I521" i="5"/>
  <c r="J520" i="5" s="1"/>
  <c r="C522" i="5"/>
  <c r="F539" i="5"/>
  <c r="D539" i="5"/>
  <c r="H539" i="5" s="1"/>
  <c r="I539" i="5"/>
  <c r="J538" i="5" s="1"/>
  <c r="F522" i="5" l="1"/>
  <c r="D522" i="5"/>
  <c r="H522" i="5" s="1"/>
  <c r="I522" i="5"/>
  <c r="J521" i="5" s="1"/>
  <c r="F503" i="5"/>
  <c r="D503" i="5"/>
  <c r="H503" i="5" s="1"/>
  <c r="I503" i="5"/>
  <c r="J502" i="5" s="1"/>
  <c r="C504" i="5"/>
  <c r="F483" i="5"/>
  <c r="D483" i="5"/>
  <c r="H483" i="5" s="1"/>
  <c r="I483" i="5"/>
  <c r="J482" i="5" s="1"/>
  <c r="B485" i="5"/>
  <c r="C484" i="5"/>
  <c r="F462" i="5"/>
  <c r="D462" i="5"/>
  <c r="H462" i="5" s="1"/>
  <c r="I462" i="5"/>
  <c r="J461" i="5" s="1"/>
  <c r="B464" i="5"/>
  <c r="C463" i="5"/>
  <c r="F440" i="5"/>
  <c r="D440" i="5"/>
  <c r="H440" i="5" s="1"/>
  <c r="I440" i="5"/>
  <c r="J439" i="5" s="1"/>
  <c r="B442" i="5"/>
  <c r="C441" i="5"/>
  <c r="F417" i="5"/>
  <c r="D417" i="5"/>
  <c r="H417" i="5" s="1"/>
  <c r="I417" i="5"/>
  <c r="J416" i="5" s="1"/>
  <c r="B419" i="5"/>
  <c r="C418" i="5"/>
  <c r="F393" i="5"/>
  <c r="D393" i="5"/>
  <c r="H393" i="5" s="1"/>
  <c r="I393" i="5"/>
  <c r="J392" i="5" s="1"/>
  <c r="B395" i="5"/>
  <c r="C394" i="5"/>
  <c r="F368" i="5"/>
  <c r="D368" i="5"/>
  <c r="H368" i="5" s="1"/>
  <c r="I368" i="5"/>
  <c r="J367" i="5" s="1"/>
  <c r="B370" i="5"/>
  <c r="C369" i="5"/>
  <c r="F342" i="5"/>
  <c r="D342" i="5"/>
  <c r="H342" i="5" s="1"/>
  <c r="I342" i="5"/>
  <c r="J341" i="5" s="1"/>
  <c r="B344" i="5"/>
  <c r="C343" i="5"/>
  <c r="F315" i="5"/>
  <c r="D315" i="5"/>
  <c r="H315" i="5" s="1"/>
  <c r="I315" i="5"/>
  <c r="J314" i="5" s="1"/>
  <c r="B317" i="5"/>
  <c r="C316" i="5"/>
  <c r="F287" i="5"/>
  <c r="D287" i="5"/>
  <c r="H287" i="5" s="1"/>
  <c r="I287" i="5"/>
  <c r="J286" i="5" s="1"/>
  <c r="B289" i="5"/>
  <c r="C288" i="5"/>
  <c r="F258" i="5"/>
  <c r="D258" i="5"/>
  <c r="H258" i="5" s="1"/>
  <c r="I258" i="5"/>
  <c r="J257" i="5" s="1"/>
  <c r="B260" i="5"/>
  <c r="C259" i="5"/>
  <c r="F228" i="5"/>
  <c r="D228" i="5"/>
  <c r="H228" i="5" s="1"/>
  <c r="I228" i="5"/>
  <c r="J227" i="5" s="1"/>
  <c r="B230" i="5"/>
  <c r="C229" i="5"/>
  <c r="F197" i="5"/>
  <c r="D197" i="5"/>
  <c r="H197" i="5" s="1"/>
  <c r="I197" i="5"/>
  <c r="J196" i="5" s="1"/>
  <c r="B199" i="5"/>
  <c r="C198" i="5"/>
  <c r="F165" i="5"/>
  <c r="D165" i="5"/>
  <c r="H165" i="5" s="1"/>
  <c r="I165" i="5"/>
  <c r="J164" i="5" s="1"/>
  <c r="B167" i="5"/>
  <c r="C166" i="5"/>
  <c r="F132" i="5"/>
  <c r="D132" i="5"/>
  <c r="H132" i="5" s="1"/>
  <c r="I132" i="5"/>
  <c r="J131" i="5" s="1"/>
  <c r="B134" i="5"/>
  <c r="C133" i="5"/>
  <c r="F98" i="5"/>
  <c r="D98" i="5"/>
  <c r="H98" i="5" s="1"/>
  <c r="I98" i="5"/>
  <c r="J97" i="5" s="1"/>
  <c r="B100" i="5"/>
  <c r="C99" i="5"/>
  <c r="F63" i="5"/>
  <c r="D63" i="5"/>
  <c r="H63" i="5" s="1"/>
  <c r="I63" i="5"/>
  <c r="J62" i="5" s="1"/>
  <c r="B65" i="5"/>
  <c r="C64" i="5"/>
  <c r="F27" i="5"/>
  <c r="D27" i="5"/>
  <c r="H27" i="5" s="1"/>
  <c r="I27" i="5"/>
  <c r="J26" i="5" s="1"/>
  <c r="B29" i="5"/>
  <c r="C28" i="5"/>
  <c r="F920" i="4"/>
  <c r="D920" i="4"/>
  <c r="H920" i="4" s="1"/>
  <c r="I920" i="4"/>
  <c r="J919" i="4" s="1"/>
  <c r="B922" i="4"/>
  <c r="C921" i="4"/>
  <c r="F882" i="4"/>
  <c r="D882" i="4"/>
  <c r="H882" i="4" s="1"/>
  <c r="I882" i="4"/>
  <c r="J881" i="4" s="1"/>
  <c r="B884" i="4"/>
  <c r="C883" i="4"/>
  <c r="F843" i="4"/>
  <c r="D843" i="4"/>
  <c r="H843" i="4" s="1"/>
  <c r="I843" i="4"/>
  <c r="J842" i="4" s="1"/>
  <c r="B845" i="4"/>
  <c r="C844" i="4"/>
  <c r="F803" i="4"/>
  <c r="D803" i="4"/>
  <c r="H803" i="4" s="1"/>
  <c r="I803" i="4"/>
  <c r="J802" i="4" s="1"/>
  <c r="B805" i="4"/>
  <c r="C804" i="4"/>
  <c r="F762" i="4"/>
  <c r="D762" i="4"/>
  <c r="H762" i="4" s="1"/>
  <c r="I762" i="4"/>
  <c r="J761" i="4" s="1"/>
  <c r="B764" i="4"/>
  <c r="C763" i="4"/>
  <c r="F720" i="4"/>
  <c r="D720" i="4"/>
  <c r="H720" i="4" s="1"/>
  <c r="I720" i="4"/>
  <c r="J719" i="4" s="1"/>
  <c r="B722" i="4"/>
  <c r="C721" i="4"/>
  <c r="F677" i="4"/>
  <c r="D677" i="4"/>
  <c r="H677" i="4" s="1"/>
  <c r="I677" i="4"/>
  <c r="J676" i="4" s="1"/>
  <c r="B679" i="4"/>
  <c r="C678" i="4"/>
  <c r="F633" i="4"/>
  <c r="D633" i="4"/>
  <c r="H633" i="4" s="1"/>
  <c r="I633" i="4"/>
  <c r="J632" i="4" s="1"/>
  <c r="B635" i="4"/>
  <c r="C634" i="4"/>
  <c r="F588" i="4"/>
  <c r="D588" i="4"/>
  <c r="H588" i="4" s="1"/>
  <c r="I588" i="4"/>
  <c r="J587" i="4" s="1"/>
  <c r="B590" i="4"/>
  <c r="C589" i="4"/>
  <c r="I542" i="4"/>
  <c r="J541" i="4" s="1"/>
  <c r="H542" i="4"/>
  <c r="C544" i="4"/>
  <c r="F543" i="4"/>
  <c r="D543" i="4"/>
  <c r="B544" i="4"/>
  <c r="I543" i="4"/>
  <c r="J542" i="4" s="1"/>
  <c r="H543" i="4"/>
  <c r="F495" i="4"/>
  <c r="D495" i="4"/>
  <c r="H495" i="4" s="1"/>
  <c r="I495" i="4"/>
  <c r="J494" i="4" s="1"/>
  <c r="B497" i="4"/>
  <c r="C496" i="4"/>
  <c r="F447" i="4"/>
  <c r="D447" i="4"/>
  <c r="H447" i="4" s="1"/>
  <c r="I447" i="4"/>
  <c r="J446" i="4" s="1"/>
  <c r="B449" i="4"/>
  <c r="C448" i="4"/>
  <c r="F398" i="4"/>
  <c r="D398" i="4"/>
  <c r="H398" i="4" s="1"/>
  <c r="I398" i="4"/>
  <c r="J397" i="4" s="1"/>
  <c r="B400" i="4"/>
  <c r="C399" i="4"/>
  <c r="F348" i="4"/>
  <c r="D348" i="4"/>
  <c r="H348" i="4" s="1"/>
  <c r="I348" i="4"/>
  <c r="J347" i="4" s="1"/>
  <c r="B350" i="4"/>
  <c r="C349" i="4"/>
  <c r="F297" i="4"/>
  <c r="D297" i="4"/>
  <c r="H297" i="4" s="1"/>
  <c r="I297" i="4"/>
  <c r="J296" i="4" s="1"/>
  <c r="B299" i="4"/>
  <c r="C298" i="4"/>
  <c r="F245" i="4"/>
  <c r="D245" i="4"/>
  <c r="H245" i="4" s="1"/>
  <c r="I245" i="4"/>
  <c r="J244" i="4" s="1"/>
  <c r="B247" i="4"/>
  <c r="C246" i="4"/>
  <c r="F192" i="4"/>
  <c r="D192" i="4"/>
  <c r="H192" i="4" s="1"/>
  <c r="I192" i="4"/>
  <c r="J191" i="4" s="1"/>
  <c r="B194" i="4"/>
  <c r="C193" i="4"/>
  <c r="F138" i="4"/>
  <c r="D138" i="4"/>
  <c r="H138" i="4" s="1"/>
  <c r="I138" i="4"/>
  <c r="J137" i="4" s="1"/>
  <c r="B140" i="4"/>
  <c r="C139" i="4"/>
  <c r="I83" i="4"/>
  <c r="J82" i="4" s="1"/>
  <c r="H83" i="4"/>
  <c r="C85" i="4"/>
  <c r="F84" i="4"/>
  <c r="D84" i="4"/>
  <c r="B85" i="4"/>
  <c r="I84" i="4"/>
  <c r="J83" i="4" s="1"/>
  <c r="H84" i="4"/>
  <c r="I27" i="4"/>
  <c r="J26" i="4" s="1"/>
  <c r="H27" i="4"/>
  <c r="C29" i="4"/>
  <c r="F28" i="4"/>
  <c r="D28" i="4"/>
  <c r="B29" i="4"/>
  <c r="I28" i="4"/>
  <c r="J27" i="4" s="1"/>
  <c r="H28" i="4"/>
  <c r="I930" i="3"/>
  <c r="J929" i="3" s="1"/>
  <c r="H930" i="3"/>
  <c r="C932" i="3"/>
  <c r="F931" i="3"/>
  <c r="D931" i="3"/>
  <c r="B932" i="3"/>
  <c r="I931" i="3"/>
  <c r="J930" i="3" s="1"/>
  <c r="H931" i="3"/>
  <c r="I872" i="3"/>
  <c r="J871" i="3" s="1"/>
  <c r="H872" i="3"/>
  <c r="C874" i="3"/>
  <c r="F873" i="3"/>
  <c r="D873" i="3"/>
  <c r="B874" i="3"/>
  <c r="I873" i="3"/>
  <c r="J872" i="3" s="1"/>
  <c r="H873" i="3"/>
  <c r="I813" i="3"/>
  <c r="J812" i="3" s="1"/>
  <c r="H813" i="3"/>
  <c r="C815" i="3"/>
  <c r="F814" i="3"/>
  <c r="D814" i="3"/>
  <c r="B815" i="3"/>
  <c r="I814" i="3"/>
  <c r="J813" i="3" s="1"/>
  <c r="H814" i="3"/>
  <c r="I753" i="3"/>
  <c r="J752" i="3" s="1"/>
  <c r="H753" i="3"/>
  <c r="C755" i="3"/>
  <c r="F754" i="3"/>
  <c r="D754" i="3"/>
  <c r="B755" i="3"/>
  <c r="I754" i="3"/>
  <c r="J753" i="3" s="1"/>
  <c r="H754" i="3"/>
  <c r="I692" i="3"/>
  <c r="J691" i="3" s="1"/>
  <c r="H692" i="3"/>
  <c r="C694" i="3"/>
  <c r="F693" i="3"/>
  <c r="D693" i="3"/>
  <c r="B694" i="3"/>
  <c r="I693" i="3"/>
  <c r="J692" i="3" s="1"/>
  <c r="H693" i="3"/>
  <c r="I630" i="3"/>
  <c r="J629" i="3" s="1"/>
  <c r="H630" i="3"/>
  <c r="C632" i="3"/>
  <c r="F631" i="3"/>
  <c r="D631" i="3"/>
  <c r="B632" i="3"/>
  <c r="I631" i="3"/>
  <c r="J630" i="3" s="1"/>
  <c r="H631" i="3"/>
  <c r="I567" i="3"/>
  <c r="J566" i="3" s="1"/>
  <c r="H567" i="3"/>
  <c r="C569" i="3"/>
  <c r="F568" i="3"/>
  <c r="D568" i="3"/>
  <c r="B569" i="3"/>
  <c r="I568" i="3"/>
  <c r="J567" i="3" s="1"/>
  <c r="H568" i="3"/>
  <c r="I503" i="3"/>
  <c r="J502" i="3" s="1"/>
  <c r="H503" i="3"/>
  <c r="C505" i="3"/>
  <c r="F504" i="3"/>
  <c r="D504" i="3"/>
  <c r="B505" i="3"/>
  <c r="I504" i="3"/>
  <c r="J503" i="3" s="1"/>
  <c r="H504" i="3"/>
  <c r="I438" i="3"/>
  <c r="J437" i="3" s="1"/>
  <c r="H438" i="3"/>
  <c r="C440" i="3"/>
  <c r="F439" i="3"/>
  <c r="D439" i="3"/>
  <c r="B440" i="3"/>
  <c r="I439" i="3"/>
  <c r="J438" i="3" s="1"/>
  <c r="H439" i="3"/>
  <c r="I372" i="3"/>
  <c r="J371" i="3" s="1"/>
  <c r="H372" i="3"/>
  <c r="C374" i="3"/>
  <c r="F373" i="3"/>
  <c r="D373" i="3"/>
  <c r="B374" i="3"/>
  <c r="I373" i="3"/>
  <c r="J372" i="3" s="1"/>
  <c r="H373" i="3"/>
  <c r="I305" i="3"/>
  <c r="J304" i="3" s="1"/>
  <c r="H305" i="3"/>
  <c r="C307" i="3"/>
  <c r="F306" i="3"/>
  <c r="D306" i="3"/>
  <c r="B307" i="3"/>
  <c r="I306" i="3"/>
  <c r="J305" i="3" s="1"/>
  <c r="H306" i="3"/>
  <c r="I237" i="3"/>
  <c r="J236" i="3" s="1"/>
  <c r="H237" i="3"/>
  <c r="C239" i="3"/>
  <c r="F238" i="3"/>
  <c r="D238" i="3"/>
  <c r="B239" i="3"/>
  <c r="I238" i="3"/>
  <c r="J237" i="3" s="1"/>
  <c r="H238" i="3"/>
  <c r="I168" i="3"/>
  <c r="J167" i="3" s="1"/>
  <c r="H168" i="3"/>
  <c r="C170" i="3"/>
  <c r="F169" i="3"/>
  <c r="D169" i="3"/>
  <c r="B170" i="3"/>
  <c r="I169" i="3"/>
  <c r="J168" i="3" s="1"/>
  <c r="H169" i="3"/>
  <c r="I98" i="3"/>
  <c r="J97" i="3" s="1"/>
  <c r="H98" i="3"/>
  <c r="C100" i="3"/>
  <c r="F99" i="3"/>
  <c r="D99" i="3"/>
  <c r="B100" i="3"/>
  <c r="I99" i="3"/>
  <c r="J98" i="3" s="1"/>
  <c r="H99" i="3"/>
  <c r="I27" i="3"/>
  <c r="J26" i="3" s="1"/>
  <c r="H27" i="3"/>
  <c r="C29" i="3"/>
  <c r="F28" i="3"/>
  <c r="D28" i="3"/>
  <c r="B29" i="3"/>
  <c r="I28" i="3"/>
  <c r="J27" i="3" s="1"/>
  <c r="H28" i="3"/>
  <c r="I802" i="2"/>
  <c r="J801" i="2" s="1"/>
  <c r="H802" i="2"/>
  <c r="C804" i="2"/>
  <c r="F803" i="2"/>
  <c r="D803" i="2"/>
  <c r="B804" i="2"/>
  <c r="I803" i="2"/>
  <c r="J802" i="2" s="1"/>
  <c r="H803" i="2"/>
  <c r="I729" i="2"/>
  <c r="J728" i="2" s="1"/>
  <c r="H729" i="2"/>
  <c r="C731" i="2"/>
  <c r="F730" i="2"/>
  <c r="B731" i="2"/>
  <c r="I730" i="2"/>
  <c r="J729" i="2" s="1"/>
  <c r="H730" i="2"/>
  <c r="I655" i="2"/>
  <c r="J654" i="2" s="1"/>
  <c r="H655" i="2"/>
  <c r="C657" i="2"/>
  <c r="F656" i="2"/>
  <c r="B657" i="2"/>
  <c r="I656" i="2"/>
  <c r="J655" i="2" s="1"/>
  <c r="H656" i="2"/>
  <c r="I580" i="2"/>
  <c r="J579" i="2" s="1"/>
  <c r="H580" i="2"/>
  <c r="C582" i="2"/>
  <c r="F581" i="2"/>
  <c r="B582" i="2"/>
  <c r="I581" i="2"/>
  <c r="J580" i="2" s="1"/>
  <c r="H581" i="2"/>
  <c r="I504" i="2"/>
  <c r="J503" i="2" s="1"/>
  <c r="H504" i="2"/>
  <c r="C506" i="2"/>
  <c r="F505" i="2"/>
  <c r="D505" i="2"/>
  <c r="B506" i="2"/>
  <c r="I505" i="2"/>
  <c r="J504" i="2" s="1"/>
  <c r="H505" i="2"/>
  <c r="I427" i="2"/>
  <c r="J426" i="2" s="1"/>
  <c r="H427" i="2"/>
  <c r="C429" i="2"/>
  <c r="F428" i="2"/>
  <c r="D428" i="2"/>
  <c r="B429" i="2"/>
  <c r="I428" i="2"/>
  <c r="J427" i="2" s="1"/>
  <c r="H428" i="2"/>
  <c r="I349" i="2"/>
  <c r="J348" i="2" s="1"/>
  <c r="H349" i="2"/>
  <c r="C351" i="2"/>
  <c r="F350" i="2"/>
  <c r="D350" i="2"/>
  <c r="B351" i="2"/>
  <c r="I350" i="2"/>
  <c r="J349" i="2" s="1"/>
  <c r="H350" i="2"/>
  <c r="I270" i="2"/>
  <c r="J269" i="2" s="1"/>
  <c r="H270" i="2"/>
  <c r="C272" i="2"/>
  <c r="F271" i="2"/>
  <c r="D271" i="2"/>
  <c r="B272" i="2"/>
  <c r="I271" i="2"/>
  <c r="J270" i="2" s="1"/>
  <c r="H271" i="2"/>
  <c r="I190" i="2"/>
  <c r="J189" i="2" s="1"/>
  <c r="H190" i="2"/>
  <c r="C192" i="2"/>
  <c r="F191" i="2"/>
  <c r="D191" i="2"/>
  <c r="B192" i="2"/>
  <c r="I191" i="2"/>
  <c r="J190" i="2" s="1"/>
  <c r="H191" i="2"/>
  <c r="I109" i="2"/>
  <c r="J108" i="2" s="1"/>
  <c r="H109" i="2"/>
  <c r="C111" i="2"/>
  <c r="F110" i="2"/>
  <c r="D110" i="2"/>
  <c r="B111" i="2"/>
  <c r="I110" i="2"/>
  <c r="J109" i="2" s="1"/>
  <c r="H110" i="2"/>
  <c r="I27" i="2"/>
  <c r="J26" i="2" s="1"/>
  <c r="H27" i="2"/>
  <c r="C29" i="2"/>
  <c r="F28" i="2"/>
  <c r="D28" i="2"/>
  <c r="B29" i="2"/>
  <c r="I28" i="2"/>
  <c r="J27" i="2" s="1"/>
  <c r="H28" i="2"/>
  <c r="B30" i="2" l="1"/>
  <c r="C30" i="2"/>
  <c r="F29" i="2"/>
  <c r="D29" i="2"/>
  <c r="B112" i="2"/>
  <c r="C112" i="2"/>
  <c r="F111" i="2"/>
  <c r="D111" i="2"/>
  <c r="B193" i="2"/>
  <c r="C193" i="2"/>
  <c r="F192" i="2"/>
  <c r="D192" i="2"/>
  <c r="B273" i="2"/>
  <c r="C273" i="2"/>
  <c r="F272" i="2"/>
  <c r="D272" i="2"/>
  <c r="B352" i="2"/>
  <c r="C352" i="2"/>
  <c r="F351" i="2"/>
  <c r="D351" i="2"/>
  <c r="B430" i="2"/>
  <c r="C430" i="2"/>
  <c r="F429" i="2"/>
  <c r="D429" i="2"/>
  <c r="B507" i="2"/>
  <c r="C507" i="2"/>
  <c r="F506" i="2"/>
  <c r="D506" i="2"/>
  <c r="B583" i="2"/>
  <c r="C583" i="2"/>
  <c r="F582" i="2"/>
  <c r="B658" i="2"/>
  <c r="C658" i="2"/>
  <c r="F657" i="2"/>
  <c r="B732" i="2"/>
  <c r="C732" i="2"/>
  <c r="F731" i="2"/>
  <c r="B805" i="2"/>
  <c r="C805" i="2"/>
  <c r="F804" i="2"/>
  <c r="D804" i="2"/>
  <c r="B30" i="3"/>
  <c r="C30" i="3"/>
  <c r="F29" i="3"/>
  <c r="D29" i="3"/>
  <c r="B101" i="3"/>
  <c r="C101" i="3"/>
  <c r="F100" i="3"/>
  <c r="D100" i="3"/>
  <c r="B171" i="3"/>
  <c r="C171" i="3"/>
  <c r="F170" i="3"/>
  <c r="D170" i="3"/>
  <c r="B240" i="3"/>
  <c r="C240" i="3"/>
  <c r="F239" i="3"/>
  <c r="D239" i="3"/>
  <c r="B308" i="3"/>
  <c r="C308" i="3"/>
  <c r="F307" i="3"/>
  <c r="D307" i="3"/>
  <c r="B375" i="3"/>
  <c r="C375" i="3"/>
  <c r="F374" i="3"/>
  <c r="D374" i="3"/>
  <c r="B441" i="3"/>
  <c r="C441" i="3"/>
  <c r="F440" i="3"/>
  <c r="D440" i="3"/>
  <c r="B506" i="3"/>
  <c r="C506" i="3"/>
  <c r="F505" i="3"/>
  <c r="D505" i="3"/>
  <c r="B570" i="3"/>
  <c r="C570" i="3"/>
  <c r="F569" i="3"/>
  <c r="D569" i="3"/>
  <c r="B633" i="3"/>
  <c r="C633" i="3"/>
  <c r="F632" i="3"/>
  <c r="D632" i="3"/>
  <c r="B695" i="3"/>
  <c r="C695" i="3"/>
  <c r="F694" i="3"/>
  <c r="D694" i="3"/>
  <c r="B756" i="3"/>
  <c r="C756" i="3"/>
  <c r="F755" i="3"/>
  <c r="D755" i="3"/>
  <c r="B816" i="3"/>
  <c r="C816" i="3"/>
  <c r="F815" i="3"/>
  <c r="D815" i="3"/>
  <c r="B875" i="3"/>
  <c r="C875" i="3"/>
  <c r="F874" i="3"/>
  <c r="D874" i="3"/>
  <c r="B933" i="3"/>
  <c r="C933" i="3"/>
  <c r="F932" i="3"/>
  <c r="D932" i="3"/>
  <c r="B30" i="4"/>
  <c r="C30" i="4"/>
  <c r="F29" i="4"/>
  <c r="D29" i="4"/>
  <c r="B86" i="4"/>
  <c r="C86" i="4"/>
  <c r="F85" i="4"/>
  <c r="D85" i="4"/>
  <c r="F139" i="4"/>
  <c r="D139" i="4"/>
  <c r="H139" i="4" s="1"/>
  <c r="I139" i="4"/>
  <c r="J138" i="4" s="1"/>
  <c r="B141" i="4"/>
  <c r="C140" i="4"/>
  <c r="F193" i="4"/>
  <c r="D193" i="4"/>
  <c r="H193" i="4" s="1"/>
  <c r="I193" i="4"/>
  <c r="J192" i="4" s="1"/>
  <c r="B195" i="4"/>
  <c r="C194" i="4"/>
  <c r="F246" i="4"/>
  <c r="D246" i="4"/>
  <c r="H246" i="4" s="1"/>
  <c r="I246" i="4"/>
  <c r="J245" i="4" s="1"/>
  <c r="B248" i="4"/>
  <c r="C247" i="4"/>
  <c r="F298" i="4"/>
  <c r="D298" i="4"/>
  <c r="H298" i="4" s="1"/>
  <c r="I298" i="4"/>
  <c r="J297" i="4" s="1"/>
  <c r="B300" i="4"/>
  <c r="C299" i="4"/>
  <c r="F349" i="4"/>
  <c r="D349" i="4"/>
  <c r="H349" i="4" s="1"/>
  <c r="I349" i="4"/>
  <c r="J348" i="4" s="1"/>
  <c r="B351" i="4"/>
  <c r="C350" i="4"/>
  <c r="F399" i="4"/>
  <c r="D399" i="4"/>
  <c r="H399" i="4" s="1"/>
  <c r="I399" i="4"/>
  <c r="J398" i="4" s="1"/>
  <c r="B401" i="4"/>
  <c r="C400" i="4"/>
  <c r="F448" i="4"/>
  <c r="D448" i="4"/>
  <c r="H448" i="4" s="1"/>
  <c r="I448" i="4"/>
  <c r="J447" i="4" s="1"/>
  <c r="B450" i="4"/>
  <c r="C449" i="4"/>
  <c r="F496" i="4"/>
  <c r="D496" i="4"/>
  <c r="H496" i="4" s="1"/>
  <c r="I496" i="4"/>
  <c r="J495" i="4" s="1"/>
  <c r="B498" i="4"/>
  <c r="C497" i="4"/>
  <c r="B545" i="4"/>
  <c r="C545" i="4"/>
  <c r="F544" i="4"/>
  <c r="D544" i="4"/>
  <c r="F589" i="4"/>
  <c r="D589" i="4"/>
  <c r="H589" i="4" s="1"/>
  <c r="I589" i="4"/>
  <c r="J588" i="4" s="1"/>
  <c r="B591" i="4"/>
  <c r="C590" i="4"/>
  <c r="F634" i="4"/>
  <c r="D634" i="4"/>
  <c r="H634" i="4" s="1"/>
  <c r="I634" i="4"/>
  <c r="J633" i="4" s="1"/>
  <c r="B636" i="4"/>
  <c r="C635" i="4"/>
  <c r="F678" i="4"/>
  <c r="D678" i="4"/>
  <c r="H678" i="4" s="1"/>
  <c r="I678" i="4"/>
  <c r="J677" i="4" s="1"/>
  <c r="B680" i="4"/>
  <c r="C679" i="4"/>
  <c r="F721" i="4"/>
  <c r="D721" i="4"/>
  <c r="H721" i="4" s="1"/>
  <c r="I721" i="4"/>
  <c r="J720" i="4" s="1"/>
  <c r="B723" i="4"/>
  <c r="C722" i="4"/>
  <c r="F763" i="4"/>
  <c r="D763" i="4"/>
  <c r="H763" i="4" s="1"/>
  <c r="I763" i="4"/>
  <c r="J762" i="4" s="1"/>
  <c r="B765" i="4"/>
  <c r="C764" i="4"/>
  <c r="F804" i="4"/>
  <c r="D804" i="4"/>
  <c r="H804" i="4" s="1"/>
  <c r="I804" i="4"/>
  <c r="J803" i="4" s="1"/>
  <c r="B806" i="4"/>
  <c r="C805" i="4"/>
  <c r="F844" i="4"/>
  <c r="D844" i="4"/>
  <c r="H844" i="4" s="1"/>
  <c r="I844" i="4"/>
  <c r="J843" i="4" s="1"/>
  <c r="B846" i="4"/>
  <c r="C845" i="4"/>
  <c r="F883" i="4"/>
  <c r="D883" i="4"/>
  <c r="H883" i="4" s="1"/>
  <c r="I883" i="4"/>
  <c r="J882" i="4" s="1"/>
  <c r="B885" i="4"/>
  <c r="C884" i="4"/>
  <c r="F921" i="4"/>
  <c r="D921" i="4"/>
  <c r="H921" i="4" s="1"/>
  <c r="I921" i="4"/>
  <c r="J920" i="4" s="1"/>
  <c r="B923" i="4"/>
  <c r="C922" i="4"/>
  <c r="F28" i="5"/>
  <c r="D28" i="5"/>
  <c r="H28" i="5" s="1"/>
  <c r="I28" i="5"/>
  <c r="J27" i="5" s="1"/>
  <c r="B30" i="5"/>
  <c r="C29" i="5"/>
  <c r="F64" i="5"/>
  <c r="D64" i="5"/>
  <c r="H64" i="5" s="1"/>
  <c r="I64" i="5"/>
  <c r="J63" i="5" s="1"/>
  <c r="B66" i="5"/>
  <c r="C65" i="5"/>
  <c r="F99" i="5"/>
  <c r="D99" i="5"/>
  <c r="H99" i="5" s="1"/>
  <c r="I99" i="5"/>
  <c r="J98" i="5" s="1"/>
  <c r="B101" i="5"/>
  <c r="C100" i="5"/>
  <c r="F133" i="5"/>
  <c r="D133" i="5"/>
  <c r="H133" i="5" s="1"/>
  <c r="I133" i="5"/>
  <c r="J132" i="5" s="1"/>
  <c r="B135" i="5"/>
  <c r="C134" i="5"/>
  <c r="F166" i="5"/>
  <c r="D166" i="5"/>
  <c r="H166" i="5" s="1"/>
  <c r="I166" i="5"/>
  <c r="J165" i="5" s="1"/>
  <c r="B168" i="5"/>
  <c r="C167" i="5"/>
  <c r="F198" i="5"/>
  <c r="D198" i="5"/>
  <c r="H198" i="5" s="1"/>
  <c r="I198" i="5"/>
  <c r="J197" i="5" s="1"/>
  <c r="B200" i="5"/>
  <c r="C199" i="5"/>
  <c r="F229" i="5"/>
  <c r="D229" i="5"/>
  <c r="H229" i="5" s="1"/>
  <c r="I229" i="5"/>
  <c r="J228" i="5" s="1"/>
  <c r="B231" i="5"/>
  <c r="C230" i="5"/>
  <c r="F259" i="5"/>
  <c r="D259" i="5"/>
  <c r="H259" i="5" s="1"/>
  <c r="I259" i="5"/>
  <c r="J258" i="5" s="1"/>
  <c r="B261" i="5"/>
  <c r="C260" i="5"/>
  <c r="F288" i="5"/>
  <c r="D288" i="5"/>
  <c r="H288" i="5" s="1"/>
  <c r="I288" i="5"/>
  <c r="J287" i="5" s="1"/>
  <c r="B290" i="5"/>
  <c r="C289" i="5"/>
  <c r="F316" i="5"/>
  <c r="D316" i="5"/>
  <c r="H316" i="5" s="1"/>
  <c r="I316" i="5"/>
  <c r="J315" i="5" s="1"/>
  <c r="B318" i="5"/>
  <c r="C317" i="5"/>
  <c r="F343" i="5"/>
  <c r="D343" i="5"/>
  <c r="H343" i="5" s="1"/>
  <c r="I343" i="5"/>
  <c r="J342" i="5" s="1"/>
  <c r="B345" i="5"/>
  <c r="C344" i="5"/>
  <c r="F369" i="5"/>
  <c r="D369" i="5"/>
  <c r="H369" i="5" s="1"/>
  <c r="I369" i="5"/>
  <c r="J368" i="5" s="1"/>
  <c r="B371" i="5"/>
  <c r="C370" i="5"/>
  <c r="F394" i="5"/>
  <c r="D394" i="5"/>
  <c r="H394" i="5" s="1"/>
  <c r="I394" i="5"/>
  <c r="J393" i="5" s="1"/>
  <c r="B396" i="5"/>
  <c r="C395" i="5"/>
  <c r="F418" i="5"/>
  <c r="D418" i="5"/>
  <c r="H418" i="5" s="1"/>
  <c r="I418" i="5"/>
  <c r="J417" i="5" s="1"/>
  <c r="B420" i="5"/>
  <c r="C419" i="5"/>
  <c r="F441" i="5"/>
  <c r="D441" i="5"/>
  <c r="H441" i="5" s="1"/>
  <c r="I441" i="5"/>
  <c r="J440" i="5" s="1"/>
  <c r="B443" i="5"/>
  <c r="C442" i="5"/>
  <c r="F463" i="5"/>
  <c r="D463" i="5"/>
  <c r="H463" i="5" s="1"/>
  <c r="I463" i="5"/>
  <c r="J462" i="5" s="1"/>
  <c r="B465" i="5"/>
  <c r="C464" i="5"/>
  <c r="F484" i="5"/>
  <c r="D484" i="5"/>
  <c r="H484" i="5" s="1"/>
  <c r="I484" i="5"/>
  <c r="J483" i="5" s="1"/>
  <c r="C485" i="5"/>
  <c r="F504" i="5"/>
  <c r="D504" i="5"/>
  <c r="H504" i="5" s="1"/>
  <c r="I504" i="5"/>
  <c r="J503" i="5" s="1"/>
  <c r="F485" i="5" l="1"/>
  <c r="D485" i="5"/>
  <c r="H485" i="5" s="1"/>
  <c r="I485" i="5"/>
  <c r="J484" i="5" s="1"/>
  <c r="F464" i="5"/>
  <c r="D464" i="5"/>
  <c r="H464" i="5" s="1"/>
  <c r="I464" i="5"/>
  <c r="J463" i="5" s="1"/>
  <c r="C465" i="5"/>
  <c r="F442" i="5"/>
  <c r="D442" i="5"/>
  <c r="H442" i="5" s="1"/>
  <c r="I442" i="5"/>
  <c r="J441" i="5" s="1"/>
  <c r="B444" i="5"/>
  <c r="C443" i="5"/>
  <c r="F419" i="5"/>
  <c r="D419" i="5"/>
  <c r="H419" i="5" s="1"/>
  <c r="I419" i="5"/>
  <c r="J418" i="5" s="1"/>
  <c r="B421" i="5"/>
  <c r="C420" i="5"/>
  <c r="F395" i="5"/>
  <c r="D395" i="5"/>
  <c r="H395" i="5" s="1"/>
  <c r="I395" i="5"/>
  <c r="J394" i="5" s="1"/>
  <c r="B397" i="5"/>
  <c r="C396" i="5"/>
  <c r="F370" i="5"/>
  <c r="D370" i="5"/>
  <c r="H370" i="5" s="1"/>
  <c r="I370" i="5"/>
  <c r="J369" i="5" s="1"/>
  <c r="B372" i="5"/>
  <c r="C371" i="5"/>
  <c r="F344" i="5"/>
  <c r="D344" i="5"/>
  <c r="H344" i="5" s="1"/>
  <c r="I344" i="5"/>
  <c r="J343" i="5" s="1"/>
  <c r="B346" i="5"/>
  <c r="C345" i="5"/>
  <c r="F317" i="5"/>
  <c r="D317" i="5"/>
  <c r="H317" i="5" s="1"/>
  <c r="I317" i="5"/>
  <c r="J316" i="5" s="1"/>
  <c r="B319" i="5"/>
  <c r="C318" i="5"/>
  <c r="F289" i="5"/>
  <c r="D289" i="5"/>
  <c r="H289" i="5" s="1"/>
  <c r="I289" i="5"/>
  <c r="J288" i="5" s="1"/>
  <c r="B291" i="5"/>
  <c r="C290" i="5"/>
  <c r="F260" i="5"/>
  <c r="D260" i="5"/>
  <c r="H260" i="5" s="1"/>
  <c r="I260" i="5"/>
  <c r="J259" i="5" s="1"/>
  <c r="B262" i="5"/>
  <c r="C261" i="5"/>
  <c r="F230" i="5"/>
  <c r="D230" i="5"/>
  <c r="H230" i="5" s="1"/>
  <c r="I230" i="5"/>
  <c r="J229" i="5" s="1"/>
  <c r="B232" i="5"/>
  <c r="C231" i="5"/>
  <c r="F199" i="5"/>
  <c r="D199" i="5"/>
  <c r="H199" i="5" s="1"/>
  <c r="I199" i="5"/>
  <c r="J198" i="5" s="1"/>
  <c r="B201" i="5"/>
  <c r="C200" i="5"/>
  <c r="F167" i="5"/>
  <c r="D167" i="5"/>
  <c r="H167" i="5" s="1"/>
  <c r="I167" i="5"/>
  <c r="J166" i="5" s="1"/>
  <c r="B169" i="5"/>
  <c r="C168" i="5"/>
  <c r="F134" i="5"/>
  <c r="D134" i="5"/>
  <c r="H134" i="5" s="1"/>
  <c r="I134" i="5"/>
  <c r="J133" i="5" s="1"/>
  <c r="B136" i="5"/>
  <c r="C135" i="5"/>
  <c r="F100" i="5"/>
  <c r="D100" i="5"/>
  <c r="H100" i="5" s="1"/>
  <c r="I100" i="5"/>
  <c r="J99" i="5" s="1"/>
  <c r="B102" i="5"/>
  <c r="C101" i="5"/>
  <c r="F65" i="5"/>
  <c r="D65" i="5"/>
  <c r="H65" i="5" s="1"/>
  <c r="I65" i="5"/>
  <c r="J64" i="5" s="1"/>
  <c r="B67" i="5"/>
  <c r="C66" i="5"/>
  <c r="F29" i="5"/>
  <c r="D29" i="5"/>
  <c r="H29" i="5" s="1"/>
  <c r="I29" i="5"/>
  <c r="J28" i="5" s="1"/>
  <c r="B31" i="5"/>
  <c r="C30" i="5"/>
  <c r="F922" i="4"/>
  <c r="D922" i="4"/>
  <c r="H922" i="4" s="1"/>
  <c r="I922" i="4"/>
  <c r="J921" i="4" s="1"/>
  <c r="B924" i="4"/>
  <c r="C923" i="4"/>
  <c r="F884" i="4"/>
  <c r="D884" i="4"/>
  <c r="H884" i="4" s="1"/>
  <c r="I884" i="4"/>
  <c r="J883" i="4" s="1"/>
  <c r="B886" i="4"/>
  <c r="C885" i="4"/>
  <c r="F845" i="4"/>
  <c r="D845" i="4"/>
  <c r="H845" i="4" s="1"/>
  <c r="I845" i="4"/>
  <c r="J844" i="4" s="1"/>
  <c r="B847" i="4"/>
  <c r="C846" i="4"/>
  <c r="F805" i="4"/>
  <c r="D805" i="4"/>
  <c r="H805" i="4" s="1"/>
  <c r="I805" i="4"/>
  <c r="J804" i="4" s="1"/>
  <c r="B807" i="4"/>
  <c r="C806" i="4"/>
  <c r="F764" i="4"/>
  <c r="D764" i="4"/>
  <c r="H764" i="4" s="1"/>
  <c r="I764" i="4"/>
  <c r="J763" i="4" s="1"/>
  <c r="B766" i="4"/>
  <c r="C765" i="4"/>
  <c r="F722" i="4"/>
  <c r="D722" i="4"/>
  <c r="H722" i="4" s="1"/>
  <c r="I722" i="4"/>
  <c r="J721" i="4" s="1"/>
  <c r="B724" i="4"/>
  <c r="C723" i="4"/>
  <c r="F679" i="4"/>
  <c r="D679" i="4"/>
  <c r="H679" i="4" s="1"/>
  <c r="I679" i="4"/>
  <c r="J678" i="4" s="1"/>
  <c r="B681" i="4"/>
  <c r="C680" i="4"/>
  <c r="F635" i="4"/>
  <c r="D635" i="4"/>
  <c r="H635" i="4" s="1"/>
  <c r="I635" i="4"/>
  <c r="J634" i="4" s="1"/>
  <c r="B637" i="4"/>
  <c r="C636" i="4"/>
  <c r="F590" i="4"/>
  <c r="D590" i="4"/>
  <c r="H590" i="4" s="1"/>
  <c r="I590" i="4"/>
  <c r="J589" i="4" s="1"/>
  <c r="B592" i="4"/>
  <c r="C591" i="4"/>
  <c r="I544" i="4"/>
  <c r="J543" i="4" s="1"/>
  <c r="H544" i="4"/>
  <c r="C546" i="4"/>
  <c r="F545" i="4"/>
  <c r="D545" i="4"/>
  <c r="B546" i="4"/>
  <c r="I545" i="4"/>
  <c r="J544" i="4" s="1"/>
  <c r="H545" i="4"/>
  <c r="F497" i="4"/>
  <c r="D497" i="4"/>
  <c r="H497" i="4" s="1"/>
  <c r="I497" i="4"/>
  <c r="J496" i="4" s="1"/>
  <c r="B499" i="4"/>
  <c r="C498" i="4"/>
  <c r="F449" i="4"/>
  <c r="D449" i="4"/>
  <c r="H449" i="4" s="1"/>
  <c r="I449" i="4"/>
  <c r="J448" i="4" s="1"/>
  <c r="B451" i="4"/>
  <c r="C450" i="4"/>
  <c r="F400" i="4"/>
  <c r="D400" i="4"/>
  <c r="H400" i="4" s="1"/>
  <c r="I400" i="4"/>
  <c r="J399" i="4" s="1"/>
  <c r="B402" i="4"/>
  <c r="C401" i="4"/>
  <c r="F350" i="4"/>
  <c r="D350" i="4"/>
  <c r="H350" i="4" s="1"/>
  <c r="I350" i="4"/>
  <c r="J349" i="4" s="1"/>
  <c r="B352" i="4"/>
  <c r="C351" i="4"/>
  <c r="F299" i="4"/>
  <c r="D299" i="4"/>
  <c r="H299" i="4" s="1"/>
  <c r="I299" i="4"/>
  <c r="J298" i="4" s="1"/>
  <c r="B301" i="4"/>
  <c r="C300" i="4"/>
  <c r="F247" i="4"/>
  <c r="D247" i="4"/>
  <c r="H247" i="4" s="1"/>
  <c r="I247" i="4"/>
  <c r="J246" i="4" s="1"/>
  <c r="B249" i="4"/>
  <c r="C248" i="4"/>
  <c r="F194" i="4"/>
  <c r="D194" i="4"/>
  <c r="H194" i="4" s="1"/>
  <c r="I194" i="4"/>
  <c r="J193" i="4" s="1"/>
  <c r="B196" i="4"/>
  <c r="C195" i="4"/>
  <c r="F140" i="4"/>
  <c r="D140" i="4"/>
  <c r="H140" i="4" s="1"/>
  <c r="I140" i="4"/>
  <c r="J139" i="4" s="1"/>
  <c r="B142" i="4"/>
  <c r="C141" i="4"/>
  <c r="I85" i="4"/>
  <c r="J84" i="4" s="1"/>
  <c r="H85" i="4"/>
  <c r="C87" i="4"/>
  <c r="F86" i="4"/>
  <c r="D86" i="4"/>
  <c r="B87" i="4"/>
  <c r="I86" i="4"/>
  <c r="J85" i="4" s="1"/>
  <c r="H86" i="4"/>
  <c r="I29" i="4"/>
  <c r="J28" i="4" s="1"/>
  <c r="H29" i="4"/>
  <c r="C31" i="4"/>
  <c r="F30" i="4"/>
  <c r="D30" i="4"/>
  <c r="B31" i="4"/>
  <c r="I30" i="4"/>
  <c r="J29" i="4" s="1"/>
  <c r="H30" i="4"/>
  <c r="I932" i="3"/>
  <c r="J931" i="3" s="1"/>
  <c r="H932" i="3"/>
  <c r="C934" i="3"/>
  <c r="F933" i="3"/>
  <c r="D933" i="3"/>
  <c r="B934" i="3"/>
  <c r="I933" i="3"/>
  <c r="J932" i="3" s="1"/>
  <c r="H933" i="3"/>
  <c r="I874" i="3"/>
  <c r="J873" i="3" s="1"/>
  <c r="H874" i="3"/>
  <c r="C876" i="3"/>
  <c r="F875" i="3"/>
  <c r="D875" i="3"/>
  <c r="B876" i="3"/>
  <c r="I875" i="3"/>
  <c r="J874" i="3" s="1"/>
  <c r="H875" i="3"/>
  <c r="I815" i="3"/>
  <c r="J814" i="3" s="1"/>
  <c r="H815" i="3"/>
  <c r="C817" i="3"/>
  <c r="F816" i="3"/>
  <c r="D816" i="3"/>
  <c r="B817" i="3"/>
  <c r="I816" i="3"/>
  <c r="J815" i="3" s="1"/>
  <c r="H816" i="3"/>
  <c r="I755" i="3"/>
  <c r="J754" i="3" s="1"/>
  <c r="H755" i="3"/>
  <c r="C757" i="3"/>
  <c r="F756" i="3"/>
  <c r="D756" i="3"/>
  <c r="B757" i="3"/>
  <c r="I756" i="3"/>
  <c r="J755" i="3" s="1"/>
  <c r="H756" i="3"/>
  <c r="I694" i="3"/>
  <c r="J693" i="3" s="1"/>
  <c r="H694" i="3"/>
  <c r="C696" i="3"/>
  <c r="F695" i="3"/>
  <c r="D695" i="3"/>
  <c r="B696" i="3"/>
  <c r="I695" i="3"/>
  <c r="J694" i="3" s="1"/>
  <c r="H695" i="3"/>
  <c r="I632" i="3"/>
  <c r="J631" i="3" s="1"/>
  <c r="H632" i="3"/>
  <c r="C634" i="3"/>
  <c r="F633" i="3"/>
  <c r="D633" i="3"/>
  <c r="B634" i="3"/>
  <c r="I633" i="3"/>
  <c r="J632" i="3" s="1"/>
  <c r="H633" i="3"/>
  <c r="I569" i="3"/>
  <c r="J568" i="3" s="1"/>
  <c r="H569" i="3"/>
  <c r="C571" i="3"/>
  <c r="F570" i="3"/>
  <c r="D570" i="3"/>
  <c r="B571" i="3"/>
  <c r="I570" i="3"/>
  <c r="J569" i="3" s="1"/>
  <c r="H570" i="3"/>
  <c r="I505" i="3"/>
  <c r="J504" i="3" s="1"/>
  <c r="H505" i="3"/>
  <c r="C507" i="3"/>
  <c r="F506" i="3"/>
  <c r="D506" i="3"/>
  <c r="B507" i="3"/>
  <c r="I506" i="3"/>
  <c r="J505" i="3" s="1"/>
  <c r="H506" i="3"/>
  <c r="I440" i="3"/>
  <c r="J439" i="3" s="1"/>
  <c r="H440" i="3"/>
  <c r="C442" i="3"/>
  <c r="F441" i="3"/>
  <c r="D441" i="3"/>
  <c r="B442" i="3"/>
  <c r="I441" i="3"/>
  <c r="J440" i="3" s="1"/>
  <c r="H441" i="3"/>
  <c r="I374" i="3"/>
  <c r="J373" i="3" s="1"/>
  <c r="H374" i="3"/>
  <c r="C376" i="3"/>
  <c r="F375" i="3"/>
  <c r="D375" i="3"/>
  <c r="B376" i="3"/>
  <c r="I375" i="3"/>
  <c r="J374" i="3" s="1"/>
  <c r="H375" i="3"/>
  <c r="I307" i="3"/>
  <c r="J306" i="3" s="1"/>
  <c r="H307" i="3"/>
  <c r="C309" i="3"/>
  <c r="F308" i="3"/>
  <c r="D308" i="3"/>
  <c r="B309" i="3"/>
  <c r="I308" i="3"/>
  <c r="J307" i="3" s="1"/>
  <c r="H308" i="3"/>
  <c r="I239" i="3"/>
  <c r="J238" i="3" s="1"/>
  <c r="H239" i="3"/>
  <c r="C241" i="3"/>
  <c r="F240" i="3"/>
  <c r="D240" i="3"/>
  <c r="B241" i="3"/>
  <c r="I240" i="3"/>
  <c r="J239" i="3" s="1"/>
  <c r="H240" i="3"/>
  <c r="I170" i="3"/>
  <c r="J169" i="3" s="1"/>
  <c r="H170" i="3"/>
  <c r="C172" i="3"/>
  <c r="F171" i="3"/>
  <c r="D171" i="3"/>
  <c r="B172" i="3"/>
  <c r="I171" i="3"/>
  <c r="J170" i="3" s="1"/>
  <c r="H171" i="3"/>
  <c r="I100" i="3"/>
  <c r="J99" i="3" s="1"/>
  <c r="H100" i="3"/>
  <c r="C102" i="3"/>
  <c r="F101" i="3"/>
  <c r="D101" i="3"/>
  <c r="B102" i="3"/>
  <c r="I101" i="3"/>
  <c r="J100" i="3" s="1"/>
  <c r="H101" i="3"/>
  <c r="I29" i="3"/>
  <c r="J28" i="3" s="1"/>
  <c r="H29" i="3"/>
  <c r="C31" i="3"/>
  <c r="F30" i="3"/>
  <c r="D30" i="3"/>
  <c r="B31" i="3"/>
  <c r="I30" i="3"/>
  <c r="J29" i="3" s="1"/>
  <c r="H30" i="3"/>
  <c r="I804" i="2"/>
  <c r="J803" i="2" s="1"/>
  <c r="H804" i="2"/>
  <c r="C806" i="2"/>
  <c r="F805" i="2"/>
  <c r="D805" i="2"/>
  <c r="B806" i="2"/>
  <c r="I805" i="2"/>
  <c r="J804" i="2" s="1"/>
  <c r="H805" i="2"/>
  <c r="I731" i="2"/>
  <c r="J730" i="2" s="1"/>
  <c r="H731" i="2"/>
  <c r="C733" i="2"/>
  <c r="F732" i="2"/>
  <c r="B733" i="2"/>
  <c r="I732" i="2"/>
  <c r="J731" i="2" s="1"/>
  <c r="H732" i="2"/>
  <c r="I657" i="2"/>
  <c r="J656" i="2" s="1"/>
  <c r="H657" i="2"/>
  <c r="C659" i="2"/>
  <c r="F658" i="2"/>
  <c r="B659" i="2"/>
  <c r="I658" i="2"/>
  <c r="J657" i="2" s="1"/>
  <c r="H658" i="2"/>
  <c r="I582" i="2"/>
  <c r="J581" i="2" s="1"/>
  <c r="H582" i="2"/>
  <c r="C584" i="2"/>
  <c r="F583" i="2"/>
  <c r="B584" i="2"/>
  <c r="I583" i="2"/>
  <c r="J582" i="2" s="1"/>
  <c r="H583" i="2"/>
  <c r="I506" i="2"/>
  <c r="J505" i="2" s="1"/>
  <c r="H506" i="2"/>
  <c r="C508" i="2"/>
  <c r="F507" i="2"/>
  <c r="D507" i="2"/>
  <c r="B508" i="2"/>
  <c r="I507" i="2"/>
  <c r="J506" i="2" s="1"/>
  <c r="H507" i="2"/>
  <c r="I429" i="2"/>
  <c r="J428" i="2" s="1"/>
  <c r="H429" i="2"/>
  <c r="C431" i="2"/>
  <c r="F430" i="2"/>
  <c r="D430" i="2"/>
  <c r="B431" i="2"/>
  <c r="I430" i="2"/>
  <c r="J429" i="2" s="1"/>
  <c r="H430" i="2"/>
  <c r="I351" i="2"/>
  <c r="J350" i="2" s="1"/>
  <c r="H351" i="2"/>
  <c r="C353" i="2"/>
  <c r="F352" i="2"/>
  <c r="D352" i="2"/>
  <c r="B353" i="2"/>
  <c r="I352" i="2"/>
  <c r="J351" i="2" s="1"/>
  <c r="H352" i="2"/>
  <c r="I272" i="2"/>
  <c r="J271" i="2" s="1"/>
  <c r="H272" i="2"/>
  <c r="C274" i="2"/>
  <c r="F273" i="2"/>
  <c r="D273" i="2"/>
  <c r="B274" i="2"/>
  <c r="I273" i="2"/>
  <c r="J272" i="2" s="1"/>
  <c r="H273" i="2"/>
  <c r="I192" i="2"/>
  <c r="J191" i="2" s="1"/>
  <c r="H192" i="2"/>
  <c r="C194" i="2"/>
  <c r="F193" i="2"/>
  <c r="D193" i="2"/>
  <c r="B194" i="2"/>
  <c r="I193" i="2"/>
  <c r="J192" i="2" s="1"/>
  <c r="H193" i="2"/>
  <c r="I111" i="2"/>
  <c r="J110" i="2" s="1"/>
  <c r="H111" i="2"/>
  <c r="C113" i="2"/>
  <c r="F112" i="2"/>
  <c r="D112" i="2"/>
  <c r="B113" i="2"/>
  <c r="I112" i="2"/>
  <c r="J111" i="2" s="1"/>
  <c r="H112" i="2"/>
  <c r="I29" i="2"/>
  <c r="J28" i="2" s="1"/>
  <c r="H29" i="2"/>
  <c r="C31" i="2"/>
  <c r="F30" i="2"/>
  <c r="D30" i="2"/>
  <c r="B31" i="2"/>
  <c r="I30" i="2"/>
  <c r="J29" i="2" s="1"/>
  <c r="H30" i="2"/>
  <c r="B32" i="2" l="1"/>
  <c r="C32" i="2"/>
  <c r="F31" i="2"/>
  <c r="D31" i="2"/>
  <c r="B114" i="2"/>
  <c r="C114" i="2"/>
  <c r="F113" i="2"/>
  <c r="D113" i="2"/>
  <c r="B195" i="2"/>
  <c r="C195" i="2"/>
  <c r="F194" i="2"/>
  <c r="D194" i="2"/>
  <c r="B275" i="2"/>
  <c r="C275" i="2"/>
  <c r="F274" i="2"/>
  <c r="D274" i="2"/>
  <c r="B354" i="2"/>
  <c r="C354" i="2"/>
  <c r="F353" i="2"/>
  <c r="D353" i="2"/>
  <c r="B432" i="2"/>
  <c r="C432" i="2"/>
  <c r="F431" i="2"/>
  <c r="D431" i="2"/>
  <c r="B509" i="2"/>
  <c r="C509" i="2"/>
  <c r="F508" i="2"/>
  <c r="D508" i="2"/>
  <c r="B585" i="2"/>
  <c r="C585" i="2"/>
  <c r="F584" i="2"/>
  <c r="B660" i="2"/>
  <c r="C660" i="2"/>
  <c r="F659" i="2"/>
  <c r="B734" i="2"/>
  <c r="C734" i="2"/>
  <c r="F733" i="2"/>
  <c r="B807" i="2"/>
  <c r="C807" i="2"/>
  <c r="F806" i="2"/>
  <c r="D806" i="2"/>
  <c r="B32" i="3"/>
  <c r="C32" i="3"/>
  <c r="F31" i="3"/>
  <c r="D31" i="3"/>
  <c r="B103" i="3"/>
  <c r="C103" i="3"/>
  <c r="F102" i="3"/>
  <c r="D102" i="3"/>
  <c r="B173" i="3"/>
  <c r="C173" i="3"/>
  <c r="F172" i="3"/>
  <c r="D172" i="3"/>
  <c r="B242" i="3"/>
  <c r="C242" i="3"/>
  <c r="F241" i="3"/>
  <c r="D241" i="3"/>
  <c r="B310" i="3"/>
  <c r="C310" i="3"/>
  <c r="F309" i="3"/>
  <c r="D309" i="3"/>
  <c r="B377" i="3"/>
  <c r="C377" i="3"/>
  <c r="F376" i="3"/>
  <c r="D376" i="3"/>
  <c r="B443" i="3"/>
  <c r="C443" i="3"/>
  <c r="F442" i="3"/>
  <c r="D442" i="3"/>
  <c r="B508" i="3"/>
  <c r="C508" i="3"/>
  <c r="F507" i="3"/>
  <c r="D507" i="3"/>
  <c r="B572" i="3"/>
  <c r="C572" i="3"/>
  <c r="F571" i="3"/>
  <c r="D571" i="3"/>
  <c r="B635" i="3"/>
  <c r="C635" i="3"/>
  <c r="F634" i="3"/>
  <c r="D634" i="3"/>
  <c r="B697" i="3"/>
  <c r="C697" i="3"/>
  <c r="F696" i="3"/>
  <c r="D696" i="3"/>
  <c r="B758" i="3"/>
  <c r="C758" i="3"/>
  <c r="F757" i="3"/>
  <c r="D757" i="3"/>
  <c r="B818" i="3"/>
  <c r="C818" i="3"/>
  <c r="F817" i="3"/>
  <c r="D817" i="3"/>
  <c r="B877" i="3"/>
  <c r="C877" i="3"/>
  <c r="F876" i="3"/>
  <c r="D876" i="3"/>
  <c r="B935" i="3"/>
  <c r="C935" i="3"/>
  <c r="F934" i="3"/>
  <c r="D934" i="3"/>
  <c r="B32" i="4"/>
  <c r="C32" i="4"/>
  <c r="F31" i="4"/>
  <c r="D31" i="4"/>
  <c r="B88" i="4"/>
  <c r="C88" i="4"/>
  <c r="F87" i="4"/>
  <c r="D87" i="4"/>
  <c r="F141" i="4"/>
  <c r="D141" i="4"/>
  <c r="H141" i="4" s="1"/>
  <c r="I141" i="4"/>
  <c r="J140" i="4" s="1"/>
  <c r="B143" i="4"/>
  <c r="C142" i="4"/>
  <c r="F195" i="4"/>
  <c r="D195" i="4"/>
  <c r="H195" i="4" s="1"/>
  <c r="I195" i="4"/>
  <c r="J194" i="4" s="1"/>
  <c r="B197" i="4"/>
  <c r="C196" i="4"/>
  <c r="F248" i="4"/>
  <c r="D248" i="4"/>
  <c r="H248" i="4" s="1"/>
  <c r="I248" i="4"/>
  <c r="J247" i="4" s="1"/>
  <c r="B250" i="4"/>
  <c r="C249" i="4"/>
  <c r="F300" i="4"/>
  <c r="D300" i="4"/>
  <c r="H300" i="4" s="1"/>
  <c r="I300" i="4"/>
  <c r="J299" i="4" s="1"/>
  <c r="B302" i="4"/>
  <c r="C301" i="4"/>
  <c r="F351" i="4"/>
  <c r="D351" i="4"/>
  <c r="H351" i="4" s="1"/>
  <c r="I351" i="4"/>
  <c r="J350" i="4" s="1"/>
  <c r="B353" i="4"/>
  <c r="C352" i="4"/>
  <c r="F401" i="4"/>
  <c r="D401" i="4"/>
  <c r="H401" i="4" s="1"/>
  <c r="I401" i="4"/>
  <c r="J400" i="4" s="1"/>
  <c r="B403" i="4"/>
  <c r="C402" i="4"/>
  <c r="F450" i="4"/>
  <c r="D450" i="4"/>
  <c r="H450" i="4" s="1"/>
  <c r="I450" i="4"/>
  <c r="J449" i="4" s="1"/>
  <c r="B452" i="4"/>
  <c r="C451" i="4"/>
  <c r="F498" i="4"/>
  <c r="D498" i="4"/>
  <c r="H498" i="4" s="1"/>
  <c r="I498" i="4"/>
  <c r="J497" i="4" s="1"/>
  <c r="B500" i="4"/>
  <c r="C499" i="4"/>
  <c r="B547" i="4"/>
  <c r="C547" i="4"/>
  <c r="F546" i="4"/>
  <c r="D546" i="4"/>
  <c r="F591" i="4"/>
  <c r="D591" i="4"/>
  <c r="H591" i="4" s="1"/>
  <c r="I591" i="4"/>
  <c r="J590" i="4" s="1"/>
  <c r="B593" i="4"/>
  <c r="C592" i="4"/>
  <c r="F636" i="4"/>
  <c r="D636" i="4"/>
  <c r="H636" i="4" s="1"/>
  <c r="I636" i="4"/>
  <c r="J635" i="4" s="1"/>
  <c r="B638" i="4"/>
  <c r="C637" i="4"/>
  <c r="F680" i="4"/>
  <c r="D680" i="4"/>
  <c r="H680" i="4" s="1"/>
  <c r="I680" i="4"/>
  <c r="J679" i="4" s="1"/>
  <c r="B682" i="4"/>
  <c r="C681" i="4"/>
  <c r="F723" i="4"/>
  <c r="D723" i="4"/>
  <c r="H723" i="4" s="1"/>
  <c r="I723" i="4"/>
  <c r="J722" i="4" s="1"/>
  <c r="B725" i="4"/>
  <c r="C724" i="4"/>
  <c r="F765" i="4"/>
  <c r="D765" i="4"/>
  <c r="H765" i="4" s="1"/>
  <c r="I765" i="4"/>
  <c r="J764" i="4" s="1"/>
  <c r="B767" i="4"/>
  <c r="C766" i="4"/>
  <c r="F806" i="4"/>
  <c r="D806" i="4"/>
  <c r="H806" i="4" s="1"/>
  <c r="I806" i="4"/>
  <c r="J805" i="4" s="1"/>
  <c r="B808" i="4"/>
  <c r="C807" i="4"/>
  <c r="F846" i="4"/>
  <c r="D846" i="4"/>
  <c r="H846" i="4" s="1"/>
  <c r="I846" i="4"/>
  <c r="J845" i="4" s="1"/>
  <c r="B848" i="4"/>
  <c r="C847" i="4"/>
  <c r="F885" i="4"/>
  <c r="D885" i="4"/>
  <c r="H885" i="4" s="1"/>
  <c r="I885" i="4"/>
  <c r="J884" i="4" s="1"/>
  <c r="B887" i="4"/>
  <c r="C886" i="4"/>
  <c r="F923" i="4"/>
  <c r="D923" i="4"/>
  <c r="H923" i="4" s="1"/>
  <c r="I923" i="4"/>
  <c r="J922" i="4" s="1"/>
  <c r="B925" i="4"/>
  <c r="C924" i="4"/>
  <c r="F30" i="5"/>
  <c r="D30" i="5"/>
  <c r="H30" i="5" s="1"/>
  <c r="I30" i="5"/>
  <c r="J29" i="5" s="1"/>
  <c r="B32" i="5"/>
  <c r="C31" i="5"/>
  <c r="F66" i="5"/>
  <c r="D66" i="5"/>
  <c r="H66" i="5" s="1"/>
  <c r="I66" i="5"/>
  <c r="J65" i="5" s="1"/>
  <c r="B68" i="5"/>
  <c r="C67" i="5"/>
  <c r="F101" i="5"/>
  <c r="D101" i="5"/>
  <c r="H101" i="5" s="1"/>
  <c r="I101" i="5"/>
  <c r="J100" i="5" s="1"/>
  <c r="B103" i="5"/>
  <c r="C102" i="5"/>
  <c r="F135" i="5"/>
  <c r="D135" i="5"/>
  <c r="H135" i="5" s="1"/>
  <c r="I135" i="5"/>
  <c r="J134" i="5" s="1"/>
  <c r="B137" i="5"/>
  <c r="C136" i="5"/>
  <c r="F168" i="5"/>
  <c r="D168" i="5"/>
  <c r="H168" i="5" s="1"/>
  <c r="I168" i="5"/>
  <c r="J167" i="5" s="1"/>
  <c r="B170" i="5"/>
  <c r="C169" i="5"/>
  <c r="F200" i="5"/>
  <c r="D200" i="5"/>
  <c r="H200" i="5" s="1"/>
  <c r="I200" i="5"/>
  <c r="J199" i="5" s="1"/>
  <c r="B202" i="5"/>
  <c r="C201" i="5"/>
  <c r="F231" i="5"/>
  <c r="D231" i="5"/>
  <c r="H231" i="5" s="1"/>
  <c r="I231" i="5"/>
  <c r="J230" i="5" s="1"/>
  <c r="B233" i="5"/>
  <c r="C232" i="5"/>
  <c r="F261" i="5"/>
  <c r="D261" i="5"/>
  <c r="H261" i="5" s="1"/>
  <c r="I261" i="5"/>
  <c r="J260" i="5" s="1"/>
  <c r="B263" i="5"/>
  <c r="C262" i="5"/>
  <c r="F290" i="5"/>
  <c r="D290" i="5"/>
  <c r="H290" i="5" s="1"/>
  <c r="I290" i="5"/>
  <c r="J289" i="5" s="1"/>
  <c r="B292" i="5"/>
  <c r="C291" i="5"/>
  <c r="F318" i="5"/>
  <c r="D318" i="5"/>
  <c r="H318" i="5" s="1"/>
  <c r="I318" i="5"/>
  <c r="J317" i="5" s="1"/>
  <c r="B320" i="5"/>
  <c r="C319" i="5"/>
  <c r="F345" i="5"/>
  <c r="D345" i="5"/>
  <c r="H345" i="5" s="1"/>
  <c r="I345" i="5"/>
  <c r="J344" i="5" s="1"/>
  <c r="B347" i="5"/>
  <c r="C346" i="5"/>
  <c r="F371" i="5"/>
  <c r="D371" i="5"/>
  <c r="H371" i="5" s="1"/>
  <c r="I371" i="5"/>
  <c r="J370" i="5" s="1"/>
  <c r="B373" i="5"/>
  <c r="C372" i="5"/>
  <c r="F396" i="5"/>
  <c r="D396" i="5"/>
  <c r="H396" i="5" s="1"/>
  <c r="I396" i="5"/>
  <c r="J395" i="5" s="1"/>
  <c r="B398" i="5"/>
  <c r="C397" i="5"/>
  <c r="F420" i="5"/>
  <c r="D420" i="5"/>
  <c r="H420" i="5" s="1"/>
  <c r="I420" i="5"/>
  <c r="J419" i="5" s="1"/>
  <c r="B422" i="5"/>
  <c r="C421" i="5"/>
  <c r="F443" i="5"/>
  <c r="D443" i="5"/>
  <c r="H443" i="5" s="1"/>
  <c r="I443" i="5"/>
  <c r="J442" i="5" s="1"/>
  <c r="C444" i="5"/>
  <c r="F465" i="5"/>
  <c r="D465" i="5"/>
  <c r="H465" i="5" s="1"/>
  <c r="I465" i="5"/>
  <c r="J464" i="5" s="1"/>
  <c r="F444" i="5" l="1"/>
  <c r="D444" i="5"/>
  <c r="H444" i="5" s="1"/>
  <c r="I444" i="5"/>
  <c r="J443" i="5" s="1"/>
  <c r="F421" i="5"/>
  <c r="D421" i="5"/>
  <c r="H421" i="5" s="1"/>
  <c r="I421" i="5"/>
  <c r="J420" i="5" s="1"/>
  <c r="C422" i="5"/>
  <c r="F397" i="5"/>
  <c r="D397" i="5"/>
  <c r="H397" i="5" s="1"/>
  <c r="I397" i="5"/>
  <c r="J396" i="5" s="1"/>
  <c r="B399" i="5"/>
  <c r="C398" i="5"/>
  <c r="F372" i="5"/>
  <c r="D372" i="5"/>
  <c r="H372" i="5" s="1"/>
  <c r="I372" i="5"/>
  <c r="J371" i="5" s="1"/>
  <c r="B374" i="5"/>
  <c r="C373" i="5"/>
  <c r="F346" i="5"/>
  <c r="D346" i="5"/>
  <c r="H346" i="5" s="1"/>
  <c r="I346" i="5"/>
  <c r="J345" i="5" s="1"/>
  <c r="B348" i="5"/>
  <c r="C347" i="5"/>
  <c r="F319" i="5"/>
  <c r="D319" i="5"/>
  <c r="H319" i="5" s="1"/>
  <c r="I319" i="5"/>
  <c r="J318" i="5" s="1"/>
  <c r="B321" i="5"/>
  <c r="C320" i="5"/>
  <c r="F291" i="5"/>
  <c r="D291" i="5"/>
  <c r="H291" i="5" s="1"/>
  <c r="I291" i="5"/>
  <c r="J290" i="5" s="1"/>
  <c r="B293" i="5"/>
  <c r="C292" i="5"/>
  <c r="F262" i="5"/>
  <c r="D262" i="5"/>
  <c r="H262" i="5" s="1"/>
  <c r="I262" i="5"/>
  <c r="J261" i="5" s="1"/>
  <c r="B264" i="5"/>
  <c r="C263" i="5"/>
  <c r="F232" i="5"/>
  <c r="D232" i="5"/>
  <c r="H232" i="5" s="1"/>
  <c r="I232" i="5"/>
  <c r="J231" i="5" s="1"/>
  <c r="B234" i="5"/>
  <c r="C233" i="5"/>
  <c r="F201" i="5"/>
  <c r="D201" i="5"/>
  <c r="H201" i="5" s="1"/>
  <c r="I201" i="5"/>
  <c r="J200" i="5" s="1"/>
  <c r="B203" i="5"/>
  <c r="C202" i="5"/>
  <c r="F169" i="5"/>
  <c r="D169" i="5"/>
  <c r="H169" i="5" s="1"/>
  <c r="I169" i="5"/>
  <c r="J168" i="5" s="1"/>
  <c r="B171" i="5"/>
  <c r="C170" i="5"/>
  <c r="F136" i="5"/>
  <c r="D136" i="5"/>
  <c r="H136" i="5" s="1"/>
  <c r="I136" i="5"/>
  <c r="J135" i="5" s="1"/>
  <c r="B138" i="5"/>
  <c r="C137" i="5"/>
  <c r="F102" i="5"/>
  <c r="D102" i="5"/>
  <c r="H102" i="5" s="1"/>
  <c r="I102" i="5"/>
  <c r="J101" i="5" s="1"/>
  <c r="B104" i="5"/>
  <c r="C103" i="5"/>
  <c r="F67" i="5"/>
  <c r="D67" i="5"/>
  <c r="H67" i="5" s="1"/>
  <c r="I67" i="5"/>
  <c r="J66" i="5" s="1"/>
  <c r="B69" i="5"/>
  <c r="C68" i="5"/>
  <c r="F31" i="5"/>
  <c r="D31" i="5"/>
  <c r="H31" i="5" s="1"/>
  <c r="I31" i="5"/>
  <c r="J30" i="5" s="1"/>
  <c r="B33" i="5"/>
  <c r="C32" i="5"/>
  <c r="F924" i="4"/>
  <c r="D924" i="4"/>
  <c r="H924" i="4" s="1"/>
  <c r="I924" i="4"/>
  <c r="J923" i="4" s="1"/>
  <c r="B926" i="4"/>
  <c r="C925" i="4"/>
  <c r="F886" i="4"/>
  <c r="D886" i="4"/>
  <c r="H886" i="4" s="1"/>
  <c r="I886" i="4"/>
  <c r="J885" i="4" s="1"/>
  <c r="B888" i="4"/>
  <c r="C887" i="4"/>
  <c r="F847" i="4"/>
  <c r="D847" i="4"/>
  <c r="H847" i="4" s="1"/>
  <c r="I847" i="4"/>
  <c r="J846" i="4" s="1"/>
  <c r="B849" i="4"/>
  <c r="C848" i="4"/>
  <c r="F807" i="4"/>
  <c r="D807" i="4"/>
  <c r="H807" i="4" s="1"/>
  <c r="I807" i="4"/>
  <c r="J806" i="4" s="1"/>
  <c r="B809" i="4"/>
  <c r="C808" i="4"/>
  <c r="F766" i="4"/>
  <c r="D766" i="4"/>
  <c r="H766" i="4" s="1"/>
  <c r="I766" i="4"/>
  <c r="J765" i="4" s="1"/>
  <c r="B768" i="4"/>
  <c r="C767" i="4"/>
  <c r="F724" i="4"/>
  <c r="D724" i="4"/>
  <c r="H724" i="4" s="1"/>
  <c r="I724" i="4"/>
  <c r="J723" i="4" s="1"/>
  <c r="B726" i="4"/>
  <c r="C725" i="4"/>
  <c r="F681" i="4"/>
  <c r="D681" i="4"/>
  <c r="H681" i="4" s="1"/>
  <c r="I681" i="4"/>
  <c r="J680" i="4" s="1"/>
  <c r="B683" i="4"/>
  <c r="C682" i="4"/>
  <c r="F637" i="4"/>
  <c r="D637" i="4"/>
  <c r="H637" i="4" s="1"/>
  <c r="I637" i="4"/>
  <c r="J636" i="4" s="1"/>
  <c r="B639" i="4"/>
  <c r="C638" i="4"/>
  <c r="F592" i="4"/>
  <c r="D592" i="4"/>
  <c r="H592" i="4" s="1"/>
  <c r="I592" i="4"/>
  <c r="J591" i="4" s="1"/>
  <c r="B594" i="4"/>
  <c r="C593" i="4"/>
  <c r="I546" i="4"/>
  <c r="J545" i="4" s="1"/>
  <c r="H546" i="4"/>
  <c r="C548" i="4"/>
  <c r="F547" i="4"/>
  <c r="D547" i="4"/>
  <c r="B548" i="4"/>
  <c r="I547" i="4"/>
  <c r="J546" i="4" s="1"/>
  <c r="H547" i="4"/>
  <c r="F499" i="4"/>
  <c r="D499" i="4"/>
  <c r="H499" i="4" s="1"/>
  <c r="I499" i="4"/>
  <c r="J498" i="4" s="1"/>
  <c r="B501" i="4"/>
  <c r="C500" i="4"/>
  <c r="F451" i="4"/>
  <c r="D451" i="4"/>
  <c r="H451" i="4" s="1"/>
  <c r="I451" i="4"/>
  <c r="J450" i="4" s="1"/>
  <c r="B453" i="4"/>
  <c r="C452" i="4"/>
  <c r="F402" i="4"/>
  <c r="D402" i="4"/>
  <c r="H402" i="4" s="1"/>
  <c r="I402" i="4"/>
  <c r="J401" i="4" s="1"/>
  <c r="B404" i="4"/>
  <c r="C403" i="4"/>
  <c r="F352" i="4"/>
  <c r="D352" i="4"/>
  <c r="H352" i="4" s="1"/>
  <c r="I352" i="4"/>
  <c r="J351" i="4" s="1"/>
  <c r="B354" i="4"/>
  <c r="C353" i="4"/>
  <c r="F301" i="4"/>
  <c r="D301" i="4"/>
  <c r="H301" i="4" s="1"/>
  <c r="I301" i="4"/>
  <c r="J300" i="4" s="1"/>
  <c r="B303" i="4"/>
  <c r="C302" i="4"/>
  <c r="F249" i="4"/>
  <c r="D249" i="4"/>
  <c r="H249" i="4" s="1"/>
  <c r="I249" i="4"/>
  <c r="J248" i="4" s="1"/>
  <c r="B251" i="4"/>
  <c r="C250" i="4"/>
  <c r="F196" i="4"/>
  <c r="D196" i="4"/>
  <c r="H196" i="4" s="1"/>
  <c r="I196" i="4"/>
  <c r="J195" i="4" s="1"/>
  <c r="B198" i="4"/>
  <c r="C197" i="4"/>
  <c r="F142" i="4"/>
  <c r="D142" i="4"/>
  <c r="H142" i="4" s="1"/>
  <c r="I142" i="4"/>
  <c r="J141" i="4" s="1"/>
  <c r="B144" i="4"/>
  <c r="C143" i="4"/>
  <c r="I87" i="4"/>
  <c r="J86" i="4" s="1"/>
  <c r="H87" i="4"/>
  <c r="C89" i="4"/>
  <c r="F88" i="4"/>
  <c r="D88" i="4"/>
  <c r="B89" i="4"/>
  <c r="I88" i="4"/>
  <c r="J87" i="4" s="1"/>
  <c r="H88" i="4"/>
  <c r="I31" i="4"/>
  <c r="J30" i="4" s="1"/>
  <c r="H31" i="4"/>
  <c r="C33" i="4"/>
  <c r="F32" i="4"/>
  <c r="D32" i="4"/>
  <c r="B33" i="4"/>
  <c r="I32" i="4"/>
  <c r="J31" i="4" s="1"/>
  <c r="H32" i="4"/>
  <c r="I934" i="3"/>
  <c r="J933" i="3" s="1"/>
  <c r="H934" i="3"/>
  <c r="C936" i="3"/>
  <c r="F935" i="3"/>
  <c r="D935" i="3"/>
  <c r="B936" i="3"/>
  <c r="I935" i="3"/>
  <c r="J934" i="3" s="1"/>
  <c r="H935" i="3"/>
  <c r="I876" i="3"/>
  <c r="J875" i="3" s="1"/>
  <c r="H876" i="3"/>
  <c r="C878" i="3"/>
  <c r="F877" i="3"/>
  <c r="D877" i="3"/>
  <c r="B878" i="3"/>
  <c r="I877" i="3"/>
  <c r="J876" i="3" s="1"/>
  <c r="H877" i="3"/>
  <c r="I817" i="3"/>
  <c r="J816" i="3" s="1"/>
  <c r="H817" i="3"/>
  <c r="C819" i="3"/>
  <c r="F818" i="3"/>
  <c r="D818" i="3"/>
  <c r="B819" i="3"/>
  <c r="I818" i="3"/>
  <c r="J817" i="3" s="1"/>
  <c r="H818" i="3"/>
  <c r="I757" i="3"/>
  <c r="J756" i="3" s="1"/>
  <c r="H757" i="3"/>
  <c r="C759" i="3"/>
  <c r="F758" i="3"/>
  <c r="D758" i="3"/>
  <c r="B759" i="3"/>
  <c r="I758" i="3"/>
  <c r="J757" i="3" s="1"/>
  <c r="H758" i="3"/>
  <c r="I696" i="3"/>
  <c r="J695" i="3" s="1"/>
  <c r="H696" i="3"/>
  <c r="C698" i="3"/>
  <c r="F697" i="3"/>
  <c r="D697" i="3"/>
  <c r="B698" i="3"/>
  <c r="I697" i="3"/>
  <c r="J696" i="3" s="1"/>
  <c r="H697" i="3"/>
  <c r="I634" i="3"/>
  <c r="J633" i="3" s="1"/>
  <c r="H634" i="3"/>
  <c r="C636" i="3"/>
  <c r="F635" i="3"/>
  <c r="D635" i="3"/>
  <c r="B636" i="3"/>
  <c r="I635" i="3"/>
  <c r="J634" i="3" s="1"/>
  <c r="H635" i="3"/>
  <c r="I571" i="3"/>
  <c r="J570" i="3" s="1"/>
  <c r="H571" i="3"/>
  <c r="C573" i="3"/>
  <c r="F572" i="3"/>
  <c r="D572" i="3"/>
  <c r="B573" i="3"/>
  <c r="I572" i="3"/>
  <c r="J571" i="3" s="1"/>
  <c r="H572" i="3"/>
  <c r="I507" i="3"/>
  <c r="J506" i="3" s="1"/>
  <c r="H507" i="3"/>
  <c r="C509" i="3"/>
  <c r="F508" i="3"/>
  <c r="D508" i="3"/>
  <c r="B509" i="3"/>
  <c r="I508" i="3"/>
  <c r="J507" i="3" s="1"/>
  <c r="H508" i="3"/>
  <c r="I442" i="3"/>
  <c r="J441" i="3" s="1"/>
  <c r="H442" i="3"/>
  <c r="C444" i="3"/>
  <c r="F443" i="3"/>
  <c r="D443" i="3"/>
  <c r="B444" i="3"/>
  <c r="I443" i="3"/>
  <c r="J442" i="3" s="1"/>
  <c r="H443" i="3"/>
  <c r="I376" i="3"/>
  <c r="J375" i="3" s="1"/>
  <c r="H376" i="3"/>
  <c r="C378" i="3"/>
  <c r="F377" i="3"/>
  <c r="D377" i="3"/>
  <c r="B378" i="3"/>
  <c r="I377" i="3"/>
  <c r="J376" i="3" s="1"/>
  <c r="H377" i="3"/>
  <c r="I309" i="3"/>
  <c r="J308" i="3" s="1"/>
  <c r="H309" i="3"/>
  <c r="C311" i="3"/>
  <c r="F310" i="3"/>
  <c r="D310" i="3"/>
  <c r="B311" i="3"/>
  <c r="I310" i="3"/>
  <c r="J309" i="3" s="1"/>
  <c r="H310" i="3"/>
  <c r="I241" i="3"/>
  <c r="J240" i="3" s="1"/>
  <c r="H241" i="3"/>
  <c r="C243" i="3"/>
  <c r="F242" i="3"/>
  <c r="D242" i="3"/>
  <c r="B243" i="3"/>
  <c r="I242" i="3"/>
  <c r="J241" i="3" s="1"/>
  <c r="H242" i="3"/>
  <c r="I172" i="3"/>
  <c r="J171" i="3" s="1"/>
  <c r="H172" i="3"/>
  <c r="C174" i="3"/>
  <c r="F173" i="3"/>
  <c r="D173" i="3"/>
  <c r="B174" i="3"/>
  <c r="I173" i="3"/>
  <c r="J172" i="3" s="1"/>
  <c r="H173" i="3"/>
  <c r="I102" i="3"/>
  <c r="J101" i="3" s="1"/>
  <c r="H102" i="3"/>
  <c r="C104" i="3"/>
  <c r="F103" i="3"/>
  <c r="D103" i="3"/>
  <c r="B104" i="3"/>
  <c r="I103" i="3"/>
  <c r="J102" i="3" s="1"/>
  <c r="H103" i="3"/>
  <c r="I31" i="3"/>
  <c r="J30" i="3" s="1"/>
  <c r="H31" i="3"/>
  <c r="C33" i="3"/>
  <c r="F32" i="3"/>
  <c r="D32" i="3"/>
  <c r="B33" i="3"/>
  <c r="I32" i="3"/>
  <c r="J31" i="3" s="1"/>
  <c r="H32" i="3"/>
  <c r="I806" i="2"/>
  <c r="J805" i="2" s="1"/>
  <c r="H806" i="2"/>
  <c r="C808" i="2"/>
  <c r="F807" i="2"/>
  <c r="D807" i="2"/>
  <c r="B808" i="2"/>
  <c r="I807" i="2"/>
  <c r="J806" i="2" s="1"/>
  <c r="H807" i="2"/>
  <c r="I733" i="2"/>
  <c r="J732" i="2" s="1"/>
  <c r="H733" i="2"/>
  <c r="C735" i="2"/>
  <c r="F734" i="2"/>
  <c r="B735" i="2"/>
  <c r="I734" i="2"/>
  <c r="J733" i="2" s="1"/>
  <c r="H734" i="2"/>
  <c r="I659" i="2"/>
  <c r="J658" i="2" s="1"/>
  <c r="H659" i="2"/>
  <c r="C661" i="2"/>
  <c r="F660" i="2"/>
  <c r="B661" i="2"/>
  <c r="I660" i="2"/>
  <c r="J659" i="2" s="1"/>
  <c r="H660" i="2"/>
  <c r="I584" i="2"/>
  <c r="J583" i="2" s="1"/>
  <c r="H584" i="2"/>
  <c r="C586" i="2"/>
  <c r="F585" i="2"/>
  <c r="B586" i="2"/>
  <c r="I585" i="2"/>
  <c r="J584" i="2" s="1"/>
  <c r="H585" i="2"/>
  <c r="I508" i="2"/>
  <c r="J507" i="2" s="1"/>
  <c r="H508" i="2"/>
  <c r="C510" i="2"/>
  <c r="F509" i="2"/>
  <c r="D509" i="2"/>
  <c r="B510" i="2"/>
  <c r="I509" i="2"/>
  <c r="J508" i="2" s="1"/>
  <c r="H509" i="2"/>
  <c r="I431" i="2"/>
  <c r="J430" i="2" s="1"/>
  <c r="H431" i="2"/>
  <c r="C433" i="2"/>
  <c r="F432" i="2"/>
  <c r="D432" i="2"/>
  <c r="B433" i="2"/>
  <c r="I432" i="2"/>
  <c r="J431" i="2" s="1"/>
  <c r="H432" i="2"/>
  <c r="I353" i="2"/>
  <c r="J352" i="2" s="1"/>
  <c r="H353" i="2"/>
  <c r="C355" i="2"/>
  <c r="F354" i="2"/>
  <c r="D354" i="2"/>
  <c r="B355" i="2"/>
  <c r="I354" i="2"/>
  <c r="J353" i="2" s="1"/>
  <c r="H354" i="2"/>
  <c r="I274" i="2"/>
  <c r="J273" i="2" s="1"/>
  <c r="H274" i="2"/>
  <c r="C276" i="2"/>
  <c r="F275" i="2"/>
  <c r="D275" i="2"/>
  <c r="B276" i="2"/>
  <c r="I275" i="2"/>
  <c r="J274" i="2" s="1"/>
  <c r="H275" i="2"/>
  <c r="I194" i="2"/>
  <c r="J193" i="2" s="1"/>
  <c r="H194" i="2"/>
  <c r="C196" i="2"/>
  <c r="F195" i="2"/>
  <c r="D195" i="2"/>
  <c r="B196" i="2"/>
  <c r="I195" i="2"/>
  <c r="J194" i="2" s="1"/>
  <c r="H195" i="2"/>
  <c r="I113" i="2"/>
  <c r="J112" i="2" s="1"/>
  <c r="H113" i="2"/>
  <c r="C115" i="2"/>
  <c r="F114" i="2"/>
  <c r="D114" i="2"/>
  <c r="B115" i="2"/>
  <c r="I114" i="2"/>
  <c r="J113" i="2" s="1"/>
  <c r="H114" i="2"/>
  <c r="I31" i="2"/>
  <c r="J30" i="2" s="1"/>
  <c r="H31" i="2"/>
  <c r="C33" i="2"/>
  <c r="F32" i="2"/>
  <c r="D32" i="2"/>
  <c r="B33" i="2"/>
  <c r="I32" i="2"/>
  <c r="J31" i="2" s="1"/>
  <c r="H32" i="2"/>
  <c r="B34" i="2" l="1"/>
  <c r="C34" i="2"/>
  <c r="F33" i="2"/>
  <c r="D33" i="2"/>
  <c r="B116" i="2"/>
  <c r="C116" i="2"/>
  <c r="F115" i="2"/>
  <c r="D115" i="2"/>
  <c r="B197" i="2"/>
  <c r="C197" i="2"/>
  <c r="F196" i="2"/>
  <c r="D196" i="2"/>
  <c r="B277" i="2"/>
  <c r="C277" i="2"/>
  <c r="F276" i="2"/>
  <c r="D276" i="2"/>
  <c r="B356" i="2"/>
  <c r="C356" i="2"/>
  <c r="F355" i="2"/>
  <c r="D355" i="2"/>
  <c r="B434" i="2"/>
  <c r="C434" i="2"/>
  <c r="F433" i="2"/>
  <c r="D433" i="2"/>
  <c r="B511" i="2"/>
  <c r="C511" i="2"/>
  <c r="F510" i="2"/>
  <c r="D510" i="2"/>
  <c r="B587" i="2"/>
  <c r="C587" i="2"/>
  <c r="F586" i="2"/>
  <c r="B662" i="2"/>
  <c r="C662" i="2"/>
  <c r="F661" i="2"/>
  <c r="B736" i="2"/>
  <c r="C736" i="2"/>
  <c r="F735" i="2"/>
  <c r="B809" i="2"/>
  <c r="C809" i="2"/>
  <c r="F808" i="2"/>
  <c r="D808" i="2"/>
  <c r="B34" i="3"/>
  <c r="C34" i="3"/>
  <c r="F33" i="3"/>
  <c r="D33" i="3"/>
  <c r="B105" i="3"/>
  <c r="C105" i="3"/>
  <c r="F104" i="3"/>
  <c r="D104" i="3"/>
  <c r="B175" i="3"/>
  <c r="C175" i="3"/>
  <c r="F174" i="3"/>
  <c r="D174" i="3"/>
  <c r="B244" i="3"/>
  <c r="C244" i="3"/>
  <c r="F243" i="3"/>
  <c r="D243" i="3"/>
  <c r="B312" i="3"/>
  <c r="C312" i="3"/>
  <c r="F311" i="3"/>
  <c r="D311" i="3"/>
  <c r="B379" i="3"/>
  <c r="C379" i="3"/>
  <c r="F378" i="3"/>
  <c r="D378" i="3"/>
  <c r="B445" i="3"/>
  <c r="C445" i="3"/>
  <c r="F444" i="3"/>
  <c r="D444" i="3"/>
  <c r="B510" i="3"/>
  <c r="C510" i="3"/>
  <c r="F509" i="3"/>
  <c r="D509" i="3"/>
  <c r="B574" i="3"/>
  <c r="C574" i="3"/>
  <c r="F573" i="3"/>
  <c r="D573" i="3"/>
  <c r="B637" i="3"/>
  <c r="C637" i="3"/>
  <c r="F636" i="3"/>
  <c r="D636" i="3"/>
  <c r="B699" i="3"/>
  <c r="C699" i="3"/>
  <c r="F698" i="3"/>
  <c r="D698" i="3"/>
  <c r="B760" i="3"/>
  <c r="C760" i="3"/>
  <c r="F759" i="3"/>
  <c r="D759" i="3"/>
  <c r="B820" i="3"/>
  <c r="C820" i="3"/>
  <c r="F819" i="3"/>
  <c r="D819" i="3"/>
  <c r="B879" i="3"/>
  <c r="C879" i="3"/>
  <c r="F878" i="3"/>
  <c r="D878" i="3"/>
  <c r="B937" i="3"/>
  <c r="C937" i="3"/>
  <c r="F936" i="3"/>
  <c r="D936" i="3"/>
  <c r="B34" i="4"/>
  <c r="C34" i="4"/>
  <c r="F33" i="4"/>
  <c r="D33" i="4"/>
  <c r="B90" i="4"/>
  <c r="C90" i="4"/>
  <c r="F89" i="4"/>
  <c r="D89" i="4"/>
  <c r="F143" i="4"/>
  <c r="D143" i="4"/>
  <c r="H143" i="4" s="1"/>
  <c r="I143" i="4"/>
  <c r="J142" i="4" s="1"/>
  <c r="B145" i="4"/>
  <c r="C144" i="4"/>
  <c r="F197" i="4"/>
  <c r="D197" i="4"/>
  <c r="H197" i="4" s="1"/>
  <c r="I197" i="4"/>
  <c r="J196" i="4" s="1"/>
  <c r="B199" i="4"/>
  <c r="C198" i="4"/>
  <c r="F250" i="4"/>
  <c r="D250" i="4"/>
  <c r="H250" i="4" s="1"/>
  <c r="I250" i="4"/>
  <c r="J249" i="4" s="1"/>
  <c r="B252" i="4"/>
  <c r="C251" i="4"/>
  <c r="F302" i="4"/>
  <c r="D302" i="4"/>
  <c r="H302" i="4" s="1"/>
  <c r="I302" i="4"/>
  <c r="J301" i="4" s="1"/>
  <c r="B304" i="4"/>
  <c r="C303" i="4"/>
  <c r="F353" i="4"/>
  <c r="D353" i="4"/>
  <c r="H353" i="4" s="1"/>
  <c r="I353" i="4"/>
  <c r="J352" i="4" s="1"/>
  <c r="B355" i="4"/>
  <c r="C354" i="4"/>
  <c r="F403" i="4"/>
  <c r="D403" i="4"/>
  <c r="H403" i="4" s="1"/>
  <c r="I403" i="4"/>
  <c r="J402" i="4" s="1"/>
  <c r="B405" i="4"/>
  <c r="C404" i="4"/>
  <c r="F452" i="4"/>
  <c r="D452" i="4"/>
  <c r="H452" i="4" s="1"/>
  <c r="I452" i="4"/>
  <c r="J451" i="4" s="1"/>
  <c r="B454" i="4"/>
  <c r="C453" i="4"/>
  <c r="F500" i="4"/>
  <c r="D500" i="4"/>
  <c r="H500" i="4" s="1"/>
  <c r="I500" i="4"/>
  <c r="J499" i="4" s="1"/>
  <c r="B502" i="4"/>
  <c r="C501" i="4"/>
  <c r="B549" i="4"/>
  <c r="C549" i="4"/>
  <c r="F548" i="4"/>
  <c r="D548" i="4"/>
  <c r="F593" i="4"/>
  <c r="D593" i="4"/>
  <c r="H593" i="4" s="1"/>
  <c r="I593" i="4"/>
  <c r="J592" i="4" s="1"/>
  <c r="B595" i="4"/>
  <c r="C594" i="4"/>
  <c r="F638" i="4"/>
  <c r="D638" i="4"/>
  <c r="H638" i="4" s="1"/>
  <c r="I638" i="4"/>
  <c r="J637" i="4" s="1"/>
  <c r="B640" i="4"/>
  <c r="C639" i="4"/>
  <c r="F682" i="4"/>
  <c r="D682" i="4"/>
  <c r="H682" i="4" s="1"/>
  <c r="I682" i="4"/>
  <c r="J681" i="4" s="1"/>
  <c r="B684" i="4"/>
  <c r="C683" i="4"/>
  <c r="F725" i="4"/>
  <c r="D725" i="4"/>
  <c r="H725" i="4" s="1"/>
  <c r="I725" i="4"/>
  <c r="J724" i="4" s="1"/>
  <c r="B727" i="4"/>
  <c r="C726" i="4"/>
  <c r="F767" i="4"/>
  <c r="D767" i="4"/>
  <c r="H767" i="4" s="1"/>
  <c r="I767" i="4"/>
  <c r="J766" i="4" s="1"/>
  <c r="B769" i="4"/>
  <c r="C768" i="4"/>
  <c r="F808" i="4"/>
  <c r="D808" i="4"/>
  <c r="H808" i="4" s="1"/>
  <c r="I808" i="4"/>
  <c r="J807" i="4" s="1"/>
  <c r="B810" i="4"/>
  <c r="C809" i="4"/>
  <c r="F848" i="4"/>
  <c r="D848" i="4"/>
  <c r="H848" i="4" s="1"/>
  <c r="I848" i="4"/>
  <c r="J847" i="4" s="1"/>
  <c r="B850" i="4"/>
  <c r="C849" i="4"/>
  <c r="F887" i="4"/>
  <c r="D887" i="4"/>
  <c r="H887" i="4" s="1"/>
  <c r="I887" i="4"/>
  <c r="J886" i="4" s="1"/>
  <c r="B889" i="4"/>
  <c r="C888" i="4"/>
  <c r="F925" i="4"/>
  <c r="D925" i="4"/>
  <c r="H925" i="4" s="1"/>
  <c r="I925" i="4"/>
  <c r="J924" i="4" s="1"/>
  <c r="B927" i="4"/>
  <c r="C926" i="4"/>
  <c r="F32" i="5"/>
  <c r="D32" i="5"/>
  <c r="H32" i="5" s="1"/>
  <c r="I32" i="5"/>
  <c r="J31" i="5" s="1"/>
  <c r="B34" i="5"/>
  <c r="C33" i="5"/>
  <c r="F68" i="5"/>
  <c r="D68" i="5"/>
  <c r="H68" i="5" s="1"/>
  <c r="I68" i="5"/>
  <c r="J67" i="5" s="1"/>
  <c r="B70" i="5"/>
  <c r="C69" i="5"/>
  <c r="F103" i="5"/>
  <c r="D103" i="5"/>
  <c r="H103" i="5" s="1"/>
  <c r="I103" i="5"/>
  <c r="J102" i="5" s="1"/>
  <c r="B105" i="5"/>
  <c r="C104" i="5"/>
  <c r="F137" i="5"/>
  <c r="D137" i="5"/>
  <c r="H137" i="5" s="1"/>
  <c r="I137" i="5"/>
  <c r="J136" i="5" s="1"/>
  <c r="B139" i="5"/>
  <c r="C138" i="5"/>
  <c r="F170" i="5"/>
  <c r="D170" i="5"/>
  <c r="H170" i="5" s="1"/>
  <c r="I170" i="5"/>
  <c r="J169" i="5" s="1"/>
  <c r="B172" i="5"/>
  <c r="C171" i="5"/>
  <c r="F202" i="5"/>
  <c r="D202" i="5"/>
  <c r="H202" i="5" s="1"/>
  <c r="I202" i="5"/>
  <c r="J201" i="5" s="1"/>
  <c r="B204" i="5"/>
  <c r="C203" i="5"/>
  <c r="F233" i="5"/>
  <c r="D233" i="5"/>
  <c r="H233" i="5" s="1"/>
  <c r="I233" i="5"/>
  <c r="J232" i="5" s="1"/>
  <c r="B235" i="5"/>
  <c r="C234" i="5"/>
  <c r="F263" i="5"/>
  <c r="D263" i="5"/>
  <c r="H263" i="5" s="1"/>
  <c r="I263" i="5"/>
  <c r="J262" i="5" s="1"/>
  <c r="B265" i="5"/>
  <c r="C264" i="5"/>
  <c r="F292" i="5"/>
  <c r="D292" i="5"/>
  <c r="H292" i="5" s="1"/>
  <c r="I292" i="5"/>
  <c r="J291" i="5" s="1"/>
  <c r="B294" i="5"/>
  <c r="C293" i="5"/>
  <c r="F320" i="5"/>
  <c r="D320" i="5"/>
  <c r="H320" i="5" s="1"/>
  <c r="I320" i="5"/>
  <c r="J319" i="5" s="1"/>
  <c r="B322" i="5"/>
  <c r="C321" i="5"/>
  <c r="F347" i="5"/>
  <c r="D347" i="5"/>
  <c r="H347" i="5" s="1"/>
  <c r="I347" i="5"/>
  <c r="J346" i="5" s="1"/>
  <c r="B349" i="5"/>
  <c r="C348" i="5"/>
  <c r="F373" i="5"/>
  <c r="D373" i="5"/>
  <c r="H373" i="5" s="1"/>
  <c r="I373" i="5"/>
  <c r="J372" i="5" s="1"/>
  <c r="B375" i="5"/>
  <c r="C374" i="5"/>
  <c r="F398" i="5"/>
  <c r="D398" i="5"/>
  <c r="H398" i="5" s="1"/>
  <c r="I398" i="5"/>
  <c r="J397" i="5" s="1"/>
  <c r="C399" i="5"/>
  <c r="F422" i="5"/>
  <c r="D422" i="5"/>
  <c r="H422" i="5" s="1"/>
  <c r="I422" i="5"/>
  <c r="J421" i="5" s="1"/>
  <c r="F399" i="5" l="1"/>
  <c r="D399" i="5"/>
  <c r="H399" i="5" s="1"/>
  <c r="I399" i="5"/>
  <c r="J398" i="5" s="1"/>
  <c r="F374" i="5"/>
  <c r="D374" i="5"/>
  <c r="H374" i="5" s="1"/>
  <c r="I374" i="5"/>
  <c r="J373" i="5" s="1"/>
  <c r="C375" i="5"/>
  <c r="F348" i="5"/>
  <c r="D348" i="5"/>
  <c r="H348" i="5" s="1"/>
  <c r="I348" i="5"/>
  <c r="J347" i="5" s="1"/>
  <c r="B350" i="5"/>
  <c r="C349" i="5"/>
  <c r="F321" i="5"/>
  <c r="D321" i="5"/>
  <c r="H321" i="5" s="1"/>
  <c r="I321" i="5"/>
  <c r="J320" i="5" s="1"/>
  <c r="B323" i="5"/>
  <c r="C322" i="5"/>
  <c r="F293" i="5"/>
  <c r="D293" i="5"/>
  <c r="H293" i="5" s="1"/>
  <c r="I293" i="5"/>
  <c r="J292" i="5" s="1"/>
  <c r="B295" i="5"/>
  <c r="C294" i="5"/>
  <c r="F264" i="5"/>
  <c r="D264" i="5"/>
  <c r="H264" i="5" s="1"/>
  <c r="I264" i="5"/>
  <c r="J263" i="5" s="1"/>
  <c r="B266" i="5"/>
  <c r="C265" i="5"/>
  <c r="F234" i="5"/>
  <c r="D234" i="5"/>
  <c r="H234" i="5" s="1"/>
  <c r="I234" i="5"/>
  <c r="J233" i="5" s="1"/>
  <c r="B236" i="5"/>
  <c r="C235" i="5"/>
  <c r="F203" i="5"/>
  <c r="D203" i="5"/>
  <c r="H203" i="5" s="1"/>
  <c r="I203" i="5"/>
  <c r="J202" i="5" s="1"/>
  <c r="B205" i="5"/>
  <c r="C204" i="5"/>
  <c r="F171" i="5"/>
  <c r="D171" i="5"/>
  <c r="H171" i="5" s="1"/>
  <c r="I171" i="5"/>
  <c r="J170" i="5" s="1"/>
  <c r="B173" i="5"/>
  <c r="C172" i="5"/>
  <c r="F138" i="5"/>
  <c r="D138" i="5"/>
  <c r="H138" i="5" s="1"/>
  <c r="I138" i="5"/>
  <c r="J137" i="5" s="1"/>
  <c r="B140" i="5"/>
  <c r="C139" i="5"/>
  <c r="F104" i="5"/>
  <c r="D104" i="5"/>
  <c r="H104" i="5" s="1"/>
  <c r="I104" i="5"/>
  <c r="J103" i="5" s="1"/>
  <c r="B106" i="5"/>
  <c r="C105" i="5"/>
  <c r="F69" i="5"/>
  <c r="D69" i="5"/>
  <c r="H69" i="5" s="1"/>
  <c r="I69" i="5"/>
  <c r="J68" i="5" s="1"/>
  <c r="B71" i="5"/>
  <c r="C70" i="5"/>
  <c r="F33" i="5"/>
  <c r="D33" i="5"/>
  <c r="H33" i="5" s="1"/>
  <c r="I33" i="5"/>
  <c r="J32" i="5" s="1"/>
  <c r="B35" i="5"/>
  <c r="C34" i="5"/>
  <c r="F926" i="4"/>
  <c r="D926" i="4"/>
  <c r="H926" i="4" s="1"/>
  <c r="I926" i="4"/>
  <c r="J925" i="4" s="1"/>
  <c r="B928" i="4"/>
  <c r="C927" i="4"/>
  <c r="F888" i="4"/>
  <c r="D888" i="4"/>
  <c r="H888" i="4" s="1"/>
  <c r="I888" i="4"/>
  <c r="J887" i="4" s="1"/>
  <c r="B890" i="4"/>
  <c r="C889" i="4"/>
  <c r="F849" i="4"/>
  <c r="D849" i="4"/>
  <c r="H849" i="4" s="1"/>
  <c r="I849" i="4"/>
  <c r="J848" i="4" s="1"/>
  <c r="B851" i="4"/>
  <c r="C850" i="4"/>
  <c r="F809" i="4"/>
  <c r="D809" i="4"/>
  <c r="H809" i="4" s="1"/>
  <c r="I809" i="4"/>
  <c r="J808" i="4" s="1"/>
  <c r="B811" i="4"/>
  <c r="C810" i="4"/>
  <c r="F768" i="4"/>
  <c r="D768" i="4"/>
  <c r="H768" i="4" s="1"/>
  <c r="I768" i="4"/>
  <c r="J767" i="4" s="1"/>
  <c r="B770" i="4"/>
  <c r="C769" i="4"/>
  <c r="F726" i="4"/>
  <c r="D726" i="4"/>
  <c r="H726" i="4" s="1"/>
  <c r="I726" i="4"/>
  <c r="J725" i="4" s="1"/>
  <c r="B728" i="4"/>
  <c r="C727" i="4"/>
  <c r="F683" i="4"/>
  <c r="D683" i="4"/>
  <c r="H683" i="4" s="1"/>
  <c r="I683" i="4"/>
  <c r="J682" i="4" s="1"/>
  <c r="B685" i="4"/>
  <c r="C684" i="4"/>
  <c r="F639" i="4"/>
  <c r="D639" i="4"/>
  <c r="H639" i="4" s="1"/>
  <c r="I639" i="4"/>
  <c r="J638" i="4" s="1"/>
  <c r="B641" i="4"/>
  <c r="C640" i="4"/>
  <c r="F594" i="4"/>
  <c r="D594" i="4"/>
  <c r="H594" i="4" s="1"/>
  <c r="I594" i="4"/>
  <c r="J593" i="4" s="1"/>
  <c r="B596" i="4"/>
  <c r="C595" i="4"/>
  <c r="I548" i="4"/>
  <c r="J547" i="4" s="1"/>
  <c r="H548" i="4"/>
  <c r="C550" i="4"/>
  <c r="F549" i="4"/>
  <c r="D549" i="4"/>
  <c r="B550" i="4"/>
  <c r="I549" i="4"/>
  <c r="J548" i="4" s="1"/>
  <c r="H549" i="4"/>
  <c r="F501" i="4"/>
  <c r="D501" i="4"/>
  <c r="H501" i="4" s="1"/>
  <c r="I501" i="4"/>
  <c r="J500" i="4" s="1"/>
  <c r="B503" i="4"/>
  <c r="C502" i="4"/>
  <c r="F453" i="4"/>
  <c r="D453" i="4"/>
  <c r="H453" i="4" s="1"/>
  <c r="I453" i="4"/>
  <c r="J452" i="4" s="1"/>
  <c r="B455" i="4"/>
  <c r="C454" i="4"/>
  <c r="F404" i="4"/>
  <c r="D404" i="4"/>
  <c r="H404" i="4" s="1"/>
  <c r="I404" i="4"/>
  <c r="J403" i="4" s="1"/>
  <c r="B406" i="4"/>
  <c r="C405" i="4"/>
  <c r="F354" i="4"/>
  <c r="D354" i="4"/>
  <c r="H354" i="4" s="1"/>
  <c r="I354" i="4"/>
  <c r="J353" i="4" s="1"/>
  <c r="B356" i="4"/>
  <c r="C355" i="4"/>
  <c r="F303" i="4"/>
  <c r="D303" i="4"/>
  <c r="H303" i="4" s="1"/>
  <c r="I303" i="4"/>
  <c r="J302" i="4" s="1"/>
  <c r="B305" i="4"/>
  <c r="C304" i="4"/>
  <c r="F251" i="4"/>
  <c r="D251" i="4"/>
  <c r="H251" i="4" s="1"/>
  <c r="I251" i="4"/>
  <c r="J250" i="4" s="1"/>
  <c r="B253" i="4"/>
  <c r="C252" i="4"/>
  <c r="F198" i="4"/>
  <c r="D198" i="4"/>
  <c r="H198" i="4" s="1"/>
  <c r="I198" i="4"/>
  <c r="J197" i="4" s="1"/>
  <c r="B200" i="4"/>
  <c r="C199" i="4"/>
  <c r="F144" i="4"/>
  <c r="D144" i="4"/>
  <c r="H144" i="4" s="1"/>
  <c r="I144" i="4"/>
  <c r="J143" i="4" s="1"/>
  <c r="B146" i="4"/>
  <c r="C145" i="4"/>
  <c r="I89" i="4"/>
  <c r="J88" i="4" s="1"/>
  <c r="H89" i="4"/>
  <c r="C91" i="4"/>
  <c r="F90" i="4"/>
  <c r="D90" i="4"/>
  <c r="B91" i="4"/>
  <c r="I90" i="4"/>
  <c r="J89" i="4" s="1"/>
  <c r="H90" i="4"/>
  <c r="I33" i="4"/>
  <c r="J32" i="4" s="1"/>
  <c r="H33" i="4"/>
  <c r="C35" i="4"/>
  <c r="F34" i="4"/>
  <c r="D34" i="4"/>
  <c r="B35" i="4"/>
  <c r="I34" i="4"/>
  <c r="J33" i="4" s="1"/>
  <c r="H34" i="4"/>
  <c r="I936" i="3"/>
  <c r="J935" i="3" s="1"/>
  <c r="H936" i="3"/>
  <c r="C938" i="3"/>
  <c r="F937" i="3"/>
  <c r="D937" i="3"/>
  <c r="B938" i="3"/>
  <c r="I937" i="3"/>
  <c r="J936" i="3" s="1"/>
  <c r="H937" i="3"/>
  <c r="I878" i="3"/>
  <c r="J877" i="3" s="1"/>
  <c r="H878" i="3"/>
  <c r="C880" i="3"/>
  <c r="F879" i="3"/>
  <c r="D879" i="3"/>
  <c r="B880" i="3"/>
  <c r="I879" i="3"/>
  <c r="J878" i="3" s="1"/>
  <c r="H879" i="3"/>
  <c r="I819" i="3"/>
  <c r="J818" i="3" s="1"/>
  <c r="H819" i="3"/>
  <c r="C821" i="3"/>
  <c r="F820" i="3"/>
  <c r="D820" i="3"/>
  <c r="B821" i="3"/>
  <c r="I820" i="3"/>
  <c r="J819" i="3" s="1"/>
  <c r="H820" i="3"/>
  <c r="I759" i="3"/>
  <c r="J758" i="3" s="1"/>
  <c r="H759" i="3"/>
  <c r="C761" i="3"/>
  <c r="F760" i="3"/>
  <c r="D760" i="3"/>
  <c r="B761" i="3"/>
  <c r="I760" i="3"/>
  <c r="J759" i="3" s="1"/>
  <c r="H760" i="3"/>
  <c r="I698" i="3"/>
  <c r="J697" i="3" s="1"/>
  <c r="H698" i="3"/>
  <c r="C700" i="3"/>
  <c r="F699" i="3"/>
  <c r="D699" i="3"/>
  <c r="B700" i="3"/>
  <c r="I699" i="3"/>
  <c r="J698" i="3" s="1"/>
  <c r="H699" i="3"/>
  <c r="I636" i="3"/>
  <c r="J635" i="3" s="1"/>
  <c r="H636" i="3"/>
  <c r="C638" i="3"/>
  <c r="F637" i="3"/>
  <c r="D637" i="3"/>
  <c r="B638" i="3"/>
  <c r="I637" i="3"/>
  <c r="J636" i="3" s="1"/>
  <c r="H637" i="3"/>
  <c r="I573" i="3"/>
  <c r="J572" i="3" s="1"/>
  <c r="H573" i="3"/>
  <c r="C575" i="3"/>
  <c r="F574" i="3"/>
  <c r="D574" i="3"/>
  <c r="B575" i="3"/>
  <c r="I574" i="3"/>
  <c r="J573" i="3" s="1"/>
  <c r="H574" i="3"/>
  <c r="I509" i="3"/>
  <c r="J508" i="3" s="1"/>
  <c r="H509" i="3"/>
  <c r="C511" i="3"/>
  <c r="F510" i="3"/>
  <c r="D510" i="3"/>
  <c r="B511" i="3"/>
  <c r="I510" i="3"/>
  <c r="J509" i="3" s="1"/>
  <c r="H510" i="3"/>
  <c r="I444" i="3"/>
  <c r="J443" i="3" s="1"/>
  <c r="H444" i="3"/>
  <c r="C446" i="3"/>
  <c r="F445" i="3"/>
  <c r="D445" i="3"/>
  <c r="B446" i="3"/>
  <c r="I445" i="3"/>
  <c r="J444" i="3" s="1"/>
  <c r="H445" i="3"/>
  <c r="I378" i="3"/>
  <c r="J377" i="3" s="1"/>
  <c r="H378" i="3"/>
  <c r="C380" i="3"/>
  <c r="F379" i="3"/>
  <c r="D379" i="3"/>
  <c r="B380" i="3"/>
  <c r="I379" i="3"/>
  <c r="J378" i="3" s="1"/>
  <c r="H379" i="3"/>
  <c r="I311" i="3"/>
  <c r="J310" i="3" s="1"/>
  <c r="H311" i="3"/>
  <c r="C313" i="3"/>
  <c r="F312" i="3"/>
  <c r="D312" i="3"/>
  <c r="B313" i="3"/>
  <c r="I312" i="3"/>
  <c r="J311" i="3" s="1"/>
  <c r="H312" i="3"/>
  <c r="I243" i="3"/>
  <c r="J242" i="3" s="1"/>
  <c r="H243" i="3"/>
  <c r="C245" i="3"/>
  <c r="F244" i="3"/>
  <c r="D244" i="3"/>
  <c r="B245" i="3"/>
  <c r="I244" i="3"/>
  <c r="J243" i="3" s="1"/>
  <c r="H244" i="3"/>
  <c r="I174" i="3"/>
  <c r="J173" i="3" s="1"/>
  <c r="H174" i="3"/>
  <c r="C176" i="3"/>
  <c r="F175" i="3"/>
  <c r="D175" i="3"/>
  <c r="B176" i="3"/>
  <c r="I175" i="3"/>
  <c r="J174" i="3" s="1"/>
  <c r="H175" i="3"/>
  <c r="I104" i="3"/>
  <c r="J103" i="3" s="1"/>
  <c r="H104" i="3"/>
  <c r="C106" i="3"/>
  <c r="F105" i="3"/>
  <c r="D105" i="3"/>
  <c r="B106" i="3"/>
  <c r="I105" i="3"/>
  <c r="J104" i="3" s="1"/>
  <c r="H105" i="3"/>
  <c r="I33" i="3"/>
  <c r="J32" i="3" s="1"/>
  <c r="H33" i="3"/>
  <c r="C35" i="3"/>
  <c r="F34" i="3"/>
  <c r="D34" i="3"/>
  <c r="B35" i="3"/>
  <c r="I34" i="3"/>
  <c r="J33" i="3" s="1"/>
  <c r="H34" i="3"/>
  <c r="I808" i="2"/>
  <c r="J807" i="2" s="1"/>
  <c r="H808" i="2"/>
  <c r="C810" i="2"/>
  <c r="F809" i="2"/>
  <c r="D809" i="2"/>
  <c r="B810" i="2"/>
  <c r="I809" i="2"/>
  <c r="J808" i="2" s="1"/>
  <c r="H809" i="2"/>
  <c r="I735" i="2"/>
  <c r="J734" i="2" s="1"/>
  <c r="H735" i="2"/>
  <c r="C737" i="2"/>
  <c r="F736" i="2"/>
  <c r="B737" i="2"/>
  <c r="I736" i="2"/>
  <c r="J735" i="2" s="1"/>
  <c r="H736" i="2"/>
  <c r="I661" i="2"/>
  <c r="J660" i="2" s="1"/>
  <c r="H661" i="2"/>
  <c r="C663" i="2"/>
  <c r="F662" i="2"/>
  <c r="B663" i="2"/>
  <c r="I662" i="2"/>
  <c r="J661" i="2" s="1"/>
  <c r="H662" i="2"/>
  <c r="I586" i="2"/>
  <c r="J585" i="2" s="1"/>
  <c r="H586" i="2"/>
  <c r="C588" i="2"/>
  <c r="F587" i="2"/>
  <c r="B588" i="2"/>
  <c r="I587" i="2"/>
  <c r="J586" i="2" s="1"/>
  <c r="H587" i="2"/>
  <c r="I510" i="2"/>
  <c r="J509" i="2" s="1"/>
  <c r="H510" i="2"/>
  <c r="C512" i="2"/>
  <c r="F511" i="2"/>
  <c r="D511" i="2"/>
  <c r="B512" i="2"/>
  <c r="I511" i="2"/>
  <c r="J510" i="2" s="1"/>
  <c r="H511" i="2"/>
  <c r="I433" i="2"/>
  <c r="J432" i="2" s="1"/>
  <c r="H433" i="2"/>
  <c r="C435" i="2"/>
  <c r="F434" i="2"/>
  <c r="D434" i="2"/>
  <c r="B435" i="2"/>
  <c r="I434" i="2"/>
  <c r="J433" i="2" s="1"/>
  <c r="H434" i="2"/>
  <c r="I355" i="2"/>
  <c r="J354" i="2" s="1"/>
  <c r="H355" i="2"/>
  <c r="C357" i="2"/>
  <c r="F356" i="2"/>
  <c r="D356" i="2"/>
  <c r="B357" i="2"/>
  <c r="I356" i="2"/>
  <c r="J355" i="2" s="1"/>
  <c r="H356" i="2"/>
  <c r="I276" i="2"/>
  <c r="J275" i="2" s="1"/>
  <c r="H276" i="2"/>
  <c r="C278" i="2"/>
  <c r="F277" i="2"/>
  <c r="D277" i="2"/>
  <c r="B278" i="2"/>
  <c r="I277" i="2"/>
  <c r="J276" i="2" s="1"/>
  <c r="H277" i="2"/>
  <c r="I196" i="2"/>
  <c r="J195" i="2" s="1"/>
  <c r="H196" i="2"/>
  <c r="C198" i="2"/>
  <c r="F197" i="2"/>
  <c r="D197" i="2"/>
  <c r="B198" i="2"/>
  <c r="I197" i="2"/>
  <c r="J196" i="2" s="1"/>
  <c r="H197" i="2"/>
  <c r="I115" i="2"/>
  <c r="J114" i="2" s="1"/>
  <c r="H115" i="2"/>
  <c r="C117" i="2"/>
  <c r="F116" i="2"/>
  <c r="D116" i="2"/>
  <c r="B117" i="2"/>
  <c r="I116" i="2"/>
  <c r="J115" i="2" s="1"/>
  <c r="H116" i="2"/>
  <c r="I33" i="2"/>
  <c r="J32" i="2" s="1"/>
  <c r="H33" i="2"/>
  <c r="C35" i="2"/>
  <c r="F34" i="2"/>
  <c r="D34" i="2"/>
  <c r="B35" i="2"/>
  <c r="I34" i="2"/>
  <c r="J33" i="2" s="1"/>
  <c r="H34" i="2"/>
  <c r="B36" i="2" l="1"/>
  <c r="C36" i="2"/>
  <c r="F35" i="2"/>
  <c r="D35" i="2"/>
  <c r="B118" i="2"/>
  <c r="C118" i="2"/>
  <c r="F117" i="2"/>
  <c r="D117" i="2"/>
  <c r="B199" i="2"/>
  <c r="C199" i="2"/>
  <c r="F198" i="2"/>
  <c r="D198" i="2"/>
  <c r="B279" i="2"/>
  <c r="C279" i="2"/>
  <c r="F278" i="2"/>
  <c r="D278" i="2"/>
  <c r="B358" i="2"/>
  <c r="C358" i="2"/>
  <c r="F357" i="2"/>
  <c r="D357" i="2"/>
  <c r="B436" i="2"/>
  <c r="C436" i="2"/>
  <c r="F435" i="2"/>
  <c r="D435" i="2"/>
  <c r="B513" i="2"/>
  <c r="C513" i="2"/>
  <c r="F512" i="2"/>
  <c r="D512" i="2"/>
  <c r="B589" i="2"/>
  <c r="C589" i="2"/>
  <c r="F588" i="2"/>
  <c r="B664" i="2"/>
  <c r="C664" i="2"/>
  <c r="F663" i="2"/>
  <c r="B738" i="2"/>
  <c r="C738" i="2"/>
  <c r="F737" i="2"/>
  <c r="B811" i="2"/>
  <c r="C811" i="2"/>
  <c r="F810" i="2"/>
  <c r="D810" i="2"/>
  <c r="B36" i="3"/>
  <c r="C36" i="3"/>
  <c r="F35" i="3"/>
  <c r="D35" i="3"/>
  <c r="B107" i="3"/>
  <c r="C107" i="3"/>
  <c r="F106" i="3"/>
  <c r="D106" i="3"/>
  <c r="B177" i="3"/>
  <c r="C177" i="3"/>
  <c r="F176" i="3"/>
  <c r="D176" i="3"/>
  <c r="B246" i="3"/>
  <c r="C246" i="3"/>
  <c r="F245" i="3"/>
  <c r="D245" i="3"/>
  <c r="B314" i="3"/>
  <c r="C314" i="3"/>
  <c r="F313" i="3"/>
  <c r="D313" i="3"/>
  <c r="B381" i="3"/>
  <c r="C381" i="3"/>
  <c r="F380" i="3"/>
  <c r="D380" i="3"/>
  <c r="B447" i="3"/>
  <c r="C447" i="3"/>
  <c r="F446" i="3"/>
  <c r="D446" i="3"/>
  <c r="B512" i="3"/>
  <c r="C512" i="3"/>
  <c r="F511" i="3"/>
  <c r="D511" i="3"/>
  <c r="B576" i="3"/>
  <c r="C576" i="3"/>
  <c r="F575" i="3"/>
  <c r="D575" i="3"/>
  <c r="B639" i="3"/>
  <c r="C639" i="3"/>
  <c r="F638" i="3"/>
  <c r="D638" i="3"/>
  <c r="B701" i="3"/>
  <c r="C701" i="3"/>
  <c r="F700" i="3"/>
  <c r="D700" i="3"/>
  <c r="B762" i="3"/>
  <c r="C762" i="3"/>
  <c r="F761" i="3"/>
  <c r="D761" i="3"/>
  <c r="B822" i="3"/>
  <c r="C822" i="3"/>
  <c r="F821" i="3"/>
  <c r="D821" i="3"/>
  <c r="B881" i="3"/>
  <c r="C881" i="3"/>
  <c r="F880" i="3"/>
  <c r="D880" i="3"/>
  <c r="B939" i="3"/>
  <c r="C939" i="3"/>
  <c r="F938" i="3"/>
  <c r="D938" i="3"/>
  <c r="B36" i="4"/>
  <c r="C36" i="4"/>
  <c r="F35" i="4"/>
  <c r="D35" i="4"/>
  <c r="B92" i="4"/>
  <c r="C92" i="4"/>
  <c r="F91" i="4"/>
  <c r="D91" i="4"/>
  <c r="F145" i="4"/>
  <c r="D145" i="4"/>
  <c r="H145" i="4" s="1"/>
  <c r="I145" i="4"/>
  <c r="J144" i="4" s="1"/>
  <c r="B147" i="4"/>
  <c r="C146" i="4"/>
  <c r="F199" i="4"/>
  <c r="D199" i="4"/>
  <c r="H199" i="4" s="1"/>
  <c r="I199" i="4"/>
  <c r="J198" i="4" s="1"/>
  <c r="B201" i="4"/>
  <c r="C200" i="4"/>
  <c r="F252" i="4"/>
  <c r="D252" i="4"/>
  <c r="H252" i="4" s="1"/>
  <c r="I252" i="4"/>
  <c r="J251" i="4" s="1"/>
  <c r="B254" i="4"/>
  <c r="C253" i="4"/>
  <c r="F304" i="4"/>
  <c r="D304" i="4"/>
  <c r="H304" i="4" s="1"/>
  <c r="I304" i="4"/>
  <c r="J303" i="4" s="1"/>
  <c r="B306" i="4"/>
  <c r="C305" i="4"/>
  <c r="F355" i="4"/>
  <c r="D355" i="4"/>
  <c r="H355" i="4" s="1"/>
  <c r="I355" i="4"/>
  <c r="J354" i="4" s="1"/>
  <c r="B357" i="4"/>
  <c r="C356" i="4"/>
  <c r="F405" i="4"/>
  <c r="D405" i="4"/>
  <c r="H405" i="4" s="1"/>
  <c r="I405" i="4"/>
  <c r="J404" i="4" s="1"/>
  <c r="B407" i="4"/>
  <c r="C406" i="4"/>
  <c r="F454" i="4"/>
  <c r="D454" i="4"/>
  <c r="H454" i="4" s="1"/>
  <c r="I454" i="4"/>
  <c r="J453" i="4" s="1"/>
  <c r="B456" i="4"/>
  <c r="C455" i="4"/>
  <c r="F502" i="4"/>
  <c r="D502" i="4"/>
  <c r="H502" i="4" s="1"/>
  <c r="I502" i="4"/>
  <c r="J501" i="4" s="1"/>
  <c r="B504" i="4"/>
  <c r="C503" i="4"/>
  <c r="B551" i="4"/>
  <c r="C551" i="4"/>
  <c r="F550" i="4"/>
  <c r="D550" i="4"/>
  <c r="F595" i="4"/>
  <c r="D595" i="4"/>
  <c r="H595" i="4" s="1"/>
  <c r="I595" i="4"/>
  <c r="J594" i="4" s="1"/>
  <c r="B597" i="4"/>
  <c r="C596" i="4"/>
  <c r="F640" i="4"/>
  <c r="D640" i="4"/>
  <c r="H640" i="4" s="1"/>
  <c r="I640" i="4"/>
  <c r="J639" i="4" s="1"/>
  <c r="B642" i="4"/>
  <c r="C641" i="4"/>
  <c r="F684" i="4"/>
  <c r="D684" i="4"/>
  <c r="H684" i="4" s="1"/>
  <c r="I684" i="4"/>
  <c r="J683" i="4" s="1"/>
  <c r="B686" i="4"/>
  <c r="C685" i="4"/>
  <c r="F727" i="4"/>
  <c r="D727" i="4"/>
  <c r="H727" i="4" s="1"/>
  <c r="I727" i="4"/>
  <c r="J726" i="4" s="1"/>
  <c r="B729" i="4"/>
  <c r="C728" i="4"/>
  <c r="F769" i="4"/>
  <c r="D769" i="4"/>
  <c r="H769" i="4" s="1"/>
  <c r="I769" i="4"/>
  <c r="J768" i="4" s="1"/>
  <c r="B771" i="4"/>
  <c r="C770" i="4"/>
  <c r="F810" i="4"/>
  <c r="D810" i="4"/>
  <c r="H810" i="4" s="1"/>
  <c r="I810" i="4"/>
  <c r="J809" i="4" s="1"/>
  <c r="B812" i="4"/>
  <c r="C811" i="4"/>
  <c r="F850" i="4"/>
  <c r="D850" i="4"/>
  <c r="H850" i="4" s="1"/>
  <c r="I850" i="4"/>
  <c r="J849" i="4" s="1"/>
  <c r="B852" i="4"/>
  <c r="C851" i="4"/>
  <c r="F889" i="4"/>
  <c r="D889" i="4"/>
  <c r="H889" i="4" s="1"/>
  <c r="I889" i="4"/>
  <c r="J888" i="4" s="1"/>
  <c r="B891" i="4"/>
  <c r="C890" i="4"/>
  <c r="F927" i="4"/>
  <c r="D927" i="4"/>
  <c r="H927" i="4" s="1"/>
  <c r="I927" i="4"/>
  <c r="J926" i="4" s="1"/>
  <c r="B929" i="4"/>
  <c r="C928" i="4"/>
  <c r="F34" i="5"/>
  <c r="D34" i="5"/>
  <c r="H34" i="5" s="1"/>
  <c r="I34" i="5"/>
  <c r="J33" i="5" s="1"/>
  <c r="B36" i="5"/>
  <c r="C35" i="5"/>
  <c r="F70" i="5"/>
  <c r="D70" i="5"/>
  <c r="H70" i="5" s="1"/>
  <c r="I70" i="5"/>
  <c r="J69" i="5" s="1"/>
  <c r="B72" i="5"/>
  <c r="C71" i="5"/>
  <c r="F105" i="5"/>
  <c r="D105" i="5"/>
  <c r="H105" i="5" s="1"/>
  <c r="I105" i="5"/>
  <c r="J104" i="5" s="1"/>
  <c r="B107" i="5"/>
  <c r="C106" i="5"/>
  <c r="F139" i="5"/>
  <c r="D139" i="5"/>
  <c r="H139" i="5" s="1"/>
  <c r="I139" i="5"/>
  <c r="J138" i="5" s="1"/>
  <c r="B141" i="5"/>
  <c r="C140" i="5"/>
  <c r="F172" i="5"/>
  <c r="D172" i="5"/>
  <c r="H172" i="5" s="1"/>
  <c r="I172" i="5"/>
  <c r="J171" i="5" s="1"/>
  <c r="B174" i="5"/>
  <c r="C173" i="5"/>
  <c r="F204" i="5"/>
  <c r="D204" i="5"/>
  <c r="H204" i="5" s="1"/>
  <c r="I204" i="5"/>
  <c r="J203" i="5" s="1"/>
  <c r="B206" i="5"/>
  <c r="C205" i="5"/>
  <c r="F235" i="5"/>
  <c r="D235" i="5"/>
  <c r="H235" i="5" s="1"/>
  <c r="I235" i="5"/>
  <c r="J234" i="5" s="1"/>
  <c r="B237" i="5"/>
  <c r="C236" i="5"/>
  <c r="F265" i="5"/>
  <c r="D265" i="5"/>
  <c r="H265" i="5" s="1"/>
  <c r="I265" i="5"/>
  <c r="J264" i="5" s="1"/>
  <c r="B267" i="5"/>
  <c r="C266" i="5"/>
  <c r="F294" i="5"/>
  <c r="D294" i="5"/>
  <c r="H294" i="5" s="1"/>
  <c r="I294" i="5"/>
  <c r="J293" i="5" s="1"/>
  <c r="B296" i="5"/>
  <c r="C295" i="5"/>
  <c r="F322" i="5"/>
  <c r="D322" i="5"/>
  <c r="H322" i="5" s="1"/>
  <c r="I322" i="5"/>
  <c r="J321" i="5" s="1"/>
  <c r="B324" i="5"/>
  <c r="C323" i="5"/>
  <c r="F349" i="5"/>
  <c r="D349" i="5"/>
  <c r="H349" i="5" s="1"/>
  <c r="I349" i="5"/>
  <c r="J348" i="5" s="1"/>
  <c r="C350" i="5"/>
  <c r="F375" i="5"/>
  <c r="D375" i="5"/>
  <c r="H375" i="5" s="1"/>
  <c r="I375" i="5"/>
  <c r="J374" i="5" s="1"/>
  <c r="F350" i="5" l="1"/>
  <c r="D350" i="5"/>
  <c r="H350" i="5" s="1"/>
  <c r="I350" i="5"/>
  <c r="J349" i="5" s="1"/>
  <c r="F323" i="5"/>
  <c r="D323" i="5"/>
  <c r="H323" i="5" s="1"/>
  <c r="I323" i="5"/>
  <c r="J322" i="5" s="1"/>
  <c r="C324" i="5"/>
  <c r="F295" i="5"/>
  <c r="D295" i="5"/>
  <c r="H295" i="5" s="1"/>
  <c r="I295" i="5"/>
  <c r="J294" i="5" s="1"/>
  <c r="B297" i="5"/>
  <c r="C296" i="5"/>
  <c r="F266" i="5"/>
  <c r="D266" i="5"/>
  <c r="H266" i="5" s="1"/>
  <c r="I266" i="5"/>
  <c r="J265" i="5" s="1"/>
  <c r="B268" i="5"/>
  <c r="C267" i="5"/>
  <c r="F236" i="5"/>
  <c r="D236" i="5"/>
  <c r="H236" i="5" s="1"/>
  <c r="I236" i="5"/>
  <c r="J235" i="5" s="1"/>
  <c r="B238" i="5"/>
  <c r="C237" i="5"/>
  <c r="F205" i="5"/>
  <c r="D205" i="5"/>
  <c r="H205" i="5" s="1"/>
  <c r="I205" i="5"/>
  <c r="J204" i="5" s="1"/>
  <c r="B207" i="5"/>
  <c r="C206" i="5"/>
  <c r="F173" i="5"/>
  <c r="D173" i="5"/>
  <c r="H173" i="5" s="1"/>
  <c r="I173" i="5"/>
  <c r="J172" i="5" s="1"/>
  <c r="B175" i="5"/>
  <c r="C174" i="5"/>
  <c r="F140" i="5"/>
  <c r="D140" i="5"/>
  <c r="H140" i="5" s="1"/>
  <c r="I140" i="5"/>
  <c r="J139" i="5" s="1"/>
  <c r="B142" i="5"/>
  <c r="C141" i="5"/>
  <c r="F106" i="5"/>
  <c r="D106" i="5"/>
  <c r="H106" i="5" s="1"/>
  <c r="I106" i="5"/>
  <c r="J105" i="5" s="1"/>
  <c r="B108" i="5"/>
  <c r="C107" i="5"/>
  <c r="F71" i="5"/>
  <c r="D71" i="5"/>
  <c r="H71" i="5" s="1"/>
  <c r="I71" i="5"/>
  <c r="J70" i="5" s="1"/>
  <c r="B73" i="5"/>
  <c r="C72" i="5"/>
  <c r="F35" i="5"/>
  <c r="D35" i="5"/>
  <c r="H35" i="5" s="1"/>
  <c r="I35" i="5"/>
  <c r="J34" i="5" s="1"/>
  <c r="B37" i="5"/>
  <c r="C36" i="5"/>
  <c r="F928" i="4"/>
  <c r="D928" i="4"/>
  <c r="H928" i="4" s="1"/>
  <c r="I928" i="4"/>
  <c r="J927" i="4" s="1"/>
  <c r="B930" i="4"/>
  <c r="C929" i="4"/>
  <c r="F890" i="4"/>
  <c r="D890" i="4"/>
  <c r="H890" i="4" s="1"/>
  <c r="I890" i="4"/>
  <c r="J889" i="4" s="1"/>
  <c r="B892" i="4"/>
  <c r="C891" i="4"/>
  <c r="F851" i="4"/>
  <c r="D851" i="4"/>
  <c r="H851" i="4" s="1"/>
  <c r="I851" i="4"/>
  <c r="J850" i="4" s="1"/>
  <c r="B853" i="4"/>
  <c r="C852" i="4"/>
  <c r="F811" i="4"/>
  <c r="D811" i="4"/>
  <c r="H811" i="4" s="1"/>
  <c r="I811" i="4"/>
  <c r="J810" i="4" s="1"/>
  <c r="B813" i="4"/>
  <c r="C812" i="4"/>
  <c r="F770" i="4"/>
  <c r="D770" i="4"/>
  <c r="H770" i="4" s="1"/>
  <c r="I770" i="4"/>
  <c r="J769" i="4" s="1"/>
  <c r="B772" i="4"/>
  <c r="C771" i="4"/>
  <c r="F728" i="4"/>
  <c r="D728" i="4"/>
  <c r="H728" i="4" s="1"/>
  <c r="I728" i="4"/>
  <c r="J727" i="4" s="1"/>
  <c r="B730" i="4"/>
  <c r="C729" i="4"/>
  <c r="F685" i="4"/>
  <c r="D685" i="4"/>
  <c r="H685" i="4" s="1"/>
  <c r="I685" i="4"/>
  <c r="J684" i="4" s="1"/>
  <c r="B687" i="4"/>
  <c r="C686" i="4"/>
  <c r="F641" i="4"/>
  <c r="D641" i="4"/>
  <c r="H641" i="4" s="1"/>
  <c r="I641" i="4"/>
  <c r="J640" i="4" s="1"/>
  <c r="B643" i="4"/>
  <c r="C642" i="4"/>
  <c r="F596" i="4"/>
  <c r="D596" i="4"/>
  <c r="H596" i="4" s="1"/>
  <c r="I596" i="4"/>
  <c r="J595" i="4" s="1"/>
  <c r="B598" i="4"/>
  <c r="C597" i="4"/>
  <c r="I550" i="4"/>
  <c r="J549" i="4" s="1"/>
  <c r="H550" i="4"/>
  <c r="C552" i="4"/>
  <c r="F551" i="4"/>
  <c r="D551" i="4"/>
  <c r="B552" i="4"/>
  <c r="I551" i="4"/>
  <c r="J550" i="4" s="1"/>
  <c r="H551" i="4"/>
  <c r="F503" i="4"/>
  <c r="D503" i="4"/>
  <c r="H503" i="4" s="1"/>
  <c r="I503" i="4"/>
  <c r="J502" i="4" s="1"/>
  <c r="B505" i="4"/>
  <c r="C504" i="4"/>
  <c r="F455" i="4"/>
  <c r="D455" i="4"/>
  <c r="H455" i="4" s="1"/>
  <c r="I455" i="4"/>
  <c r="J454" i="4" s="1"/>
  <c r="B457" i="4"/>
  <c r="C456" i="4"/>
  <c r="F406" i="4"/>
  <c r="D406" i="4"/>
  <c r="H406" i="4" s="1"/>
  <c r="I406" i="4"/>
  <c r="J405" i="4" s="1"/>
  <c r="B408" i="4"/>
  <c r="C407" i="4"/>
  <c r="F356" i="4"/>
  <c r="D356" i="4"/>
  <c r="H356" i="4" s="1"/>
  <c r="I356" i="4"/>
  <c r="J355" i="4" s="1"/>
  <c r="B358" i="4"/>
  <c r="C357" i="4"/>
  <c r="F305" i="4"/>
  <c r="D305" i="4"/>
  <c r="H305" i="4" s="1"/>
  <c r="I305" i="4"/>
  <c r="J304" i="4" s="1"/>
  <c r="B307" i="4"/>
  <c r="C306" i="4"/>
  <c r="F253" i="4"/>
  <c r="D253" i="4"/>
  <c r="H253" i="4" s="1"/>
  <c r="I253" i="4"/>
  <c r="J252" i="4" s="1"/>
  <c r="B255" i="4"/>
  <c r="C254" i="4"/>
  <c r="F200" i="4"/>
  <c r="D200" i="4"/>
  <c r="H200" i="4" s="1"/>
  <c r="I200" i="4"/>
  <c r="J199" i="4" s="1"/>
  <c r="B202" i="4"/>
  <c r="C201" i="4"/>
  <c r="F146" i="4"/>
  <c r="D146" i="4"/>
  <c r="H146" i="4" s="1"/>
  <c r="I146" i="4"/>
  <c r="J145" i="4" s="1"/>
  <c r="B148" i="4"/>
  <c r="C147" i="4"/>
  <c r="I91" i="4"/>
  <c r="J90" i="4" s="1"/>
  <c r="H91" i="4"/>
  <c r="C93" i="4"/>
  <c r="F92" i="4"/>
  <c r="D92" i="4"/>
  <c r="B93" i="4"/>
  <c r="I92" i="4"/>
  <c r="J91" i="4" s="1"/>
  <c r="H92" i="4"/>
  <c r="I35" i="4"/>
  <c r="J34" i="4" s="1"/>
  <c r="H35" i="4"/>
  <c r="C37" i="4"/>
  <c r="F36" i="4"/>
  <c r="D36" i="4"/>
  <c r="B37" i="4"/>
  <c r="I36" i="4"/>
  <c r="J35" i="4" s="1"/>
  <c r="H36" i="4"/>
  <c r="I938" i="3"/>
  <c r="J937" i="3" s="1"/>
  <c r="H938" i="3"/>
  <c r="C940" i="3"/>
  <c r="F939" i="3"/>
  <c r="D939" i="3"/>
  <c r="B940" i="3"/>
  <c r="I939" i="3"/>
  <c r="J938" i="3" s="1"/>
  <c r="H939" i="3"/>
  <c r="I880" i="3"/>
  <c r="J879" i="3" s="1"/>
  <c r="H880" i="3"/>
  <c r="C882" i="3"/>
  <c r="F881" i="3"/>
  <c r="D881" i="3"/>
  <c r="B882" i="3"/>
  <c r="I881" i="3"/>
  <c r="J880" i="3" s="1"/>
  <c r="H881" i="3"/>
  <c r="I821" i="3"/>
  <c r="J820" i="3" s="1"/>
  <c r="H821" i="3"/>
  <c r="C823" i="3"/>
  <c r="F822" i="3"/>
  <c r="D822" i="3"/>
  <c r="B823" i="3"/>
  <c r="I822" i="3"/>
  <c r="J821" i="3" s="1"/>
  <c r="H822" i="3"/>
  <c r="I761" i="3"/>
  <c r="J760" i="3" s="1"/>
  <c r="H761" i="3"/>
  <c r="C763" i="3"/>
  <c r="F762" i="3"/>
  <c r="D762" i="3"/>
  <c r="B763" i="3"/>
  <c r="I762" i="3"/>
  <c r="J761" i="3" s="1"/>
  <c r="H762" i="3"/>
  <c r="I700" i="3"/>
  <c r="J699" i="3" s="1"/>
  <c r="H700" i="3"/>
  <c r="C702" i="3"/>
  <c r="F701" i="3"/>
  <c r="D701" i="3"/>
  <c r="B702" i="3"/>
  <c r="I701" i="3"/>
  <c r="J700" i="3" s="1"/>
  <c r="H701" i="3"/>
  <c r="I638" i="3"/>
  <c r="J637" i="3" s="1"/>
  <c r="H638" i="3"/>
  <c r="C640" i="3"/>
  <c r="F639" i="3"/>
  <c r="D639" i="3"/>
  <c r="B640" i="3"/>
  <c r="I639" i="3"/>
  <c r="J638" i="3" s="1"/>
  <c r="H639" i="3"/>
  <c r="I575" i="3"/>
  <c r="J574" i="3" s="1"/>
  <c r="H575" i="3"/>
  <c r="C577" i="3"/>
  <c r="F576" i="3"/>
  <c r="D576" i="3"/>
  <c r="B577" i="3"/>
  <c r="I576" i="3"/>
  <c r="J575" i="3" s="1"/>
  <c r="H576" i="3"/>
  <c r="I511" i="3"/>
  <c r="J510" i="3" s="1"/>
  <c r="H511" i="3"/>
  <c r="C513" i="3"/>
  <c r="F512" i="3"/>
  <c r="D512" i="3"/>
  <c r="B513" i="3"/>
  <c r="I512" i="3"/>
  <c r="J511" i="3" s="1"/>
  <c r="H512" i="3"/>
  <c r="I446" i="3"/>
  <c r="J445" i="3" s="1"/>
  <c r="H446" i="3"/>
  <c r="C448" i="3"/>
  <c r="F447" i="3"/>
  <c r="D447" i="3"/>
  <c r="B448" i="3"/>
  <c r="I447" i="3"/>
  <c r="J446" i="3" s="1"/>
  <c r="H447" i="3"/>
  <c r="I380" i="3"/>
  <c r="J379" i="3" s="1"/>
  <c r="H380" i="3"/>
  <c r="C382" i="3"/>
  <c r="F381" i="3"/>
  <c r="D381" i="3"/>
  <c r="B382" i="3"/>
  <c r="I381" i="3"/>
  <c r="J380" i="3" s="1"/>
  <c r="H381" i="3"/>
  <c r="I313" i="3"/>
  <c r="J312" i="3" s="1"/>
  <c r="H313" i="3"/>
  <c r="C315" i="3"/>
  <c r="F314" i="3"/>
  <c r="D314" i="3"/>
  <c r="B315" i="3"/>
  <c r="I314" i="3"/>
  <c r="J313" i="3" s="1"/>
  <c r="H314" i="3"/>
  <c r="I245" i="3"/>
  <c r="J244" i="3" s="1"/>
  <c r="H245" i="3"/>
  <c r="C247" i="3"/>
  <c r="F246" i="3"/>
  <c r="D246" i="3"/>
  <c r="B247" i="3"/>
  <c r="I246" i="3"/>
  <c r="J245" i="3" s="1"/>
  <c r="H246" i="3"/>
  <c r="I176" i="3"/>
  <c r="J175" i="3" s="1"/>
  <c r="H176" i="3"/>
  <c r="C178" i="3"/>
  <c r="F177" i="3"/>
  <c r="D177" i="3"/>
  <c r="B178" i="3"/>
  <c r="I177" i="3"/>
  <c r="J176" i="3" s="1"/>
  <c r="H177" i="3"/>
  <c r="I106" i="3"/>
  <c r="J105" i="3" s="1"/>
  <c r="H106" i="3"/>
  <c r="C108" i="3"/>
  <c r="F107" i="3"/>
  <c r="D107" i="3"/>
  <c r="B108" i="3"/>
  <c r="I107" i="3"/>
  <c r="J106" i="3" s="1"/>
  <c r="H107" i="3"/>
  <c r="I35" i="3"/>
  <c r="J34" i="3" s="1"/>
  <c r="H35" i="3"/>
  <c r="C37" i="3"/>
  <c r="F36" i="3"/>
  <c r="D36" i="3"/>
  <c r="B37" i="3"/>
  <c r="I36" i="3"/>
  <c r="J35" i="3" s="1"/>
  <c r="H36" i="3"/>
  <c r="I810" i="2"/>
  <c r="J809" i="2" s="1"/>
  <c r="H810" i="2"/>
  <c r="C812" i="2"/>
  <c r="F811" i="2"/>
  <c r="D811" i="2"/>
  <c r="B812" i="2"/>
  <c r="I811" i="2"/>
  <c r="J810" i="2" s="1"/>
  <c r="H811" i="2"/>
  <c r="I737" i="2"/>
  <c r="J736" i="2" s="1"/>
  <c r="H737" i="2"/>
  <c r="C739" i="2"/>
  <c r="F738" i="2"/>
  <c r="B739" i="2"/>
  <c r="I738" i="2"/>
  <c r="J737" i="2" s="1"/>
  <c r="H738" i="2"/>
  <c r="I663" i="2"/>
  <c r="J662" i="2" s="1"/>
  <c r="H663" i="2"/>
  <c r="C665" i="2"/>
  <c r="F664" i="2"/>
  <c r="B665" i="2"/>
  <c r="I664" i="2"/>
  <c r="J663" i="2" s="1"/>
  <c r="H664" i="2"/>
  <c r="I588" i="2"/>
  <c r="J587" i="2" s="1"/>
  <c r="H588" i="2"/>
  <c r="C590" i="2"/>
  <c r="F589" i="2"/>
  <c r="B590" i="2"/>
  <c r="I589" i="2"/>
  <c r="J588" i="2" s="1"/>
  <c r="H589" i="2"/>
  <c r="I512" i="2"/>
  <c r="J511" i="2" s="1"/>
  <c r="H512" i="2"/>
  <c r="C514" i="2"/>
  <c r="F513" i="2"/>
  <c r="D513" i="2"/>
  <c r="B514" i="2"/>
  <c r="I513" i="2"/>
  <c r="J512" i="2" s="1"/>
  <c r="H513" i="2"/>
  <c r="I435" i="2"/>
  <c r="J434" i="2" s="1"/>
  <c r="H435" i="2"/>
  <c r="C437" i="2"/>
  <c r="F436" i="2"/>
  <c r="D436" i="2"/>
  <c r="B437" i="2"/>
  <c r="I436" i="2"/>
  <c r="J435" i="2" s="1"/>
  <c r="H436" i="2"/>
  <c r="I357" i="2"/>
  <c r="J356" i="2" s="1"/>
  <c r="H357" i="2"/>
  <c r="C359" i="2"/>
  <c r="F358" i="2"/>
  <c r="D358" i="2"/>
  <c r="B359" i="2"/>
  <c r="I358" i="2"/>
  <c r="J357" i="2" s="1"/>
  <c r="H358" i="2"/>
  <c r="I278" i="2"/>
  <c r="J277" i="2" s="1"/>
  <c r="H278" i="2"/>
  <c r="C280" i="2"/>
  <c r="F279" i="2"/>
  <c r="D279" i="2"/>
  <c r="B280" i="2"/>
  <c r="I279" i="2"/>
  <c r="J278" i="2" s="1"/>
  <c r="H279" i="2"/>
  <c r="I198" i="2"/>
  <c r="J197" i="2" s="1"/>
  <c r="H198" i="2"/>
  <c r="C200" i="2"/>
  <c r="F199" i="2"/>
  <c r="D199" i="2"/>
  <c r="B200" i="2"/>
  <c r="I199" i="2"/>
  <c r="J198" i="2" s="1"/>
  <c r="H199" i="2"/>
  <c r="I117" i="2"/>
  <c r="J116" i="2" s="1"/>
  <c r="H117" i="2"/>
  <c r="C119" i="2"/>
  <c r="F118" i="2"/>
  <c r="D118" i="2"/>
  <c r="B119" i="2"/>
  <c r="I118" i="2"/>
  <c r="J117" i="2" s="1"/>
  <c r="H118" i="2"/>
  <c r="I35" i="2"/>
  <c r="J34" i="2" s="1"/>
  <c r="H35" i="2"/>
  <c r="C37" i="2"/>
  <c r="F36" i="2"/>
  <c r="D36" i="2"/>
  <c r="B37" i="2"/>
  <c r="I36" i="2"/>
  <c r="J35" i="2" s="1"/>
  <c r="H36" i="2"/>
  <c r="B38" i="2" l="1"/>
  <c r="C38" i="2"/>
  <c r="F37" i="2"/>
  <c r="D37" i="2"/>
  <c r="B120" i="2"/>
  <c r="C120" i="2"/>
  <c r="F119" i="2"/>
  <c r="D119" i="2"/>
  <c r="B201" i="2"/>
  <c r="C201" i="2"/>
  <c r="F200" i="2"/>
  <c r="D200" i="2"/>
  <c r="B281" i="2"/>
  <c r="C281" i="2"/>
  <c r="F280" i="2"/>
  <c r="D280" i="2"/>
  <c r="B360" i="2"/>
  <c r="C360" i="2"/>
  <c r="F359" i="2"/>
  <c r="D359" i="2"/>
  <c r="B438" i="2"/>
  <c r="C438" i="2"/>
  <c r="F437" i="2"/>
  <c r="D437" i="2"/>
  <c r="B515" i="2"/>
  <c r="C515" i="2"/>
  <c r="F514" i="2"/>
  <c r="D514" i="2"/>
  <c r="B591" i="2"/>
  <c r="C591" i="2"/>
  <c r="F590" i="2"/>
  <c r="B666" i="2"/>
  <c r="C666" i="2"/>
  <c r="F665" i="2"/>
  <c r="B740" i="2"/>
  <c r="C740" i="2"/>
  <c r="F739" i="2"/>
  <c r="B813" i="2"/>
  <c r="C813" i="2"/>
  <c r="F812" i="2"/>
  <c r="D812" i="2"/>
  <c r="B38" i="3"/>
  <c r="C38" i="3"/>
  <c r="F37" i="3"/>
  <c r="D37" i="3"/>
  <c r="B109" i="3"/>
  <c r="C109" i="3"/>
  <c r="F108" i="3"/>
  <c r="D108" i="3"/>
  <c r="B179" i="3"/>
  <c r="C179" i="3"/>
  <c r="F178" i="3"/>
  <c r="D178" i="3"/>
  <c r="B248" i="3"/>
  <c r="C248" i="3"/>
  <c r="F247" i="3"/>
  <c r="D247" i="3"/>
  <c r="B316" i="3"/>
  <c r="C316" i="3"/>
  <c r="F315" i="3"/>
  <c r="D315" i="3"/>
  <c r="B383" i="3"/>
  <c r="C383" i="3"/>
  <c r="F382" i="3"/>
  <c r="D382" i="3"/>
  <c r="B449" i="3"/>
  <c r="C449" i="3"/>
  <c r="F448" i="3"/>
  <c r="D448" i="3"/>
  <c r="B514" i="3"/>
  <c r="C514" i="3"/>
  <c r="F513" i="3"/>
  <c r="D513" i="3"/>
  <c r="B578" i="3"/>
  <c r="C578" i="3"/>
  <c r="F577" i="3"/>
  <c r="D577" i="3"/>
  <c r="B641" i="3"/>
  <c r="C641" i="3"/>
  <c r="F640" i="3"/>
  <c r="D640" i="3"/>
  <c r="B703" i="3"/>
  <c r="C703" i="3"/>
  <c r="F702" i="3"/>
  <c r="D702" i="3"/>
  <c r="B764" i="3"/>
  <c r="C764" i="3"/>
  <c r="F763" i="3"/>
  <c r="D763" i="3"/>
  <c r="B824" i="3"/>
  <c r="C824" i="3"/>
  <c r="F823" i="3"/>
  <c r="D823" i="3"/>
  <c r="B883" i="3"/>
  <c r="C883" i="3"/>
  <c r="F882" i="3"/>
  <c r="D882" i="3"/>
  <c r="B941" i="3"/>
  <c r="C941" i="3"/>
  <c r="F940" i="3"/>
  <c r="D940" i="3"/>
  <c r="B38" i="4"/>
  <c r="C38" i="4"/>
  <c r="F37" i="4"/>
  <c r="D37" i="4"/>
  <c r="B94" i="4"/>
  <c r="C94" i="4"/>
  <c r="F93" i="4"/>
  <c r="D93" i="4"/>
  <c r="F147" i="4"/>
  <c r="D147" i="4"/>
  <c r="H147" i="4" s="1"/>
  <c r="I147" i="4"/>
  <c r="J146" i="4" s="1"/>
  <c r="B149" i="4"/>
  <c r="C148" i="4"/>
  <c r="F201" i="4"/>
  <c r="D201" i="4"/>
  <c r="H201" i="4" s="1"/>
  <c r="I201" i="4"/>
  <c r="J200" i="4" s="1"/>
  <c r="B203" i="4"/>
  <c r="C202" i="4"/>
  <c r="F254" i="4"/>
  <c r="D254" i="4"/>
  <c r="H254" i="4" s="1"/>
  <c r="I254" i="4"/>
  <c r="J253" i="4" s="1"/>
  <c r="B256" i="4"/>
  <c r="C255" i="4"/>
  <c r="F306" i="4"/>
  <c r="D306" i="4"/>
  <c r="H306" i="4" s="1"/>
  <c r="I306" i="4"/>
  <c r="J305" i="4" s="1"/>
  <c r="B308" i="4"/>
  <c r="C307" i="4"/>
  <c r="F357" i="4"/>
  <c r="D357" i="4"/>
  <c r="H357" i="4" s="1"/>
  <c r="I357" i="4"/>
  <c r="J356" i="4" s="1"/>
  <c r="B359" i="4"/>
  <c r="C358" i="4"/>
  <c r="F407" i="4"/>
  <c r="D407" i="4"/>
  <c r="H407" i="4" s="1"/>
  <c r="I407" i="4"/>
  <c r="J406" i="4" s="1"/>
  <c r="B409" i="4"/>
  <c r="C408" i="4"/>
  <c r="F456" i="4"/>
  <c r="D456" i="4"/>
  <c r="H456" i="4" s="1"/>
  <c r="I456" i="4"/>
  <c r="J455" i="4" s="1"/>
  <c r="B458" i="4"/>
  <c r="C457" i="4"/>
  <c r="F504" i="4"/>
  <c r="D504" i="4"/>
  <c r="H504" i="4" s="1"/>
  <c r="I504" i="4"/>
  <c r="J503" i="4" s="1"/>
  <c r="B506" i="4"/>
  <c r="C505" i="4"/>
  <c r="B553" i="4"/>
  <c r="C553" i="4"/>
  <c r="F552" i="4"/>
  <c r="D552" i="4"/>
  <c r="F597" i="4"/>
  <c r="D597" i="4"/>
  <c r="H597" i="4" s="1"/>
  <c r="I597" i="4"/>
  <c r="J596" i="4" s="1"/>
  <c r="B599" i="4"/>
  <c r="C598" i="4"/>
  <c r="F642" i="4"/>
  <c r="D642" i="4"/>
  <c r="H642" i="4" s="1"/>
  <c r="I642" i="4"/>
  <c r="J641" i="4" s="1"/>
  <c r="B644" i="4"/>
  <c r="C643" i="4"/>
  <c r="F686" i="4"/>
  <c r="D686" i="4"/>
  <c r="H686" i="4" s="1"/>
  <c r="I686" i="4"/>
  <c r="J685" i="4" s="1"/>
  <c r="B688" i="4"/>
  <c r="C687" i="4"/>
  <c r="F729" i="4"/>
  <c r="D729" i="4"/>
  <c r="H729" i="4" s="1"/>
  <c r="I729" i="4"/>
  <c r="J728" i="4" s="1"/>
  <c r="B731" i="4"/>
  <c r="C730" i="4"/>
  <c r="F771" i="4"/>
  <c r="D771" i="4"/>
  <c r="H771" i="4" s="1"/>
  <c r="I771" i="4"/>
  <c r="J770" i="4" s="1"/>
  <c r="B773" i="4"/>
  <c r="C772" i="4"/>
  <c r="F812" i="4"/>
  <c r="D812" i="4"/>
  <c r="H812" i="4" s="1"/>
  <c r="I812" i="4"/>
  <c r="J811" i="4" s="1"/>
  <c r="B814" i="4"/>
  <c r="C813" i="4"/>
  <c r="F852" i="4"/>
  <c r="D852" i="4"/>
  <c r="H852" i="4" s="1"/>
  <c r="I852" i="4"/>
  <c r="J851" i="4" s="1"/>
  <c r="B854" i="4"/>
  <c r="C853" i="4"/>
  <c r="F891" i="4"/>
  <c r="D891" i="4"/>
  <c r="H891" i="4" s="1"/>
  <c r="I891" i="4"/>
  <c r="J890" i="4" s="1"/>
  <c r="B893" i="4"/>
  <c r="C892" i="4"/>
  <c r="F929" i="4"/>
  <c r="D929" i="4"/>
  <c r="H929" i="4" s="1"/>
  <c r="I929" i="4"/>
  <c r="J928" i="4" s="1"/>
  <c r="B931" i="4"/>
  <c r="C930" i="4"/>
  <c r="F36" i="5"/>
  <c r="D36" i="5"/>
  <c r="H36" i="5" s="1"/>
  <c r="I36" i="5"/>
  <c r="J35" i="5" s="1"/>
  <c r="B38" i="5"/>
  <c r="C37" i="5"/>
  <c r="F72" i="5"/>
  <c r="D72" i="5"/>
  <c r="H72" i="5" s="1"/>
  <c r="I72" i="5"/>
  <c r="J71" i="5" s="1"/>
  <c r="B74" i="5"/>
  <c r="C73" i="5"/>
  <c r="F107" i="5"/>
  <c r="D107" i="5"/>
  <c r="H107" i="5" s="1"/>
  <c r="I107" i="5"/>
  <c r="J106" i="5" s="1"/>
  <c r="B109" i="5"/>
  <c r="C108" i="5"/>
  <c r="F141" i="5"/>
  <c r="D141" i="5"/>
  <c r="H141" i="5" s="1"/>
  <c r="I141" i="5"/>
  <c r="J140" i="5" s="1"/>
  <c r="B143" i="5"/>
  <c r="C142" i="5"/>
  <c r="F174" i="5"/>
  <c r="D174" i="5"/>
  <c r="H174" i="5" s="1"/>
  <c r="I174" i="5"/>
  <c r="J173" i="5" s="1"/>
  <c r="B176" i="5"/>
  <c r="C175" i="5"/>
  <c r="F206" i="5"/>
  <c r="D206" i="5"/>
  <c r="H206" i="5" s="1"/>
  <c r="I206" i="5"/>
  <c r="J205" i="5" s="1"/>
  <c r="B208" i="5"/>
  <c r="C207" i="5"/>
  <c r="F237" i="5"/>
  <c r="D237" i="5"/>
  <c r="H237" i="5" s="1"/>
  <c r="I237" i="5"/>
  <c r="J236" i="5" s="1"/>
  <c r="B239" i="5"/>
  <c r="C238" i="5"/>
  <c r="F267" i="5"/>
  <c r="D267" i="5"/>
  <c r="H267" i="5" s="1"/>
  <c r="I267" i="5"/>
  <c r="J266" i="5" s="1"/>
  <c r="B269" i="5"/>
  <c r="C268" i="5"/>
  <c r="F296" i="5"/>
  <c r="D296" i="5"/>
  <c r="H296" i="5" s="1"/>
  <c r="I296" i="5"/>
  <c r="J295" i="5" s="1"/>
  <c r="C297" i="5"/>
  <c r="F324" i="5"/>
  <c r="D324" i="5"/>
  <c r="H324" i="5" s="1"/>
  <c r="I324" i="5"/>
  <c r="J323" i="5" s="1"/>
  <c r="F297" i="5" l="1"/>
  <c r="D297" i="5"/>
  <c r="H297" i="5" s="1"/>
  <c r="I297" i="5"/>
  <c r="J296" i="5" s="1"/>
  <c r="F268" i="5"/>
  <c r="D268" i="5"/>
  <c r="H268" i="5" s="1"/>
  <c r="I268" i="5"/>
  <c r="J267" i="5" s="1"/>
  <c r="C269" i="5"/>
  <c r="F238" i="5"/>
  <c r="D238" i="5"/>
  <c r="H238" i="5" s="1"/>
  <c r="I238" i="5"/>
  <c r="J237" i="5" s="1"/>
  <c r="B240" i="5"/>
  <c r="C239" i="5"/>
  <c r="F207" i="5"/>
  <c r="D207" i="5"/>
  <c r="H207" i="5" s="1"/>
  <c r="I207" i="5"/>
  <c r="J206" i="5" s="1"/>
  <c r="B209" i="5"/>
  <c r="C208" i="5"/>
  <c r="F175" i="5"/>
  <c r="D175" i="5"/>
  <c r="H175" i="5" s="1"/>
  <c r="I175" i="5"/>
  <c r="J174" i="5" s="1"/>
  <c r="B177" i="5"/>
  <c r="C176" i="5"/>
  <c r="F142" i="5"/>
  <c r="D142" i="5"/>
  <c r="H142" i="5" s="1"/>
  <c r="I142" i="5"/>
  <c r="J141" i="5" s="1"/>
  <c r="B144" i="5"/>
  <c r="C143" i="5"/>
  <c r="F108" i="5"/>
  <c r="D108" i="5"/>
  <c r="H108" i="5" s="1"/>
  <c r="I108" i="5"/>
  <c r="J107" i="5" s="1"/>
  <c r="B110" i="5"/>
  <c r="C109" i="5"/>
  <c r="F73" i="5"/>
  <c r="D73" i="5"/>
  <c r="H73" i="5" s="1"/>
  <c r="I73" i="5"/>
  <c r="J72" i="5" s="1"/>
  <c r="B75" i="5"/>
  <c r="C74" i="5"/>
  <c r="F37" i="5"/>
  <c r="D37" i="5"/>
  <c r="H37" i="5" s="1"/>
  <c r="I37" i="5"/>
  <c r="J36" i="5" s="1"/>
  <c r="B39" i="5"/>
  <c r="C38" i="5"/>
  <c r="F930" i="4"/>
  <c r="D930" i="4"/>
  <c r="H930" i="4" s="1"/>
  <c r="I930" i="4"/>
  <c r="J929" i="4" s="1"/>
  <c r="B932" i="4"/>
  <c r="C931" i="4"/>
  <c r="F892" i="4"/>
  <c r="D892" i="4"/>
  <c r="H892" i="4" s="1"/>
  <c r="I892" i="4"/>
  <c r="J891" i="4" s="1"/>
  <c r="B894" i="4"/>
  <c r="C893" i="4"/>
  <c r="F853" i="4"/>
  <c r="D853" i="4"/>
  <c r="H853" i="4" s="1"/>
  <c r="I853" i="4"/>
  <c r="J852" i="4" s="1"/>
  <c r="B855" i="4"/>
  <c r="C854" i="4"/>
  <c r="F813" i="4"/>
  <c r="D813" i="4"/>
  <c r="H813" i="4" s="1"/>
  <c r="I813" i="4"/>
  <c r="J812" i="4" s="1"/>
  <c r="B815" i="4"/>
  <c r="C814" i="4"/>
  <c r="F772" i="4"/>
  <c r="D772" i="4"/>
  <c r="H772" i="4" s="1"/>
  <c r="I772" i="4"/>
  <c r="J771" i="4" s="1"/>
  <c r="B774" i="4"/>
  <c r="C773" i="4"/>
  <c r="F730" i="4"/>
  <c r="D730" i="4"/>
  <c r="H730" i="4" s="1"/>
  <c r="I730" i="4"/>
  <c r="J729" i="4" s="1"/>
  <c r="B732" i="4"/>
  <c r="C731" i="4"/>
  <c r="F687" i="4"/>
  <c r="D687" i="4"/>
  <c r="H687" i="4" s="1"/>
  <c r="I687" i="4"/>
  <c r="J686" i="4" s="1"/>
  <c r="B689" i="4"/>
  <c r="C688" i="4"/>
  <c r="F643" i="4"/>
  <c r="D643" i="4"/>
  <c r="H643" i="4" s="1"/>
  <c r="I643" i="4"/>
  <c r="J642" i="4" s="1"/>
  <c r="B645" i="4"/>
  <c r="C644" i="4"/>
  <c r="F598" i="4"/>
  <c r="D598" i="4"/>
  <c r="H598" i="4" s="1"/>
  <c r="I598" i="4"/>
  <c r="J597" i="4" s="1"/>
  <c r="B600" i="4"/>
  <c r="C599" i="4"/>
  <c r="I552" i="4"/>
  <c r="J551" i="4" s="1"/>
  <c r="H552" i="4"/>
  <c r="C554" i="4"/>
  <c r="F553" i="4"/>
  <c r="D553" i="4"/>
  <c r="B554" i="4"/>
  <c r="I553" i="4"/>
  <c r="J552" i="4" s="1"/>
  <c r="H553" i="4"/>
  <c r="F505" i="4"/>
  <c r="D505" i="4"/>
  <c r="H505" i="4" s="1"/>
  <c r="I505" i="4"/>
  <c r="J504" i="4" s="1"/>
  <c r="B507" i="4"/>
  <c r="C506" i="4"/>
  <c r="F457" i="4"/>
  <c r="D457" i="4"/>
  <c r="H457" i="4" s="1"/>
  <c r="I457" i="4"/>
  <c r="J456" i="4" s="1"/>
  <c r="B459" i="4"/>
  <c r="C458" i="4"/>
  <c r="F408" i="4"/>
  <c r="D408" i="4"/>
  <c r="H408" i="4" s="1"/>
  <c r="I408" i="4"/>
  <c r="J407" i="4" s="1"/>
  <c r="B410" i="4"/>
  <c r="C409" i="4"/>
  <c r="F358" i="4"/>
  <c r="D358" i="4"/>
  <c r="H358" i="4" s="1"/>
  <c r="I358" i="4"/>
  <c r="J357" i="4" s="1"/>
  <c r="B360" i="4"/>
  <c r="C359" i="4"/>
  <c r="F307" i="4"/>
  <c r="D307" i="4"/>
  <c r="H307" i="4" s="1"/>
  <c r="I307" i="4"/>
  <c r="J306" i="4" s="1"/>
  <c r="B309" i="4"/>
  <c r="C308" i="4"/>
  <c r="F255" i="4"/>
  <c r="D255" i="4"/>
  <c r="H255" i="4" s="1"/>
  <c r="I255" i="4"/>
  <c r="J254" i="4" s="1"/>
  <c r="B257" i="4"/>
  <c r="C256" i="4"/>
  <c r="F202" i="4"/>
  <c r="D202" i="4"/>
  <c r="H202" i="4" s="1"/>
  <c r="I202" i="4"/>
  <c r="J201" i="4" s="1"/>
  <c r="B204" i="4"/>
  <c r="C203" i="4"/>
  <c r="F148" i="4"/>
  <c r="D148" i="4"/>
  <c r="H148" i="4" s="1"/>
  <c r="I148" i="4"/>
  <c r="J147" i="4" s="1"/>
  <c r="B150" i="4"/>
  <c r="C149" i="4"/>
  <c r="I93" i="4"/>
  <c r="J92" i="4" s="1"/>
  <c r="H93" i="4"/>
  <c r="C95" i="4"/>
  <c r="F94" i="4"/>
  <c r="D94" i="4"/>
  <c r="B95" i="4"/>
  <c r="I94" i="4"/>
  <c r="J93" i="4" s="1"/>
  <c r="H94" i="4"/>
  <c r="I37" i="4"/>
  <c r="J36" i="4" s="1"/>
  <c r="H37" i="4"/>
  <c r="C39" i="4"/>
  <c r="F38" i="4"/>
  <c r="D38" i="4"/>
  <c r="B39" i="4"/>
  <c r="I38" i="4"/>
  <c r="J37" i="4" s="1"/>
  <c r="H38" i="4"/>
  <c r="I940" i="3"/>
  <c r="J939" i="3" s="1"/>
  <c r="H940" i="3"/>
  <c r="C942" i="3"/>
  <c r="F941" i="3"/>
  <c r="D941" i="3"/>
  <c r="B942" i="3"/>
  <c r="I941" i="3"/>
  <c r="J940" i="3" s="1"/>
  <c r="H941" i="3"/>
  <c r="I882" i="3"/>
  <c r="J881" i="3" s="1"/>
  <c r="H882" i="3"/>
  <c r="C884" i="3"/>
  <c r="F883" i="3"/>
  <c r="D883" i="3"/>
  <c r="B884" i="3"/>
  <c r="I883" i="3"/>
  <c r="J882" i="3" s="1"/>
  <c r="H883" i="3"/>
  <c r="I823" i="3"/>
  <c r="J822" i="3" s="1"/>
  <c r="H823" i="3"/>
  <c r="C825" i="3"/>
  <c r="F824" i="3"/>
  <c r="D824" i="3"/>
  <c r="B825" i="3"/>
  <c r="I824" i="3"/>
  <c r="J823" i="3" s="1"/>
  <c r="H824" i="3"/>
  <c r="I763" i="3"/>
  <c r="J762" i="3" s="1"/>
  <c r="H763" i="3"/>
  <c r="C765" i="3"/>
  <c r="F764" i="3"/>
  <c r="D764" i="3"/>
  <c r="B765" i="3"/>
  <c r="I764" i="3"/>
  <c r="J763" i="3" s="1"/>
  <c r="H764" i="3"/>
  <c r="I702" i="3"/>
  <c r="J701" i="3" s="1"/>
  <c r="H702" i="3"/>
  <c r="C704" i="3"/>
  <c r="F703" i="3"/>
  <c r="D703" i="3"/>
  <c r="B704" i="3"/>
  <c r="I703" i="3"/>
  <c r="J702" i="3" s="1"/>
  <c r="H703" i="3"/>
  <c r="I640" i="3"/>
  <c r="J639" i="3" s="1"/>
  <c r="H640" i="3"/>
  <c r="C642" i="3"/>
  <c r="F641" i="3"/>
  <c r="D641" i="3"/>
  <c r="B642" i="3"/>
  <c r="I641" i="3"/>
  <c r="J640" i="3" s="1"/>
  <c r="H641" i="3"/>
  <c r="I577" i="3"/>
  <c r="J576" i="3" s="1"/>
  <c r="H577" i="3"/>
  <c r="C579" i="3"/>
  <c r="F578" i="3"/>
  <c r="D578" i="3"/>
  <c r="B579" i="3"/>
  <c r="I578" i="3"/>
  <c r="J577" i="3" s="1"/>
  <c r="H578" i="3"/>
  <c r="I513" i="3"/>
  <c r="J512" i="3" s="1"/>
  <c r="H513" i="3"/>
  <c r="C515" i="3"/>
  <c r="F514" i="3"/>
  <c r="D514" i="3"/>
  <c r="B515" i="3"/>
  <c r="I514" i="3"/>
  <c r="J513" i="3" s="1"/>
  <c r="H514" i="3"/>
  <c r="I448" i="3"/>
  <c r="J447" i="3" s="1"/>
  <c r="H448" i="3"/>
  <c r="C450" i="3"/>
  <c r="F449" i="3"/>
  <c r="D449" i="3"/>
  <c r="B450" i="3"/>
  <c r="I449" i="3"/>
  <c r="J448" i="3" s="1"/>
  <c r="H449" i="3"/>
  <c r="I382" i="3"/>
  <c r="J381" i="3" s="1"/>
  <c r="H382" i="3"/>
  <c r="C384" i="3"/>
  <c r="F383" i="3"/>
  <c r="D383" i="3"/>
  <c r="B384" i="3"/>
  <c r="I383" i="3"/>
  <c r="J382" i="3" s="1"/>
  <c r="H383" i="3"/>
  <c r="I315" i="3"/>
  <c r="J314" i="3" s="1"/>
  <c r="H315" i="3"/>
  <c r="C317" i="3"/>
  <c r="F316" i="3"/>
  <c r="D316" i="3"/>
  <c r="B317" i="3"/>
  <c r="I316" i="3"/>
  <c r="J315" i="3" s="1"/>
  <c r="H316" i="3"/>
  <c r="I247" i="3"/>
  <c r="J246" i="3" s="1"/>
  <c r="H247" i="3"/>
  <c r="C249" i="3"/>
  <c r="F248" i="3"/>
  <c r="D248" i="3"/>
  <c r="B249" i="3"/>
  <c r="I248" i="3"/>
  <c r="J247" i="3" s="1"/>
  <c r="H248" i="3"/>
  <c r="I178" i="3"/>
  <c r="J177" i="3" s="1"/>
  <c r="H178" i="3"/>
  <c r="C180" i="3"/>
  <c r="F179" i="3"/>
  <c r="D179" i="3"/>
  <c r="B180" i="3"/>
  <c r="I179" i="3"/>
  <c r="J178" i="3" s="1"/>
  <c r="H179" i="3"/>
  <c r="I108" i="3"/>
  <c r="J107" i="3" s="1"/>
  <c r="H108" i="3"/>
  <c r="C110" i="3"/>
  <c r="F109" i="3"/>
  <c r="D109" i="3"/>
  <c r="B110" i="3"/>
  <c r="I109" i="3"/>
  <c r="J108" i="3" s="1"/>
  <c r="H109" i="3"/>
  <c r="I37" i="3"/>
  <c r="J36" i="3" s="1"/>
  <c r="H37" i="3"/>
  <c r="C39" i="3"/>
  <c r="F38" i="3"/>
  <c r="D38" i="3"/>
  <c r="B39" i="3"/>
  <c r="I38" i="3"/>
  <c r="J37" i="3" s="1"/>
  <c r="H38" i="3"/>
  <c r="I812" i="2"/>
  <c r="J811" i="2" s="1"/>
  <c r="H812" i="2"/>
  <c r="C814" i="2"/>
  <c r="F813" i="2"/>
  <c r="D813" i="2"/>
  <c r="B814" i="2"/>
  <c r="I813" i="2"/>
  <c r="J812" i="2" s="1"/>
  <c r="H813" i="2"/>
  <c r="I739" i="2"/>
  <c r="J738" i="2" s="1"/>
  <c r="H739" i="2"/>
  <c r="C741" i="2"/>
  <c r="F740" i="2"/>
  <c r="B741" i="2"/>
  <c r="I740" i="2"/>
  <c r="J739" i="2" s="1"/>
  <c r="H740" i="2"/>
  <c r="I665" i="2"/>
  <c r="J664" i="2" s="1"/>
  <c r="H665" i="2"/>
  <c r="C667" i="2"/>
  <c r="F666" i="2"/>
  <c r="B667" i="2"/>
  <c r="I666" i="2"/>
  <c r="J665" i="2" s="1"/>
  <c r="H666" i="2"/>
  <c r="I590" i="2"/>
  <c r="J589" i="2" s="1"/>
  <c r="H590" i="2"/>
  <c r="C592" i="2"/>
  <c r="F591" i="2"/>
  <c r="B592" i="2"/>
  <c r="I591" i="2"/>
  <c r="J590" i="2" s="1"/>
  <c r="H591" i="2"/>
  <c r="I514" i="2"/>
  <c r="J513" i="2" s="1"/>
  <c r="H514" i="2"/>
  <c r="C516" i="2"/>
  <c r="F515" i="2"/>
  <c r="D515" i="2"/>
  <c r="B516" i="2"/>
  <c r="I515" i="2"/>
  <c r="J514" i="2" s="1"/>
  <c r="H515" i="2"/>
  <c r="I437" i="2"/>
  <c r="J436" i="2" s="1"/>
  <c r="H437" i="2"/>
  <c r="C439" i="2"/>
  <c r="F438" i="2"/>
  <c r="D438" i="2"/>
  <c r="B439" i="2"/>
  <c r="I438" i="2"/>
  <c r="J437" i="2" s="1"/>
  <c r="H438" i="2"/>
  <c r="I359" i="2"/>
  <c r="J358" i="2" s="1"/>
  <c r="H359" i="2"/>
  <c r="C361" i="2"/>
  <c r="F360" i="2"/>
  <c r="D360" i="2"/>
  <c r="B361" i="2"/>
  <c r="I360" i="2"/>
  <c r="J359" i="2" s="1"/>
  <c r="H360" i="2"/>
  <c r="I280" i="2"/>
  <c r="J279" i="2" s="1"/>
  <c r="H280" i="2"/>
  <c r="C282" i="2"/>
  <c r="F281" i="2"/>
  <c r="D281" i="2"/>
  <c r="B282" i="2"/>
  <c r="I281" i="2"/>
  <c r="J280" i="2" s="1"/>
  <c r="H281" i="2"/>
  <c r="I200" i="2"/>
  <c r="J199" i="2" s="1"/>
  <c r="H200" i="2"/>
  <c r="C202" i="2"/>
  <c r="F201" i="2"/>
  <c r="D201" i="2"/>
  <c r="B202" i="2"/>
  <c r="I201" i="2"/>
  <c r="J200" i="2" s="1"/>
  <c r="H201" i="2"/>
  <c r="I119" i="2"/>
  <c r="J118" i="2" s="1"/>
  <c r="H119" i="2"/>
  <c r="C121" i="2"/>
  <c r="F120" i="2"/>
  <c r="D120" i="2"/>
  <c r="B121" i="2"/>
  <c r="I120" i="2"/>
  <c r="J119" i="2" s="1"/>
  <c r="H120" i="2"/>
  <c r="I37" i="2"/>
  <c r="J36" i="2" s="1"/>
  <c r="H37" i="2"/>
  <c r="C39" i="2"/>
  <c r="F38" i="2"/>
  <c r="D38" i="2"/>
  <c r="B39" i="2"/>
  <c r="I38" i="2"/>
  <c r="J37" i="2" s="1"/>
  <c r="H38" i="2"/>
  <c r="B40" i="2" l="1"/>
  <c r="C40" i="2"/>
  <c r="F39" i="2"/>
  <c r="D39" i="2"/>
  <c r="B122" i="2"/>
  <c r="C122" i="2"/>
  <c r="F121" i="2"/>
  <c r="D121" i="2"/>
  <c r="B203" i="2"/>
  <c r="C203" i="2"/>
  <c r="F202" i="2"/>
  <c r="D202" i="2"/>
  <c r="B283" i="2"/>
  <c r="C283" i="2"/>
  <c r="F282" i="2"/>
  <c r="D282" i="2"/>
  <c r="B362" i="2"/>
  <c r="C362" i="2"/>
  <c r="F361" i="2"/>
  <c r="D361" i="2"/>
  <c r="B440" i="2"/>
  <c r="C440" i="2"/>
  <c r="F439" i="2"/>
  <c r="D439" i="2"/>
  <c r="B517" i="2"/>
  <c r="C517" i="2"/>
  <c r="F516" i="2"/>
  <c r="D516" i="2"/>
  <c r="B593" i="2"/>
  <c r="C593" i="2"/>
  <c r="F592" i="2"/>
  <c r="B668" i="2"/>
  <c r="C668" i="2"/>
  <c r="F667" i="2"/>
  <c r="B742" i="2"/>
  <c r="C742" i="2"/>
  <c r="F741" i="2"/>
  <c r="B815" i="2"/>
  <c r="C815" i="2"/>
  <c r="F814" i="2"/>
  <c r="D814" i="2"/>
  <c r="B40" i="3"/>
  <c r="C40" i="3"/>
  <c r="F39" i="3"/>
  <c r="D39" i="3"/>
  <c r="B111" i="3"/>
  <c r="C111" i="3"/>
  <c r="F110" i="3"/>
  <c r="D110" i="3"/>
  <c r="B181" i="3"/>
  <c r="C181" i="3"/>
  <c r="F180" i="3"/>
  <c r="D180" i="3"/>
  <c r="B250" i="3"/>
  <c r="C250" i="3"/>
  <c r="F249" i="3"/>
  <c r="D249" i="3"/>
  <c r="B318" i="3"/>
  <c r="C318" i="3"/>
  <c r="F317" i="3"/>
  <c r="D317" i="3"/>
  <c r="B385" i="3"/>
  <c r="C385" i="3"/>
  <c r="F384" i="3"/>
  <c r="D384" i="3"/>
  <c r="B451" i="3"/>
  <c r="C451" i="3"/>
  <c r="F450" i="3"/>
  <c r="D450" i="3"/>
  <c r="B516" i="3"/>
  <c r="C516" i="3"/>
  <c r="F515" i="3"/>
  <c r="D515" i="3"/>
  <c r="B580" i="3"/>
  <c r="C580" i="3"/>
  <c r="F579" i="3"/>
  <c r="D579" i="3"/>
  <c r="B643" i="3"/>
  <c r="C643" i="3"/>
  <c r="F642" i="3"/>
  <c r="D642" i="3"/>
  <c r="B705" i="3"/>
  <c r="C705" i="3"/>
  <c r="F704" i="3"/>
  <c r="D704" i="3"/>
  <c r="B766" i="3"/>
  <c r="C766" i="3"/>
  <c r="F765" i="3"/>
  <c r="D765" i="3"/>
  <c r="B826" i="3"/>
  <c r="C826" i="3"/>
  <c r="F825" i="3"/>
  <c r="D825" i="3"/>
  <c r="B885" i="3"/>
  <c r="C885" i="3"/>
  <c r="F884" i="3"/>
  <c r="D884" i="3"/>
  <c r="B943" i="3"/>
  <c r="C943" i="3"/>
  <c r="F942" i="3"/>
  <c r="D942" i="3"/>
  <c r="B40" i="4"/>
  <c r="C40" i="4"/>
  <c r="F39" i="4"/>
  <c r="D39" i="4"/>
  <c r="B96" i="4"/>
  <c r="C96" i="4"/>
  <c r="F95" i="4"/>
  <c r="D95" i="4"/>
  <c r="F149" i="4"/>
  <c r="D149" i="4"/>
  <c r="H149" i="4" s="1"/>
  <c r="I149" i="4"/>
  <c r="J148" i="4" s="1"/>
  <c r="B151" i="4"/>
  <c r="C150" i="4"/>
  <c r="F203" i="4"/>
  <c r="D203" i="4"/>
  <c r="H203" i="4" s="1"/>
  <c r="I203" i="4"/>
  <c r="J202" i="4" s="1"/>
  <c r="B205" i="4"/>
  <c r="C204" i="4"/>
  <c r="F256" i="4"/>
  <c r="D256" i="4"/>
  <c r="H256" i="4" s="1"/>
  <c r="I256" i="4"/>
  <c r="J255" i="4" s="1"/>
  <c r="B258" i="4"/>
  <c r="C257" i="4"/>
  <c r="F308" i="4"/>
  <c r="D308" i="4"/>
  <c r="H308" i="4" s="1"/>
  <c r="I308" i="4"/>
  <c r="J307" i="4" s="1"/>
  <c r="B310" i="4"/>
  <c r="C309" i="4"/>
  <c r="F359" i="4"/>
  <c r="D359" i="4"/>
  <c r="H359" i="4" s="1"/>
  <c r="I359" i="4"/>
  <c r="J358" i="4" s="1"/>
  <c r="B361" i="4"/>
  <c r="C360" i="4"/>
  <c r="F409" i="4"/>
  <c r="D409" i="4"/>
  <c r="H409" i="4" s="1"/>
  <c r="I409" i="4"/>
  <c r="J408" i="4" s="1"/>
  <c r="B411" i="4"/>
  <c r="C410" i="4"/>
  <c r="F458" i="4"/>
  <c r="D458" i="4"/>
  <c r="H458" i="4" s="1"/>
  <c r="I458" i="4"/>
  <c r="J457" i="4" s="1"/>
  <c r="B460" i="4"/>
  <c r="C459" i="4"/>
  <c r="F506" i="4"/>
  <c r="D506" i="4"/>
  <c r="H506" i="4" s="1"/>
  <c r="I506" i="4"/>
  <c r="J505" i="4" s="1"/>
  <c r="B508" i="4"/>
  <c r="C507" i="4"/>
  <c r="B555" i="4"/>
  <c r="C555" i="4"/>
  <c r="F554" i="4"/>
  <c r="D554" i="4"/>
  <c r="F599" i="4"/>
  <c r="D599" i="4"/>
  <c r="H599" i="4" s="1"/>
  <c r="I599" i="4"/>
  <c r="J598" i="4" s="1"/>
  <c r="B601" i="4"/>
  <c r="C600" i="4"/>
  <c r="F644" i="4"/>
  <c r="D644" i="4"/>
  <c r="H644" i="4" s="1"/>
  <c r="I644" i="4"/>
  <c r="J643" i="4" s="1"/>
  <c r="B646" i="4"/>
  <c r="C645" i="4"/>
  <c r="F688" i="4"/>
  <c r="D688" i="4"/>
  <c r="H688" i="4" s="1"/>
  <c r="I688" i="4"/>
  <c r="J687" i="4" s="1"/>
  <c r="B690" i="4"/>
  <c r="C689" i="4"/>
  <c r="F731" i="4"/>
  <c r="D731" i="4"/>
  <c r="H731" i="4" s="1"/>
  <c r="I731" i="4"/>
  <c r="J730" i="4" s="1"/>
  <c r="B733" i="4"/>
  <c r="C732" i="4"/>
  <c r="F773" i="4"/>
  <c r="D773" i="4"/>
  <c r="H773" i="4" s="1"/>
  <c r="I773" i="4"/>
  <c r="J772" i="4" s="1"/>
  <c r="B775" i="4"/>
  <c r="C774" i="4"/>
  <c r="F814" i="4"/>
  <c r="D814" i="4"/>
  <c r="H814" i="4" s="1"/>
  <c r="I814" i="4"/>
  <c r="J813" i="4" s="1"/>
  <c r="B816" i="4"/>
  <c r="C815" i="4"/>
  <c r="F854" i="4"/>
  <c r="D854" i="4"/>
  <c r="H854" i="4" s="1"/>
  <c r="I854" i="4"/>
  <c r="J853" i="4" s="1"/>
  <c r="B856" i="4"/>
  <c r="C855" i="4"/>
  <c r="F893" i="4"/>
  <c r="D893" i="4"/>
  <c r="H893" i="4" s="1"/>
  <c r="I893" i="4"/>
  <c r="J892" i="4" s="1"/>
  <c r="B895" i="4"/>
  <c r="C894" i="4"/>
  <c r="F931" i="4"/>
  <c r="D931" i="4"/>
  <c r="H931" i="4" s="1"/>
  <c r="I931" i="4"/>
  <c r="J930" i="4" s="1"/>
  <c r="B933" i="4"/>
  <c r="C932" i="4"/>
  <c r="F38" i="5"/>
  <c r="D38" i="5"/>
  <c r="H38" i="5" s="1"/>
  <c r="I38" i="5"/>
  <c r="J37" i="5" s="1"/>
  <c r="B40" i="5"/>
  <c r="C39" i="5"/>
  <c r="F74" i="5"/>
  <c r="D74" i="5"/>
  <c r="H74" i="5" s="1"/>
  <c r="I74" i="5"/>
  <c r="J73" i="5" s="1"/>
  <c r="B76" i="5"/>
  <c r="C75" i="5"/>
  <c r="F109" i="5"/>
  <c r="D109" i="5"/>
  <c r="H109" i="5" s="1"/>
  <c r="I109" i="5"/>
  <c r="J108" i="5" s="1"/>
  <c r="B111" i="5"/>
  <c r="C110" i="5"/>
  <c r="F143" i="5"/>
  <c r="D143" i="5"/>
  <c r="H143" i="5" s="1"/>
  <c r="I143" i="5"/>
  <c r="J142" i="5" s="1"/>
  <c r="B145" i="5"/>
  <c r="C144" i="5"/>
  <c r="F176" i="5"/>
  <c r="D176" i="5"/>
  <c r="H176" i="5" s="1"/>
  <c r="I176" i="5"/>
  <c r="J175" i="5" s="1"/>
  <c r="B178" i="5"/>
  <c r="C177" i="5"/>
  <c r="F208" i="5"/>
  <c r="D208" i="5"/>
  <c r="H208" i="5" s="1"/>
  <c r="I208" i="5"/>
  <c r="J207" i="5" s="1"/>
  <c r="B210" i="5"/>
  <c r="C209" i="5"/>
  <c r="F239" i="5"/>
  <c r="D239" i="5"/>
  <c r="H239" i="5" s="1"/>
  <c r="I239" i="5"/>
  <c r="J238" i="5" s="1"/>
  <c r="C240" i="5"/>
  <c r="F269" i="5"/>
  <c r="D269" i="5"/>
  <c r="H269" i="5" s="1"/>
  <c r="I269" i="5"/>
  <c r="J268" i="5" s="1"/>
  <c r="F240" i="5" l="1"/>
  <c r="D240" i="5"/>
  <c r="H240" i="5" s="1"/>
  <c r="I240" i="5"/>
  <c r="J239" i="5" s="1"/>
  <c r="F209" i="5"/>
  <c r="D209" i="5"/>
  <c r="H209" i="5" s="1"/>
  <c r="I209" i="5"/>
  <c r="J208" i="5" s="1"/>
  <c r="C210" i="5"/>
  <c r="F177" i="5"/>
  <c r="D177" i="5"/>
  <c r="H177" i="5" s="1"/>
  <c r="I177" i="5"/>
  <c r="J176" i="5" s="1"/>
  <c r="B179" i="5"/>
  <c r="C178" i="5"/>
  <c r="F144" i="5"/>
  <c r="D144" i="5"/>
  <c r="H144" i="5" s="1"/>
  <c r="I144" i="5"/>
  <c r="J143" i="5" s="1"/>
  <c r="B146" i="5"/>
  <c r="C145" i="5"/>
  <c r="F110" i="5"/>
  <c r="D110" i="5"/>
  <c r="H110" i="5" s="1"/>
  <c r="I110" i="5"/>
  <c r="J109" i="5" s="1"/>
  <c r="B112" i="5"/>
  <c r="C111" i="5"/>
  <c r="F75" i="5"/>
  <c r="D75" i="5"/>
  <c r="H75" i="5" s="1"/>
  <c r="I75" i="5"/>
  <c r="J74" i="5" s="1"/>
  <c r="B77" i="5"/>
  <c r="C76" i="5"/>
  <c r="F39" i="5"/>
  <c r="D39" i="5"/>
  <c r="H39" i="5" s="1"/>
  <c r="I39" i="5"/>
  <c r="J38" i="5" s="1"/>
  <c r="B41" i="5"/>
  <c r="C40" i="5"/>
  <c r="F932" i="4"/>
  <c r="D932" i="4"/>
  <c r="H932" i="4" s="1"/>
  <c r="I932" i="4"/>
  <c r="J931" i="4" s="1"/>
  <c r="B934" i="4"/>
  <c r="C933" i="4"/>
  <c r="F894" i="4"/>
  <c r="D894" i="4"/>
  <c r="H894" i="4" s="1"/>
  <c r="I894" i="4"/>
  <c r="J893" i="4" s="1"/>
  <c r="B896" i="4"/>
  <c r="C895" i="4"/>
  <c r="F855" i="4"/>
  <c r="D855" i="4"/>
  <c r="H855" i="4" s="1"/>
  <c r="I855" i="4"/>
  <c r="J854" i="4" s="1"/>
  <c r="B857" i="4"/>
  <c r="C856" i="4"/>
  <c r="F815" i="4"/>
  <c r="D815" i="4"/>
  <c r="H815" i="4" s="1"/>
  <c r="I815" i="4"/>
  <c r="J814" i="4" s="1"/>
  <c r="B817" i="4"/>
  <c r="C816" i="4"/>
  <c r="F774" i="4"/>
  <c r="D774" i="4"/>
  <c r="H774" i="4" s="1"/>
  <c r="I774" i="4"/>
  <c r="J773" i="4" s="1"/>
  <c r="B776" i="4"/>
  <c r="C775" i="4"/>
  <c r="F732" i="4"/>
  <c r="D732" i="4"/>
  <c r="H732" i="4" s="1"/>
  <c r="I732" i="4"/>
  <c r="J731" i="4" s="1"/>
  <c r="B734" i="4"/>
  <c r="C733" i="4"/>
  <c r="F689" i="4"/>
  <c r="D689" i="4"/>
  <c r="H689" i="4" s="1"/>
  <c r="I689" i="4"/>
  <c r="J688" i="4" s="1"/>
  <c r="B691" i="4"/>
  <c r="C690" i="4"/>
  <c r="F645" i="4"/>
  <c r="D645" i="4"/>
  <c r="H645" i="4" s="1"/>
  <c r="I645" i="4"/>
  <c r="J644" i="4" s="1"/>
  <c r="B647" i="4"/>
  <c r="C646" i="4"/>
  <c r="F600" i="4"/>
  <c r="D600" i="4"/>
  <c r="H600" i="4" s="1"/>
  <c r="I600" i="4"/>
  <c r="J599" i="4" s="1"/>
  <c r="B602" i="4"/>
  <c r="C601" i="4"/>
  <c r="I554" i="4"/>
  <c r="J553" i="4" s="1"/>
  <c r="H554" i="4"/>
  <c r="C556" i="4"/>
  <c r="F555" i="4"/>
  <c r="D555" i="4"/>
  <c r="B556" i="4"/>
  <c r="I555" i="4"/>
  <c r="J554" i="4" s="1"/>
  <c r="H555" i="4"/>
  <c r="F507" i="4"/>
  <c r="D507" i="4"/>
  <c r="H507" i="4" s="1"/>
  <c r="I507" i="4"/>
  <c r="J506" i="4" s="1"/>
  <c r="B509" i="4"/>
  <c r="C508" i="4"/>
  <c r="F459" i="4"/>
  <c r="D459" i="4"/>
  <c r="H459" i="4" s="1"/>
  <c r="I459" i="4"/>
  <c r="J458" i="4" s="1"/>
  <c r="B461" i="4"/>
  <c r="C460" i="4"/>
  <c r="F410" i="4"/>
  <c r="D410" i="4"/>
  <c r="H410" i="4" s="1"/>
  <c r="I410" i="4"/>
  <c r="J409" i="4" s="1"/>
  <c r="B412" i="4"/>
  <c r="C411" i="4"/>
  <c r="F360" i="4"/>
  <c r="D360" i="4"/>
  <c r="H360" i="4" s="1"/>
  <c r="I360" i="4"/>
  <c r="J359" i="4" s="1"/>
  <c r="B362" i="4"/>
  <c r="C361" i="4"/>
  <c r="F309" i="4"/>
  <c r="D309" i="4"/>
  <c r="H309" i="4" s="1"/>
  <c r="I309" i="4"/>
  <c r="J308" i="4" s="1"/>
  <c r="B311" i="4"/>
  <c r="C310" i="4"/>
  <c r="F257" i="4"/>
  <c r="D257" i="4"/>
  <c r="H257" i="4" s="1"/>
  <c r="I257" i="4"/>
  <c r="J256" i="4" s="1"/>
  <c r="B259" i="4"/>
  <c r="C258" i="4"/>
  <c r="F204" i="4"/>
  <c r="D204" i="4"/>
  <c r="H204" i="4" s="1"/>
  <c r="I204" i="4"/>
  <c r="J203" i="4" s="1"/>
  <c r="B206" i="4"/>
  <c r="C205" i="4"/>
  <c r="F150" i="4"/>
  <c r="D150" i="4"/>
  <c r="H150" i="4" s="1"/>
  <c r="I150" i="4"/>
  <c r="J149" i="4" s="1"/>
  <c r="B152" i="4"/>
  <c r="C151" i="4"/>
  <c r="I95" i="4"/>
  <c r="J94" i="4" s="1"/>
  <c r="H95" i="4"/>
  <c r="C97" i="4"/>
  <c r="F96" i="4"/>
  <c r="D96" i="4"/>
  <c r="B97" i="4"/>
  <c r="I96" i="4"/>
  <c r="J95" i="4" s="1"/>
  <c r="H96" i="4"/>
  <c r="I39" i="4"/>
  <c r="J38" i="4" s="1"/>
  <c r="H39" i="4"/>
  <c r="C41" i="4"/>
  <c r="F40" i="4"/>
  <c r="D40" i="4"/>
  <c r="B41" i="4"/>
  <c r="I40" i="4"/>
  <c r="J39" i="4" s="1"/>
  <c r="H40" i="4"/>
  <c r="I942" i="3"/>
  <c r="J941" i="3" s="1"/>
  <c r="H942" i="3"/>
  <c r="C944" i="3"/>
  <c r="F943" i="3"/>
  <c r="D943" i="3"/>
  <c r="B944" i="3"/>
  <c r="I943" i="3"/>
  <c r="J942" i="3" s="1"/>
  <c r="H943" i="3"/>
  <c r="I884" i="3"/>
  <c r="J883" i="3" s="1"/>
  <c r="H884" i="3"/>
  <c r="C886" i="3"/>
  <c r="F885" i="3"/>
  <c r="D885" i="3"/>
  <c r="B886" i="3"/>
  <c r="I885" i="3"/>
  <c r="J884" i="3" s="1"/>
  <c r="H885" i="3"/>
  <c r="I825" i="3"/>
  <c r="J824" i="3" s="1"/>
  <c r="H825" i="3"/>
  <c r="C827" i="3"/>
  <c r="F826" i="3"/>
  <c r="D826" i="3"/>
  <c r="B827" i="3"/>
  <c r="I826" i="3"/>
  <c r="J825" i="3" s="1"/>
  <c r="H826" i="3"/>
  <c r="I765" i="3"/>
  <c r="J764" i="3" s="1"/>
  <c r="H765" i="3"/>
  <c r="C767" i="3"/>
  <c r="F766" i="3"/>
  <c r="D766" i="3"/>
  <c r="B767" i="3"/>
  <c r="I766" i="3"/>
  <c r="J765" i="3" s="1"/>
  <c r="H766" i="3"/>
  <c r="I704" i="3"/>
  <c r="J703" i="3" s="1"/>
  <c r="H704" i="3"/>
  <c r="C706" i="3"/>
  <c r="F705" i="3"/>
  <c r="D705" i="3"/>
  <c r="B706" i="3"/>
  <c r="I705" i="3"/>
  <c r="J704" i="3" s="1"/>
  <c r="H705" i="3"/>
  <c r="I642" i="3"/>
  <c r="J641" i="3" s="1"/>
  <c r="H642" i="3"/>
  <c r="C644" i="3"/>
  <c r="F643" i="3"/>
  <c r="D643" i="3"/>
  <c r="B644" i="3"/>
  <c r="I643" i="3"/>
  <c r="J642" i="3" s="1"/>
  <c r="H643" i="3"/>
  <c r="I579" i="3"/>
  <c r="J578" i="3" s="1"/>
  <c r="H579" i="3"/>
  <c r="C581" i="3"/>
  <c r="F580" i="3"/>
  <c r="D580" i="3"/>
  <c r="B581" i="3"/>
  <c r="I580" i="3"/>
  <c r="J579" i="3" s="1"/>
  <c r="H580" i="3"/>
  <c r="I515" i="3"/>
  <c r="J514" i="3" s="1"/>
  <c r="H515" i="3"/>
  <c r="C517" i="3"/>
  <c r="F516" i="3"/>
  <c r="D516" i="3"/>
  <c r="B517" i="3"/>
  <c r="I516" i="3"/>
  <c r="J515" i="3" s="1"/>
  <c r="H516" i="3"/>
  <c r="I450" i="3"/>
  <c r="J449" i="3" s="1"/>
  <c r="H450" i="3"/>
  <c r="C452" i="3"/>
  <c r="F451" i="3"/>
  <c r="D451" i="3"/>
  <c r="B452" i="3"/>
  <c r="I451" i="3"/>
  <c r="J450" i="3" s="1"/>
  <c r="H451" i="3"/>
  <c r="I384" i="3"/>
  <c r="J383" i="3" s="1"/>
  <c r="H384" i="3"/>
  <c r="C386" i="3"/>
  <c r="F385" i="3"/>
  <c r="D385" i="3"/>
  <c r="B386" i="3"/>
  <c r="I385" i="3"/>
  <c r="J384" i="3" s="1"/>
  <c r="H385" i="3"/>
  <c r="I317" i="3"/>
  <c r="J316" i="3" s="1"/>
  <c r="H317" i="3"/>
  <c r="C319" i="3"/>
  <c r="F318" i="3"/>
  <c r="D318" i="3"/>
  <c r="B319" i="3"/>
  <c r="I318" i="3"/>
  <c r="J317" i="3" s="1"/>
  <c r="H318" i="3"/>
  <c r="I249" i="3"/>
  <c r="J248" i="3" s="1"/>
  <c r="H249" i="3"/>
  <c r="C251" i="3"/>
  <c r="F250" i="3"/>
  <c r="D250" i="3"/>
  <c r="B251" i="3"/>
  <c r="I250" i="3"/>
  <c r="J249" i="3" s="1"/>
  <c r="H250" i="3"/>
  <c r="I180" i="3"/>
  <c r="J179" i="3" s="1"/>
  <c r="H180" i="3"/>
  <c r="C182" i="3"/>
  <c r="F181" i="3"/>
  <c r="D181" i="3"/>
  <c r="B182" i="3"/>
  <c r="I181" i="3"/>
  <c r="J180" i="3" s="1"/>
  <c r="H181" i="3"/>
  <c r="I110" i="3"/>
  <c r="J109" i="3" s="1"/>
  <c r="H110" i="3"/>
  <c r="C112" i="3"/>
  <c r="F111" i="3"/>
  <c r="D111" i="3"/>
  <c r="B112" i="3"/>
  <c r="I111" i="3"/>
  <c r="J110" i="3" s="1"/>
  <c r="H111" i="3"/>
  <c r="I39" i="3"/>
  <c r="J38" i="3" s="1"/>
  <c r="H39" i="3"/>
  <c r="C41" i="3"/>
  <c r="F40" i="3"/>
  <c r="D40" i="3"/>
  <c r="B41" i="3"/>
  <c r="I40" i="3"/>
  <c r="J39" i="3" s="1"/>
  <c r="H40" i="3"/>
  <c r="I814" i="2"/>
  <c r="J813" i="2" s="1"/>
  <c r="H814" i="2"/>
  <c r="C816" i="2"/>
  <c r="F815" i="2"/>
  <c r="D815" i="2"/>
  <c r="B816" i="2"/>
  <c r="I815" i="2"/>
  <c r="J814" i="2" s="1"/>
  <c r="H815" i="2"/>
  <c r="I741" i="2"/>
  <c r="J740" i="2" s="1"/>
  <c r="H741" i="2"/>
  <c r="C743" i="2"/>
  <c r="F742" i="2"/>
  <c r="B743" i="2"/>
  <c r="I742" i="2"/>
  <c r="J741" i="2" s="1"/>
  <c r="H742" i="2"/>
  <c r="I667" i="2"/>
  <c r="J666" i="2" s="1"/>
  <c r="H667" i="2"/>
  <c r="C669" i="2"/>
  <c r="F668" i="2"/>
  <c r="B669" i="2"/>
  <c r="I668" i="2"/>
  <c r="J667" i="2" s="1"/>
  <c r="H668" i="2"/>
  <c r="I592" i="2"/>
  <c r="J591" i="2" s="1"/>
  <c r="H592" i="2"/>
  <c r="C594" i="2"/>
  <c r="F593" i="2"/>
  <c r="B594" i="2"/>
  <c r="I593" i="2"/>
  <c r="J592" i="2" s="1"/>
  <c r="H593" i="2"/>
  <c r="I516" i="2"/>
  <c r="J515" i="2" s="1"/>
  <c r="H516" i="2"/>
  <c r="C518" i="2"/>
  <c r="F517" i="2"/>
  <c r="D517" i="2"/>
  <c r="B518" i="2"/>
  <c r="I517" i="2"/>
  <c r="J516" i="2" s="1"/>
  <c r="H517" i="2"/>
  <c r="I439" i="2"/>
  <c r="J438" i="2" s="1"/>
  <c r="H439" i="2"/>
  <c r="C441" i="2"/>
  <c r="F440" i="2"/>
  <c r="D440" i="2"/>
  <c r="B441" i="2"/>
  <c r="I440" i="2"/>
  <c r="J439" i="2" s="1"/>
  <c r="H440" i="2"/>
  <c r="I361" i="2"/>
  <c r="J360" i="2" s="1"/>
  <c r="H361" i="2"/>
  <c r="C363" i="2"/>
  <c r="F362" i="2"/>
  <c r="D362" i="2"/>
  <c r="B363" i="2"/>
  <c r="I362" i="2"/>
  <c r="J361" i="2" s="1"/>
  <c r="H362" i="2"/>
  <c r="I282" i="2"/>
  <c r="J281" i="2" s="1"/>
  <c r="H282" i="2"/>
  <c r="C284" i="2"/>
  <c r="F283" i="2"/>
  <c r="D283" i="2"/>
  <c r="B284" i="2"/>
  <c r="I283" i="2"/>
  <c r="J282" i="2" s="1"/>
  <c r="H283" i="2"/>
  <c r="I202" i="2"/>
  <c r="J201" i="2" s="1"/>
  <c r="H202" i="2"/>
  <c r="C204" i="2"/>
  <c r="F203" i="2"/>
  <c r="D203" i="2"/>
  <c r="B204" i="2"/>
  <c r="I203" i="2"/>
  <c r="J202" i="2" s="1"/>
  <c r="H203" i="2"/>
  <c r="I121" i="2"/>
  <c r="J120" i="2" s="1"/>
  <c r="H121" i="2"/>
  <c r="C123" i="2"/>
  <c r="F122" i="2"/>
  <c r="D122" i="2"/>
  <c r="B123" i="2"/>
  <c r="I122" i="2"/>
  <c r="J121" i="2" s="1"/>
  <c r="H122" i="2"/>
  <c r="I39" i="2"/>
  <c r="J38" i="2" s="1"/>
  <c r="H39" i="2"/>
  <c r="C41" i="2"/>
  <c r="F40" i="2"/>
  <c r="D40" i="2"/>
  <c r="B41" i="2"/>
  <c r="I40" i="2"/>
  <c r="J39" i="2" s="1"/>
  <c r="H40" i="2"/>
  <c r="B42" i="2" l="1"/>
  <c r="C42" i="2"/>
  <c r="F41" i="2"/>
  <c r="D41" i="2"/>
  <c r="B124" i="2"/>
  <c r="C124" i="2"/>
  <c r="F123" i="2"/>
  <c r="D123" i="2"/>
  <c r="B205" i="2"/>
  <c r="C205" i="2"/>
  <c r="F204" i="2"/>
  <c r="D204" i="2"/>
  <c r="B285" i="2"/>
  <c r="C285" i="2"/>
  <c r="F284" i="2"/>
  <c r="D284" i="2"/>
  <c r="B364" i="2"/>
  <c r="C364" i="2"/>
  <c r="F363" i="2"/>
  <c r="D363" i="2"/>
  <c r="B442" i="2"/>
  <c r="C442" i="2"/>
  <c r="F441" i="2"/>
  <c r="D441" i="2"/>
  <c r="B519" i="2"/>
  <c r="C519" i="2"/>
  <c r="F518" i="2"/>
  <c r="D518" i="2"/>
  <c r="B595" i="2"/>
  <c r="C595" i="2"/>
  <c r="F594" i="2"/>
  <c r="B670" i="2"/>
  <c r="C670" i="2"/>
  <c r="F669" i="2"/>
  <c r="B744" i="2"/>
  <c r="C744" i="2"/>
  <c r="F743" i="2"/>
  <c r="B817" i="2"/>
  <c r="C817" i="2"/>
  <c r="F816" i="2"/>
  <c r="D816" i="2"/>
  <c r="B42" i="3"/>
  <c r="C42" i="3"/>
  <c r="F41" i="3"/>
  <c r="D41" i="3"/>
  <c r="B113" i="3"/>
  <c r="C113" i="3"/>
  <c r="F112" i="3"/>
  <c r="D112" i="3"/>
  <c r="B183" i="3"/>
  <c r="C183" i="3"/>
  <c r="F182" i="3"/>
  <c r="D182" i="3"/>
  <c r="B252" i="3"/>
  <c r="C252" i="3"/>
  <c r="F251" i="3"/>
  <c r="D251" i="3"/>
  <c r="B320" i="3"/>
  <c r="C320" i="3"/>
  <c r="F319" i="3"/>
  <c r="D319" i="3"/>
  <c r="B387" i="3"/>
  <c r="C387" i="3"/>
  <c r="F386" i="3"/>
  <c r="D386" i="3"/>
  <c r="B453" i="3"/>
  <c r="C453" i="3"/>
  <c r="F452" i="3"/>
  <c r="D452" i="3"/>
  <c r="B518" i="3"/>
  <c r="C518" i="3"/>
  <c r="F517" i="3"/>
  <c r="D517" i="3"/>
  <c r="B582" i="3"/>
  <c r="C582" i="3"/>
  <c r="F581" i="3"/>
  <c r="D581" i="3"/>
  <c r="B645" i="3"/>
  <c r="C645" i="3"/>
  <c r="F644" i="3"/>
  <c r="D644" i="3"/>
  <c r="B707" i="3"/>
  <c r="C707" i="3"/>
  <c r="F706" i="3"/>
  <c r="D706" i="3"/>
  <c r="B768" i="3"/>
  <c r="C768" i="3"/>
  <c r="F767" i="3"/>
  <c r="D767" i="3"/>
  <c r="B828" i="3"/>
  <c r="C828" i="3"/>
  <c r="F827" i="3"/>
  <c r="D827" i="3"/>
  <c r="B887" i="3"/>
  <c r="C887" i="3"/>
  <c r="F886" i="3"/>
  <c r="D886" i="3"/>
  <c r="B945" i="3"/>
  <c r="C945" i="3"/>
  <c r="F944" i="3"/>
  <c r="D944" i="3"/>
  <c r="B42" i="4"/>
  <c r="C42" i="4"/>
  <c r="F41" i="4"/>
  <c r="D41" i="4"/>
  <c r="B98" i="4"/>
  <c r="C98" i="4"/>
  <c r="F97" i="4"/>
  <c r="D97" i="4"/>
  <c r="F151" i="4"/>
  <c r="D151" i="4"/>
  <c r="H151" i="4" s="1"/>
  <c r="I151" i="4"/>
  <c r="J150" i="4" s="1"/>
  <c r="B153" i="4"/>
  <c r="C152" i="4"/>
  <c r="F205" i="4"/>
  <c r="D205" i="4"/>
  <c r="H205" i="4" s="1"/>
  <c r="I205" i="4"/>
  <c r="J204" i="4" s="1"/>
  <c r="B207" i="4"/>
  <c r="C206" i="4"/>
  <c r="F258" i="4"/>
  <c r="D258" i="4"/>
  <c r="H258" i="4" s="1"/>
  <c r="I258" i="4"/>
  <c r="J257" i="4" s="1"/>
  <c r="B260" i="4"/>
  <c r="C259" i="4"/>
  <c r="F310" i="4"/>
  <c r="D310" i="4"/>
  <c r="H310" i="4" s="1"/>
  <c r="I310" i="4"/>
  <c r="J309" i="4" s="1"/>
  <c r="B312" i="4"/>
  <c r="C311" i="4"/>
  <c r="F361" i="4"/>
  <c r="D361" i="4"/>
  <c r="H361" i="4" s="1"/>
  <c r="I361" i="4"/>
  <c r="J360" i="4" s="1"/>
  <c r="B363" i="4"/>
  <c r="C362" i="4"/>
  <c r="F411" i="4"/>
  <c r="D411" i="4"/>
  <c r="H411" i="4" s="1"/>
  <c r="I411" i="4"/>
  <c r="J410" i="4" s="1"/>
  <c r="B413" i="4"/>
  <c r="C412" i="4"/>
  <c r="F460" i="4"/>
  <c r="D460" i="4"/>
  <c r="H460" i="4" s="1"/>
  <c r="I460" i="4"/>
  <c r="J459" i="4" s="1"/>
  <c r="B462" i="4"/>
  <c r="C461" i="4"/>
  <c r="F508" i="4"/>
  <c r="D508" i="4"/>
  <c r="H508" i="4" s="1"/>
  <c r="I508" i="4"/>
  <c r="J507" i="4" s="1"/>
  <c r="B510" i="4"/>
  <c r="C509" i="4"/>
  <c r="B557" i="4"/>
  <c r="C557" i="4"/>
  <c r="F556" i="4"/>
  <c r="D556" i="4"/>
  <c r="F601" i="4"/>
  <c r="D601" i="4"/>
  <c r="H601" i="4" s="1"/>
  <c r="I601" i="4"/>
  <c r="J600" i="4" s="1"/>
  <c r="B603" i="4"/>
  <c r="C602" i="4"/>
  <c r="F646" i="4"/>
  <c r="D646" i="4"/>
  <c r="H646" i="4" s="1"/>
  <c r="I646" i="4"/>
  <c r="J645" i="4" s="1"/>
  <c r="B648" i="4"/>
  <c r="C647" i="4"/>
  <c r="F690" i="4"/>
  <c r="D690" i="4"/>
  <c r="H690" i="4" s="1"/>
  <c r="I690" i="4"/>
  <c r="J689" i="4" s="1"/>
  <c r="B692" i="4"/>
  <c r="C691" i="4"/>
  <c r="F733" i="4"/>
  <c r="D733" i="4"/>
  <c r="H733" i="4" s="1"/>
  <c r="I733" i="4"/>
  <c r="J732" i="4" s="1"/>
  <c r="B735" i="4"/>
  <c r="C734" i="4"/>
  <c r="F775" i="4"/>
  <c r="D775" i="4"/>
  <c r="H775" i="4" s="1"/>
  <c r="I775" i="4"/>
  <c r="J774" i="4" s="1"/>
  <c r="B777" i="4"/>
  <c r="C776" i="4"/>
  <c r="F816" i="4"/>
  <c r="D816" i="4"/>
  <c r="H816" i="4" s="1"/>
  <c r="I816" i="4"/>
  <c r="J815" i="4" s="1"/>
  <c r="B818" i="4"/>
  <c r="C817" i="4"/>
  <c r="F856" i="4"/>
  <c r="D856" i="4"/>
  <c r="H856" i="4" s="1"/>
  <c r="I856" i="4"/>
  <c r="J855" i="4" s="1"/>
  <c r="B858" i="4"/>
  <c r="C857" i="4"/>
  <c r="F895" i="4"/>
  <c r="D895" i="4"/>
  <c r="H895" i="4" s="1"/>
  <c r="I895" i="4"/>
  <c r="J894" i="4" s="1"/>
  <c r="B897" i="4"/>
  <c r="C896" i="4"/>
  <c r="F933" i="4"/>
  <c r="D933" i="4"/>
  <c r="H933" i="4" s="1"/>
  <c r="I933" i="4"/>
  <c r="J932" i="4" s="1"/>
  <c r="B935" i="4"/>
  <c r="C934" i="4"/>
  <c r="F40" i="5"/>
  <c r="D40" i="5"/>
  <c r="H40" i="5" s="1"/>
  <c r="I40" i="5"/>
  <c r="J39" i="5" s="1"/>
  <c r="B42" i="5"/>
  <c r="C41" i="5"/>
  <c r="F76" i="5"/>
  <c r="D76" i="5"/>
  <c r="H76" i="5" s="1"/>
  <c r="I76" i="5"/>
  <c r="J75" i="5" s="1"/>
  <c r="B78" i="5"/>
  <c r="C77" i="5"/>
  <c r="F111" i="5"/>
  <c r="D111" i="5"/>
  <c r="H111" i="5" s="1"/>
  <c r="I111" i="5"/>
  <c r="J110" i="5" s="1"/>
  <c r="B113" i="5"/>
  <c r="C112" i="5"/>
  <c r="F145" i="5"/>
  <c r="D145" i="5"/>
  <c r="H145" i="5" s="1"/>
  <c r="I145" i="5"/>
  <c r="J144" i="5" s="1"/>
  <c r="B147" i="5"/>
  <c r="C146" i="5"/>
  <c r="F178" i="5"/>
  <c r="D178" i="5"/>
  <c r="H178" i="5" s="1"/>
  <c r="I178" i="5"/>
  <c r="J177" i="5" s="1"/>
  <c r="C179" i="5"/>
  <c r="F210" i="5"/>
  <c r="D210" i="5"/>
  <c r="H210" i="5" s="1"/>
  <c r="I210" i="5"/>
  <c r="J209" i="5" s="1"/>
  <c r="F179" i="5" l="1"/>
  <c r="D179" i="5"/>
  <c r="H179" i="5" s="1"/>
  <c r="I179" i="5"/>
  <c r="J178" i="5" s="1"/>
  <c r="F146" i="5"/>
  <c r="D146" i="5"/>
  <c r="H146" i="5" s="1"/>
  <c r="I146" i="5"/>
  <c r="J145" i="5" s="1"/>
  <c r="C147" i="5"/>
  <c r="F112" i="5"/>
  <c r="D112" i="5"/>
  <c r="H112" i="5" s="1"/>
  <c r="I112" i="5"/>
  <c r="J111" i="5" s="1"/>
  <c r="B114" i="5"/>
  <c r="C113" i="5"/>
  <c r="F77" i="5"/>
  <c r="D77" i="5"/>
  <c r="H77" i="5" s="1"/>
  <c r="I77" i="5"/>
  <c r="J76" i="5" s="1"/>
  <c r="B79" i="5"/>
  <c r="C78" i="5"/>
  <c r="F41" i="5"/>
  <c r="D41" i="5"/>
  <c r="H41" i="5" s="1"/>
  <c r="I41" i="5"/>
  <c r="J40" i="5" s="1"/>
  <c r="B43" i="5"/>
  <c r="C42" i="5"/>
  <c r="F934" i="4"/>
  <c r="D934" i="4"/>
  <c r="H934" i="4" s="1"/>
  <c r="I934" i="4"/>
  <c r="J933" i="4" s="1"/>
  <c r="B936" i="4"/>
  <c r="C935" i="4"/>
  <c r="F896" i="4"/>
  <c r="D896" i="4"/>
  <c r="H896" i="4" s="1"/>
  <c r="I896" i="4"/>
  <c r="J895" i="4" s="1"/>
  <c r="B898" i="4"/>
  <c r="C897" i="4"/>
  <c r="F857" i="4"/>
  <c r="D857" i="4"/>
  <c r="H857" i="4" s="1"/>
  <c r="I857" i="4"/>
  <c r="J856" i="4" s="1"/>
  <c r="B859" i="4"/>
  <c r="C858" i="4"/>
  <c r="F817" i="4"/>
  <c r="D817" i="4"/>
  <c r="H817" i="4" s="1"/>
  <c r="I817" i="4"/>
  <c r="J816" i="4" s="1"/>
  <c r="B819" i="4"/>
  <c r="C818" i="4"/>
  <c r="F776" i="4"/>
  <c r="D776" i="4"/>
  <c r="H776" i="4" s="1"/>
  <c r="I776" i="4"/>
  <c r="J775" i="4" s="1"/>
  <c r="B778" i="4"/>
  <c r="C777" i="4"/>
  <c r="F734" i="4"/>
  <c r="D734" i="4"/>
  <c r="H734" i="4" s="1"/>
  <c r="I734" i="4"/>
  <c r="J733" i="4" s="1"/>
  <c r="B736" i="4"/>
  <c r="C735" i="4"/>
  <c r="F691" i="4"/>
  <c r="D691" i="4"/>
  <c r="H691" i="4" s="1"/>
  <c r="I691" i="4"/>
  <c r="J690" i="4" s="1"/>
  <c r="B693" i="4"/>
  <c r="C692" i="4"/>
  <c r="F647" i="4"/>
  <c r="D647" i="4"/>
  <c r="H647" i="4" s="1"/>
  <c r="I647" i="4"/>
  <c r="J646" i="4" s="1"/>
  <c r="B649" i="4"/>
  <c r="C648" i="4"/>
  <c r="F602" i="4"/>
  <c r="D602" i="4"/>
  <c r="H602" i="4" s="1"/>
  <c r="I602" i="4"/>
  <c r="J601" i="4" s="1"/>
  <c r="B604" i="4"/>
  <c r="C603" i="4"/>
  <c r="I556" i="4"/>
  <c r="J555" i="4" s="1"/>
  <c r="H556" i="4"/>
  <c r="C558" i="4"/>
  <c r="F557" i="4"/>
  <c r="D557" i="4"/>
  <c r="B558" i="4"/>
  <c r="I557" i="4"/>
  <c r="J556" i="4" s="1"/>
  <c r="H557" i="4"/>
  <c r="F509" i="4"/>
  <c r="D509" i="4"/>
  <c r="H509" i="4" s="1"/>
  <c r="I509" i="4"/>
  <c r="J508" i="4" s="1"/>
  <c r="B511" i="4"/>
  <c r="C510" i="4"/>
  <c r="F461" i="4"/>
  <c r="D461" i="4"/>
  <c r="H461" i="4" s="1"/>
  <c r="I461" i="4"/>
  <c r="J460" i="4" s="1"/>
  <c r="B463" i="4"/>
  <c r="C462" i="4"/>
  <c r="F412" i="4"/>
  <c r="D412" i="4"/>
  <c r="H412" i="4" s="1"/>
  <c r="I412" i="4"/>
  <c r="J411" i="4" s="1"/>
  <c r="B414" i="4"/>
  <c r="C413" i="4"/>
  <c r="F362" i="4"/>
  <c r="D362" i="4"/>
  <c r="H362" i="4" s="1"/>
  <c r="I362" i="4"/>
  <c r="J361" i="4" s="1"/>
  <c r="B364" i="4"/>
  <c r="C363" i="4"/>
  <c r="F311" i="4"/>
  <c r="D311" i="4"/>
  <c r="H311" i="4" s="1"/>
  <c r="I311" i="4"/>
  <c r="J310" i="4" s="1"/>
  <c r="B313" i="4"/>
  <c r="C312" i="4"/>
  <c r="F259" i="4"/>
  <c r="D259" i="4"/>
  <c r="H259" i="4" s="1"/>
  <c r="I259" i="4"/>
  <c r="J258" i="4" s="1"/>
  <c r="B261" i="4"/>
  <c r="C260" i="4"/>
  <c r="F206" i="4"/>
  <c r="D206" i="4"/>
  <c r="H206" i="4" s="1"/>
  <c r="I206" i="4"/>
  <c r="J205" i="4" s="1"/>
  <c r="B208" i="4"/>
  <c r="C207" i="4"/>
  <c r="F152" i="4"/>
  <c r="D152" i="4"/>
  <c r="H152" i="4" s="1"/>
  <c r="I152" i="4"/>
  <c r="J151" i="4" s="1"/>
  <c r="B154" i="4"/>
  <c r="C153" i="4"/>
  <c r="I97" i="4"/>
  <c r="J96" i="4" s="1"/>
  <c r="H97" i="4"/>
  <c r="C99" i="4"/>
  <c r="F98" i="4"/>
  <c r="D98" i="4"/>
  <c r="B99" i="4"/>
  <c r="I98" i="4"/>
  <c r="J97" i="4" s="1"/>
  <c r="H98" i="4"/>
  <c r="I41" i="4"/>
  <c r="J40" i="4" s="1"/>
  <c r="H41" i="4"/>
  <c r="C43" i="4"/>
  <c r="F42" i="4"/>
  <c r="D42" i="4"/>
  <c r="B43" i="4"/>
  <c r="I42" i="4"/>
  <c r="J41" i="4" s="1"/>
  <c r="H42" i="4"/>
  <c r="I944" i="3"/>
  <c r="J943" i="3" s="1"/>
  <c r="H944" i="3"/>
  <c r="C946" i="3"/>
  <c r="F945" i="3"/>
  <c r="D945" i="3"/>
  <c r="B946" i="3"/>
  <c r="I945" i="3"/>
  <c r="J944" i="3" s="1"/>
  <c r="H945" i="3"/>
  <c r="I886" i="3"/>
  <c r="J885" i="3" s="1"/>
  <c r="H886" i="3"/>
  <c r="C888" i="3"/>
  <c r="F887" i="3"/>
  <c r="D887" i="3"/>
  <c r="B888" i="3"/>
  <c r="I887" i="3"/>
  <c r="J886" i="3" s="1"/>
  <c r="H887" i="3"/>
  <c r="I827" i="3"/>
  <c r="J826" i="3" s="1"/>
  <c r="H827" i="3"/>
  <c r="C829" i="3"/>
  <c r="F828" i="3"/>
  <c r="D828" i="3"/>
  <c r="B829" i="3"/>
  <c r="I828" i="3"/>
  <c r="J827" i="3" s="1"/>
  <c r="H828" i="3"/>
  <c r="I767" i="3"/>
  <c r="J766" i="3" s="1"/>
  <c r="H767" i="3"/>
  <c r="C769" i="3"/>
  <c r="F768" i="3"/>
  <c r="D768" i="3"/>
  <c r="B769" i="3"/>
  <c r="I768" i="3"/>
  <c r="J767" i="3" s="1"/>
  <c r="H768" i="3"/>
  <c r="I706" i="3"/>
  <c r="J705" i="3" s="1"/>
  <c r="H706" i="3"/>
  <c r="C708" i="3"/>
  <c r="F707" i="3"/>
  <c r="D707" i="3"/>
  <c r="B708" i="3"/>
  <c r="I707" i="3"/>
  <c r="J706" i="3" s="1"/>
  <c r="H707" i="3"/>
  <c r="I644" i="3"/>
  <c r="J643" i="3" s="1"/>
  <c r="H644" i="3"/>
  <c r="C646" i="3"/>
  <c r="F645" i="3"/>
  <c r="D645" i="3"/>
  <c r="B646" i="3"/>
  <c r="I645" i="3"/>
  <c r="J644" i="3" s="1"/>
  <c r="H645" i="3"/>
  <c r="I581" i="3"/>
  <c r="J580" i="3" s="1"/>
  <c r="H581" i="3"/>
  <c r="C583" i="3"/>
  <c r="F582" i="3"/>
  <c r="D582" i="3"/>
  <c r="B583" i="3"/>
  <c r="I582" i="3"/>
  <c r="J581" i="3" s="1"/>
  <c r="H582" i="3"/>
  <c r="I517" i="3"/>
  <c r="J516" i="3" s="1"/>
  <c r="H517" i="3"/>
  <c r="C519" i="3"/>
  <c r="F518" i="3"/>
  <c r="D518" i="3"/>
  <c r="B519" i="3"/>
  <c r="I518" i="3"/>
  <c r="J517" i="3" s="1"/>
  <c r="H518" i="3"/>
  <c r="I452" i="3"/>
  <c r="J451" i="3" s="1"/>
  <c r="H452" i="3"/>
  <c r="C454" i="3"/>
  <c r="F453" i="3"/>
  <c r="D453" i="3"/>
  <c r="B454" i="3"/>
  <c r="I453" i="3"/>
  <c r="J452" i="3" s="1"/>
  <c r="H453" i="3"/>
  <c r="I386" i="3"/>
  <c r="J385" i="3" s="1"/>
  <c r="H386" i="3"/>
  <c r="C388" i="3"/>
  <c r="F387" i="3"/>
  <c r="D387" i="3"/>
  <c r="B388" i="3"/>
  <c r="I387" i="3"/>
  <c r="J386" i="3" s="1"/>
  <c r="H387" i="3"/>
  <c r="I319" i="3"/>
  <c r="J318" i="3" s="1"/>
  <c r="H319" i="3"/>
  <c r="C321" i="3"/>
  <c r="F320" i="3"/>
  <c r="D320" i="3"/>
  <c r="B321" i="3"/>
  <c r="I320" i="3"/>
  <c r="J319" i="3" s="1"/>
  <c r="H320" i="3"/>
  <c r="I251" i="3"/>
  <c r="J250" i="3" s="1"/>
  <c r="H251" i="3"/>
  <c r="C253" i="3"/>
  <c r="F252" i="3"/>
  <c r="D252" i="3"/>
  <c r="B253" i="3"/>
  <c r="I252" i="3"/>
  <c r="J251" i="3" s="1"/>
  <c r="H252" i="3"/>
  <c r="I182" i="3"/>
  <c r="J181" i="3" s="1"/>
  <c r="H182" i="3"/>
  <c r="C184" i="3"/>
  <c r="F183" i="3"/>
  <c r="D183" i="3"/>
  <c r="B184" i="3"/>
  <c r="I183" i="3"/>
  <c r="J182" i="3" s="1"/>
  <c r="H183" i="3"/>
  <c r="I112" i="3"/>
  <c r="J111" i="3" s="1"/>
  <c r="H112" i="3"/>
  <c r="C114" i="3"/>
  <c r="F113" i="3"/>
  <c r="D113" i="3"/>
  <c r="B114" i="3"/>
  <c r="I113" i="3"/>
  <c r="J112" i="3" s="1"/>
  <c r="H113" i="3"/>
  <c r="I41" i="3"/>
  <c r="J40" i="3" s="1"/>
  <c r="H41" i="3"/>
  <c r="C43" i="3"/>
  <c r="F42" i="3"/>
  <c r="D42" i="3"/>
  <c r="B43" i="3"/>
  <c r="I42" i="3"/>
  <c r="J41" i="3" s="1"/>
  <c r="H42" i="3"/>
  <c r="I816" i="2"/>
  <c r="J815" i="2" s="1"/>
  <c r="H816" i="2"/>
  <c r="C818" i="2"/>
  <c r="F817" i="2"/>
  <c r="D817" i="2"/>
  <c r="B818" i="2"/>
  <c r="I817" i="2"/>
  <c r="J816" i="2" s="1"/>
  <c r="H817" i="2"/>
  <c r="I743" i="2"/>
  <c r="J742" i="2" s="1"/>
  <c r="H743" i="2"/>
  <c r="C745" i="2"/>
  <c r="F744" i="2"/>
  <c r="B745" i="2"/>
  <c r="I744" i="2"/>
  <c r="J743" i="2" s="1"/>
  <c r="H744" i="2"/>
  <c r="I669" i="2"/>
  <c r="J668" i="2" s="1"/>
  <c r="H669" i="2"/>
  <c r="C671" i="2"/>
  <c r="F670" i="2"/>
  <c r="B671" i="2"/>
  <c r="I670" i="2"/>
  <c r="J669" i="2" s="1"/>
  <c r="H670" i="2"/>
  <c r="I594" i="2"/>
  <c r="J593" i="2" s="1"/>
  <c r="H594" i="2"/>
  <c r="C596" i="2"/>
  <c r="F595" i="2"/>
  <c r="B596" i="2"/>
  <c r="I595" i="2"/>
  <c r="J594" i="2" s="1"/>
  <c r="H595" i="2"/>
  <c r="I518" i="2"/>
  <c r="J517" i="2" s="1"/>
  <c r="H518" i="2"/>
  <c r="C520" i="2"/>
  <c r="F519" i="2"/>
  <c r="D519" i="2"/>
  <c r="B520" i="2"/>
  <c r="I519" i="2"/>
  <c r="J518" i="2" s="1"/>
  <c r="H519" i="2"/>
  <c r="I441" i="2"/>
  <c r="J440" i="2" s="1"/>
  <c r="H441" i="2"/>
  <c r="C443" i="2"/>
  <c r="F442" i="2"/>
  <c r="D442" i="2"/>
  <c r="B443" i="2"/>
  <c r="I442" i="2"/>
  <c r="J441" i="2" s="1"/>
  <c r="H442" i="2"/>
  <c r="I363" i="2"/>
  <c r="J362" i="2" s="1"/>
  <c r="H363" i="2"/>
  <c r="C365" i="2"/>
  <c r="F364" i="2"/>
  <c r="D364" i="2"/>
  <c r="B365" i="2"/>
  <c r="I364" i="2"/>
  <c r="J363" i="2" s="1"/>
  <c r="H364" i="2"/>
  <c r="I284" i="2"/>
  <c r="J283" i="2" s="1"/>
  <c r="H284" i="2"/>
  <c r="C286" i="2"/>
  <c r="F285" i="2"/>
  <c r="D285" i="2"/>
  <c r="B286" i="2"/>
  <c r="I285" i="2"/>
  <c r="J284" i="2" s="1"/>
  <c r="H285" i="2"/>
  <c r="I204" i="2"/>
  <c r="J203" i="2" s="1"/>
  <c r="H204" i="2"/>
  <c r="C206" i="2"/>
  <c r="F205" i="2"/>
  <c r="D205" i="2"/>
  <c r="B206" i="2"/>
  <c r="I205" i="2"/>
  <c r="J204" i="2" s="1"/>
  <c r="H205" i="2"/>
  <c r="I123" i="2"/>
  <c r="J122" i="2" s="1"/>
  <c r="H123" i="2"/>
  <c r="C125" i="2"/>
  <c r="F124" i="2"/>
  <c r="D124" i="2"/>
  <c r="B125" i="2"/>
  <c r="I124" i="2"/>
  <c r="J123" i="2" s="1"/>
  <c r="H124" i="2"/>
  <c r="I41" i="2"/>
  <c r="J40" i="2" s="1"/>
  <c r="H41" i="2"/>
  <c r="C43" i="2"/>
  <c r="F42" i="2"/>
  <c r="D42" i="2"/>
  <c r="B43" i="2"/>
  <c r="I42" i="2"/>
  <c r="J41" i="2" s="1"/>
  <c r="H42" i="2"/>
  <c r="B44" i="2" l="1"/>
  <c r="C44" i="2"/>
  <c r="F43" i="2"/>
  <c r="D43" i="2"/>
  <c r="B126" i="2"/>
  <c r="C126" i="2"/>
  <c r="F125" i="2"/>
  <c r="D125" i="2"/>
  <c r="B207" i="2"/>
  <c r="C207" i="2"/>
  <c r="F206" i="2"/>
  <c r="D206" i="2"/>
  <c r="B287" i="2"/>
  <c r="C287" i="2"/>
  <c r="F286" i="2"/>
  <c r="D286" i="2"/>
  <c r="B366" i="2"/>
  <c r="C366" i="2"/>
  <c r="F365" i="2"/>
  <c r="D365" i="2"/>
  <c r="B444" i="2"/>
  <c r="C444" i="2"/>
  <c r="F443" i="2"/>
  <c r="D443" i="2"/>
  <c r="B521" i="2"/>
  <c r="C521" i="2"/>
  <c r="F520" i="2"/>
  <c r="D520" i="2"/>
  <c r="B597" i="2"/>
  <c r="C597" i="2"/>
  <c r="F596" i="2"/>
  <c r="B672" i="2"/>
  <c r="C672" i="2"/>
  <c r="F671" i="2"/>
  <c r="B746" i="2"/>
  <c r="C746" i="2"/>
  <c r="F745" i="2"/>
  <c r="B819" i="2"/>
  <c r="C819" i="2"/>
  <c r="F818" i="2"/>
  <c r="D818" i="2"/>
  <c r="B44" i="3"/>
  <c r="C44" i="3"/>
  <c r="F43" i="3"/>
  <c r="D43" i="3"/>
  <c r="B115" i="3"/>
  <c r="C115" i="3"/>
  <c r="F114" i="3"/>
  <c r="D114" i="3"/>
  <c r="B185" i="3"/>
  <c r="C185" i="3"/>
  <c r="F184" i="3"/>
  <c r="D184" i="3"/>
  <c r="B254" i="3"/>
  <c r="C254" i="3"/>
  <c r="F253" i="3"/>
  <c r="D253" i="3"/>
  <c r="B322" i="3"/>
  <c r="C322" i="3"/>
  <c r="F321" i="3"/>
  <c r="D321" i="3"/>
  <c r="B389" i="3"/>
  <c r="C389" i="3"/>
  <c r="F388" i="3"/>
  <c r="D388" i="3"/>
  <c r="B455" i="3"/>
  <c r="C455" i="3"/>
  <c r="F454" i="3"/>
  <c r="D454" i="3"/>
  <c r="B520" i="3"/>
  <c r="C520" i="3"/>
  <c r="F519" i="3"/>
  <c r="D519" i="3"/>
  <c r="B584" i="3"/>
  <c r="C584" i="3"/>
  <c r="F583" i="3"/>
  <c r="D583" i="3"/>
  <c r="B647" i="3"/>
  <c r="C647" i="3"/>
  <c r="F646" i="3"/>
  <c r="D646" i="3"/>
  <c r="B709" i="3"/>
  <c r="C709" i="3"/>
  <c r="F708" i="3"/>
  <c r="D708" i="3"/>
  <c r="B770" i="3"/>
  <c r="C770" i="3"/>
  <c r="F769" i="3"/>
  <c r="D769" i="3"/>
  <c r="B830" i="3"/>
  <c r="C830" i="3"/>
  <c r="F829" i="3"/>
  <c r="D829" i="3"/>
  <c r="B889" i="3"/>
  <c r="C889" i="3"/>
  <c r="F888" i="3"/>
  <c r="D888" i="3"/>
  <c r="B947" i="3"/>
  <c r="C947" i="3"/>
  <c r="F946" i="3"/>
  <c r="D946" i="3"/>
  <c r="B44" i="4"/>
  <c r="C44" i="4"/>
  <c r="F43" i="4"/>
  <c r="D43" i="4"/>
  <c r="B100" i="4"/>
  <c r="C100" i="4"/>
  <c r="F99" i="4"/>
  <c r="D99" i="4"/>
  <c r="F153" i="4"/>
  <c r="D153" i="4"/>
  <c r="H153" i="4" s="1"/>
  <c r="I153" i="4"/>
  <c r="J152" i="4" s="1"/>
  <c r="B155" i="4"/>
  <c r="C154" i="4"/>
  <c r="F207" i="4"/>
  <c r="D207" i="4"/>
  <c r="H207" i="4" s="1"/>
  <c r="I207" i="4"/>
  <c r="J206" i="4" s="1"/>
  <c r="B209" i="4"/>
  <c r="C208" i="4"/>
  <c r="F260" i="4"/>
  <c r="D260" i="4"/>
  <c r="H260" i="4" s="1"/>
  <c r="I260" i="4"/>
  <c r="J259" i="4" s="1"/>
  <c r="B262" i="4"/>
  <c r="C261" i="4"/>
  <c r="F312" i="4"/>
  <c r="D312" i="4"/>
  <c r="H312" i="4" s="1"/>
  <c r="I312" i="4"/>
  <c r="J311" i="4" s="1"/>
  <c r="B314" i="4"/>
  <c r="C313" i="4"/>
  <c r="F363" i="4"/>
  <c r="D363" i="4"/>
  <c r="H363" i="4" s="1"/>
  <c r="I363" i="4"/>
  <c r="J362" i="4" s="1"/>
  <c r="B365" i="4"/>
  <c r="C364" i="4"/>
  <c r="F413" i="4"/>
  <c r="D413" i="4"/>
  <c r="H413" i="4" s="1"/>
  <c r="I413" i="4"/>
  <c r="J412" i="4" s="1"/>
  <c r="B415" i="4"/>
  <c r="C414" i="4"/>
  <c r="F462" i="4"/>
  <c r="D462" i="4"/>
  <c r="H462" i="4" s="1"/>
  <c r="I462" i="4"/>
  <c r="J461" i="4" s="1"/>
  <c r="B464" i="4"/>
  <c r="C463" i="4"/>
  <c r="F510" i="4"/>
  <c r="D510" i="4"/>
  <c r="H510" i="4" s="1"/>
  <c r="I510" i="4"/>
  <c r="J509" i="4" s="1"/>
  <c r="B512" i="4"/>
  <c r="C511" i="4"/>
  <c r="B559" i="4"/>
  <c r="C559" i="4"/>
  <c r="F558" i="4"/>
  <c r="D558" i="4"/>
  <c r="F603" i="4"/>
  <c r="D603" i="4"/>
  <c r="H603" i="4" s="1"/>
  <c r="I603" i="4"/>
  <c r="J602" i="4" s="1"/>
  <c r="B605" i="4"/>
  <c r="C604" i="4"/>
  <c r="F648" i="4"/>
  <c r="D648" i="4"/>
  <c r="H648" i="4" s="1"/>
  <c r="I648" i="4"/>
  <c r="J647" i="4" s="1"/>
  <c r="B650" i="4"/>
  <c r="C649" i="4"/>
  <c r="F692" i="4"/>
  <c r="D692" i="4"/>
  <c r="H692" i="4" s="1"/>
  <c r="I692" i="4"/>
  <c r="J691" i="4" s="1"/>
  <c r="B694" i="4"/>
  <c r="C693" i="4"/>
  <c r="F735" i="4"/>
  <c r="D735" i="4"/>
  <c r="H735" i="4" s="1"/>
  <c r="I735" i="4"/>
  <c r="J734" i="4" s="1"/>
  <c r="B737" i="4"/>
  <c r="C736" i="4"/>
  <c r="F777" i="4"/>
  <c r="D777" i="4"/>
  <c r="H777" i="4" s="1"/>
  <c r="I777" i="4"/>
  <c r="J776" i="4" s="1"/>
  <c r="B779" i="4"/>
  <c r="C778" i="4"/>
  <c r="F818" i="4"/>
  <c r="D818" i="4"/>
  <c r="H818" i="4" s="1"/>
  <c r="I818" i="4"/>
  <c r="J817" i="4" s="1"/>
  <c r="B820" i="4"/>
  <c r="C819" i="4"/>
  <c r="F858" i="4"/>
  <c r="D858" i="4"/>
  <c r="H858" i="4" s="1"/>
  <c r="I858" i="4"/>
  <c r="J857" i="4" s="1"/>
  <c r="B860" i="4"/>
  <c r="C859" i="4"/>
  <c r="F897" i="4"/>
  <c r="D897" i="4"/>
  <c r="H897" i="4" s="1"/>
  <c r="I897" i="4"/>
  <c r="J896" i="4" s="1"/>
  <c r="B899" i="4"/>
  <c r="C898" i="4"/>
  <c r="F935" i="4"/>
  <c r="D935" i="4"/>
  <c r="H935" i="4" s="1"/>
  <c r="I935" i="4"/>
  <c r="J934" i="4" s="1"/>
  <c r="B937" i="4"/>
  <c r="C936" i="4"/>
  <c r="F42" i="5"/>
  <c r="D42" i="5"/>
  <c r="H42" i="5" s="1"/>
  <c r="I42" i="5"/>
  <c r="J41" i="5" s="1"/>
  <c r="B44" i="5"/>
  <c r="C43" i="5"/>
  <c r="F78" i="5"/>
  <c r="D78" i="5"/>
  <c r="H78" i="5" s="1"/>
  <c r="I78" i="5"/>
  <c r="J77" i="5" s="1"/>
  <c r="B80" i="5"/>
  <c r="C79" i="5"/>
  <c r="F113" i="5"/>
  <c r="D113" i="5"/>
  <c r="H113" i="5" s="1"/>
  <c r="I113" i="5"/>
  <c r="J112" i="5" s="1"/>
  <c r="C114" i="5"/>
  <c r="F147" i="5"/>
  <c r="D147" i="5"/>
  <c r="H147" i="5" s="1"/>
  <c r="I147" i="5"/>
  <c r="J146" i="5" s="1"/>
  <c r="F114" i="5" l="1"/>
  <c r="D114" i="5"/>
  <c r="H114" i="5" s="1"/>
  <c r="I114" i="5"/>
  <c r="J113" i="5" s="1"/>
  <c r="F79" i="5"/>
  <c r="D79" i="5"/>
  <c r="H79" i="5" s="1"/>
  <c r="I79" i="5"/>
  <c r="J78" i="5" s="1"/>
  <c r="C80" i="5"/>
  <c r="F43" i="5"/>
  <c r="D43" i="5"/>
  <c r="H43" i="5" s="1"/>
  <c r="I43" i="5"/>
  <c r="J42" i="5" s="1"/>
  <c r="B45" i="5"/>
  <c r="C44" i="5"/>
  <c r="F936" i="4"/>
  <c r="D936" i="4"/>
  <c r="H936" i="4" s="1"/>
  <c r="I936" i="4"/>
  <c r="J935" i="4" s="1"/>
  <c r="B938" i="4"/>
  <c r="C937" i="4"/>
  <c r="F898" i="4"/>
  <c r="D898" i="4"/>
  <c r="H898" i="4" s="1"/>
  <c r="I898" i="4"/>
  <c r="J897" i="4" s="1"/>
  <c r="B900" i="4"/>
  <c r="C899" i="4"/>
  <c r="F859" i="4"/>
  <c r="D859" i="4"/>
  <c r="H859" i="4" s="1"/>
  <c r="I859" i="4"/>
  <c r="J858" i="4" s="1"/>
  <c r="B861" i="4"/>
  <c r="C860" i="4"/>
  <c r="F819" i="4"/>
  <c r="D819" i="4"/>
  <c r="H819" i="4" s="1"/>
  <c r="I819" i="4"/>
  <c r="J818" i="4" s="1"/>
  <c r="B821" i="4"/>
  <c r="C820" i="4"/>
  <c r="F778" i="4"/>
  <c r="D778" i="4"/>
  <c r="H778" i="4" s="1"/>
  <c r="I778" i="4"/>
  <c r="J777" i="4" s="1"/>
  <c r="B780" i="4"/>
  <c r="C779" i="4"/>
  <c r="F736" i="4"/>
  <c r="D736" i="4"/>
  <c r="H736" i="4" s="1"/>
  <c r="I736" i="4"/>
  <c r="J735" i="4" s="1"/>
  <c r="B738" i="4"/>
  <c r="C737" i="4"/>
  <c r="F693" i="4"/>
  <c r="D693" i="4"/>
  <c r="H693" i="4" s="1"/>
  <c r="I693" i="4"/>
  <c r="J692" i="4" s="1"/>
  <c r="B695" i="4"/>
  <c r="C694" i="4"/>
  <c r="F649" i="4"/>
  <c r="D649" i="4"/>
  <c r="H649" i="4" s="1"/>
  <c r="I649" i="4"/>
  <c r="J648" i="4" s="1"/>
  <c r="B651" i="4"/>
  <c r="C650" i="4"/>
  <c r="F604" i="4"/>
  <c r="D604" i="4"/>
  <c r="H604" i="4" s="1"/>
  <c r="I604" i="4"/>
  <c r="J603" i="4" s="1"/>
  <c r="B606" i="4"/>
  <c r="C605" i="4"/>
  <c r="I558" i="4"/>
  <c r="J557" i="4" s="1"/>
  <c r="H558" i="4"/>
  <c r="C560" i="4"/>
  <c r="F559" i="4"/>
  <c r="D559" i="4"/>
  <c r="B560" i="4"/>
  <c r="I559" i="4"/>
  <c r="J558" i="4" s="1"/>
  <c r="H559" i="4"/>
  <c r="F511" i="4"/>
  <c r="D511" i="4"/>
  <c r="H511" i="4" s="1"/>
  <c r="I511" i="4"/>
  <c r="J510" i="4" s="1"/>
  <c r="B513" i="4"/>
  <c r="C512" i="4"/>
  <c r="F463" i="4"/>
  <c r="D463" i="4"/>
  <c r="H463" i="4" s="1"/>
  <c r="I463" i="4"/>
  <c r="J462" i="4" s="1"/>
  <c r="B465" i="4"/>
  <c r="C464" i="4"/>
  <c r="F414" i="4"/>
  <c r="D414" i="4"/>
  <c r="H414" i="4" s="1"/>
  <c r="I414" i="4"/>
  <c r="J413" i="4" s="1"/>
  <c r="B416" i="4"/>
  <c r="C415" i="4"/>
  <c r="F364" i="4"/>
  <c r="D364" i="4"/>
  <c r="H364" i="4" s="1"/>
  <c r="I364" i="4"/>
  <c r="J363" i="4" s="1"/>
  <c r="B366" i="4"/>
  <c r="C365" i="4"/>
  <c r="F313" i="4"/>
  <c r="D313" i="4"/>
  <c r="H313" i="4" s="1"/>
  <c r="I313" i="4"/>
  <c r="J312" i="4" s="1"/>
  <c r="B315" i="4"/>
  <c r="C314" i="4"/>
  <c r="F261" i="4"/>
  <c r="D261" i="4"/>
  <c r="H261" i="4" s="1"/>
  <c r="I261" i="4"/>
  <c r="J260" i="4" s="1"/>
  <c r="B263" i="4"/>
  <c r="C262" i="4"/>
  <c r="F208" i="4"/>
  <c r="D208" i="4"/>
  <c r="H208" i="4" s="1"/>
  <c r="I208" i="4"/>
  <c r="J207" i="4" s="1"/>
  <c r="B210" i="4"/>
  <c r="C209" i="4"/>
  <c r="F154" i="4"/>
  <c r="D154" i="4"/>
  <c r="H154" i="4" s="1"/>
  <c r="I154" i="4"/>
  <c r="J153" i="4" s="1"/>
  <c r="B156" i="4"/>
  <c r="C155" i="4"/>
  <c r="I99" i="4"/>
  <c r="J98" i="4" s="1"/>
  <c r="H99" i="4"/>
  <c r="C101" i="4"/>
  <c r="F100" i="4"/>
  <c r="D100" i="4"/>
  <c r="B101" i="4"/>
  <c r="I100" i="4"/>
  <c r="J99" i="4" s="1"/>
  <c r="H100" i="4"/>
  <c r="I43" i="4"/>
  <c r="J42" i="4" s="1"/>
  <c r="H43" i="4"/>
  <c r="C45" i="4"/>
  <c r="F44" i="4"/>
  <c r="D44" i="4"/>
  <c r="B45" i="4"/>
  <c r="I44" i="4"/>
  <c r="J43" i="4" s="1"/>
  <c r="H44" i="4"/>
  <c r="I946" i="3"/>
  <c r="J945" i="3" s="1"/>
  <c r="H946" i="3"/>
  <c r="C948" i="3"/>
  <c r="F947" i="3"/>
  <c r="D947" i="3"/>
  <c r="B948" i="3"/>
  <c r="I947" i="3"/>
  <c r="J946" i="3" s="1"/>
  <c r="H947" i="3"/>
  <c r="I888" i="3"/>
  <c r="J887" i="3" s="1"/>
  <c r="H888" i="3"/>
  <c r="C890" i="3"/>
  <c r="F889" i="3"/>
  <c r="D889" i="3"/>
  <c r="B890" i="3"/>
  <c r="I889" i="3"/>
  <c r="J888" i="3" s="1"/>
  <c r="H889" i="3"/>
  <c r="I829" i="3"/>
  <c r="J828" i="3" s="1"/>
  <c r="H829" i="3"/>
  <c r="C831" i="3"/>
  <c r="F830" i="3"/>
  <c r="D830" i="3"/>
  <c r="B831" i="3"/>
  <c r="I830" i="3"/>
  <c r="J829" i="3" s="1"/>
  <c r="H830" i="3"/>
  <c r="I769" i="3"/>
  <c r="J768" i="3" s="1"/>
  <c r="H769" i="3"/>
  <c r="C771" i="3"/>
  <c r="F770" i="3"/>
  <c r="D770" i="3"/>
  <c r="B771" i="3"/>
  <c r="I770" i="3"/>
  <c r="J769" i="3" s="1"/>
  <c r="H770" i="3"/>
  <c r="I708" i="3"/>
  <c r="J707" i="3" s="1"/>
  <c r="H708" i="3"/>
  <c r="C710" i="3"/>
  <c r="F709" i="3"/>
  <c r="D709" i="3"/>
  <c r="B710" i="3"/>
  <c r="I709" i="3"/>
  <c r="J708" i="3" s="1"/>
  <c r="H709" i="3"/>
  <c r="I646" i="3"/>
  <c r="J645" i="3" s="1"/>
  <c r="H646" i="3"/>
  <c r="C648" i="3"/>
  <c r="F647" i="3"/>
  <c r="D647" i="3"/>
  <c r="B648" i="3"/>
  <c r="I647" i="3"/>
  <c r="J646" i="3" s="1"/>
  <c r="H647" i="3"/>
  <c r="I583" i="3"/>
  <c r="J582" i="3" s="1"/>
  <c r="H583" i="3"/>
  <c r="C585" i="3"/>
  <c r="F584" i="3"/>
  <c r="D584" i="3"/>
  <c r="B585" i="3"/>
  <c r="I584" i="3"/>
  <c r="J583" i="3" s="1"/>
  <c r="H584" i="3"/>
  <c r="I519" i="3"/>
  <c r="J518" i="3" s="1"/>
  <c r="H519" i="3"/>
  <c r="C521" i="3"/>
  <c r="F520" i="3"/>
  <c r="D520" i="3"/>
  <c r="B521" i="3"/>
  <c r="I520" i="3"/>
  <c r="J519" i="3" s="1"/>
  <c r="H520" i="3"/>
  <c r="I454" i="3"/>
  <c r="J453" i="3" s="1"/>
  <c r="H454" i="3"/>
  <c r="C456" i="3"/>
  <c r="F455" i="3"/>
  <c r="D455" i="3"/>
  <c r="B456" i="3"/>
  <c r="I455" i="3"/>
  <c r="J454" i="3" s="1"/>
  <c r="H455" i="3"/>
  <c r="I388" i="3"/>
  <c r="J387" i="3" s="1"/>
  <c r="H388" i="3"/>
  <c r="C390" i="3"/>
  <c r="F389" i="3"/>
  <c r="D389" i="3"/>
  <c r="B390" i="3"/>
  <c r="I389" i="3"/>
  <c r="J388" i="3" s="1"/>
  <c r="H389" i="3"/>
  <c r="I321" i="3"/>
  <c r="J320" i="3" s="1"/>
  <c r="H321" i="3"/>
  <c r="C323" i="3"/>
  <c r="F322" i="3"/>
  <c r="D322" i="3"/>
  <c r="B323" i="3"/>
  <c r="I322" i="3"/>
  <c r="J321" i="3" s="1"/>
  <c r="H322" i="3"/>
  <c r="I253" i="3"/>
  <c r="J252" i="3" s="1"/>
  <c r="H253" i="3"/>
  <c r="C255" i="3"/>
  <c r="F254" i="3"/>
  <c r="D254" i="3"/>
  <c r="B255" i="3"/>
  <c r="I254" i="3"/>
  <c r="J253" i="3" s="1"/>
  <c r="H254" i="3"/>
  <c r="I184" i="3"/>
  <c r="J183" i="3" s="1"/>
  <c r="H184" i="3"/>
  <c r="C186" i="3"/>
  <c r="F185" i="3"/>
  <c r="D185" i="3"/>
  <c r="B186" i="3"/>
  <c r="I185" i="3"/>
  <c r="J184" i="3" s="1"/>
  <c r="H185" i="3"/>
  <c r="I114" i="3"/>
  <c r="J113" i="3" s="1"/>
  <c r="H114" i="3"/>
  <c r="C116" i="3"/>
  <c r="F115" i="3"/>
  <c r="D115" i="3"/>
  <c r="B116" i="3"/>
  <c r="I115" i="3"/>
  <c r="J114" i="3" s="1"/>
  <c r="H115" i="3"/>
  <c r="I43" i="3"/>
  <c r="J42" i="3" s="1"/>
  <c r="H43" i="3"/>
  <c r="C45" i="3"/>
  <c r="F44" i="3"/>
  <c r="D44" i="3"/>
  <c r="B45" i="3"/>
  <c r="I44" i="3"/>
  <c r="J43" i="3" s="1"/>
  <c r="H44" i="3"/>
  <c r="I818" i="2"/>
  <c r="J817" i="2" s="1"/>
  <c r="H818" i="2"/>
  <c r="C820" i="2"/>
  <c r="F819" i="2"/>
  <c r="D819" i="2"/>
  <c r="B820" i="2"/>
  <c r="I819" i="2"/>
  <c r="J818" i="2" s="1"/>
  <c r="H819" i="2"/>
  <c r="I745" i="2"/>
  <c r="J744" i="2" s="1"/>
  <c r="H745" i="2"/>
  <c r="C747" i="2"/>
  <c r="F746" i="2"/>
  <c r="B747" i="2"/>
  <c r="I746" i="2"/>
  <c r="J745" i="2" s="1"/>
  <c r="H746" i="2"/>
  <c r="I671" i="2"/>
  <c r="J670" i="2" s="1"/>
  <c r="H671" i="2"/>
  <c r="C673" i="2"/>
  <c r="F672" i="2"/>
  <c r="B673" i="2"/>
  <c r="I672" i="2"/>
  <c r="J671" i="2" s="1"/>
  <c r="H672" i="2"/>
  <c r="I596" i="2"/>
  <c r="J595" i="2" s="1"/>
  <c r="H596" i="2"/>
  <c r="C598" i="2"/>
  <c r="F597" i="2"/>
  <c r="B598" i="2"/>
  <c r="I597" i="2"/>
  <c r="J596" i="2" s="1"/>
  <c r="H597" i="2"/>
  <c r="I520" i="2"/>
  <c r="J519" i="2" s="1"/>
  <c r="H520" i="2"/>
  <c r="C522" i="2"/>
  <c r="F521" i="2"/>
  <c r="D521" i="2"/>
  <c r="B522" i="2"/>
  <c r="I521" i="2"/>
  <c r="J520" i="2" s="1"/>
  <c r="H521" i="2"/>
  <c r="I443" i="2"/>
  <c r="J442" i="2" s="1"/>
  <c r="H443" i="2"/>
  <c r="C445" i="2"/>
  <c r="F444" i="2"/>
  <c r="D444" i="2"/>
  <c r="B445" i="2"/>
  <c r="I444" i="2"/>
  <c r="J443" i="2" s="1"/>
  <c r="H444" i="2"/>
  <c r="I365" i="2"/>
  <c r="J364" i="2" s="1"/>
  <c r="H365" i="2"/>
  <c r="C367" i="2"/>
  <c r="F366" i="2"/>
  <c r="D366" i="2"/>
  <c r="B367" i="2"/>
  <c r="I366" i="2"/>
  <c r="J365" i="2" s="1"/>
  <c r="H366" i="2"/>
  <c r="I286" i="2"/>
  <c r="J285" i="2" s="1"/>
  <c r="H286" i="2"/>
  <c r="C288" i="2"/>
  <c r="F287" i="2"/>
  <c r="D287" i="2"/>
  <c r="B288" i="2"/>
  <c r="I287" i="2"/>
  <c r="J286" i="2" s="1"/>
  <c r="H287" i="2"/>
  <c r="I206" i="2"/>
  <c r="J205" i="2" s="1"/>
  <c r="H206" i="2"/>
  <c r="C208" i="2"/>
  <c r="F207" i="2"/>
  <c r="D207" i="2"/>
  <c r="B208" i="2"/>
  <c r="I207" i="2"/>
  <c r="J206" i="2" s="1"/>
  <c r="H207" i="2"/>
  <c r="I125" i="2"/>
  <c r="J124" i="2" s="1"/>
  <c r="H125" i="2"/>
  <c r="C127" i="2"/>
  <c r="F126" i="2"/>
  <c r="D126" i="2"/>
  <c r="B127" i="2"/>
  <c r="I126" i="2"/>
  <c r="J125" i="2" s="1"/>
  <c r="H126" i="2"/>
  <c r="I43" i="2"/>
  <c r="J42" i="2" s="1"/>
  <c r="H43" i="2"/>
  <c r="C45" i="2"/>
  <c r="F44" i="2"/>
  <c r="D44" i="2"/>
  <c r="B45" i="2"/>
  <c r="I44" i="2"/>
  <c r="J43" i="2" s="1"/>
  <c r="H44" i="2"/>
  <c r="B46" i="2" l="1"/>
  <c r="C46" i="2"/>
  <c r="F45" i="2"/>
  <c r="D45" i="2"/>
  <c r="B128" i="2"/>
  <c r="C128" i="2"/>
  <c r="F127" i="2"/>
  <c r="D127" i="2"/>
  <c r="B209" i="2"/>
  <c r="C209" i="2"/>
  <c r="F208" i="2"/>
  <c r="D208" i="2"/>
  <c r="B289" i="2"/>
  <c r="C289" i="2"/>
  <c r="F288" i="2"/>
  <c r="D288" i="2"/>
  <c r="B368" i="2"/>
  <c r="C368" i="2"/>
  <c r="F367" i="2"/>
  <c r="D367" i="2"/>
  <c r="B446" i="2"/>
  <c r="C446" i="2"/>
  <c r="F445" i="2"/>
  <c r="D445" i="2"/>
  <c r="B523" i="2"/>
  <c r="C523" i="2"/>
  <c r="F522" i="2"/>
  <c r="D522" i="2"/>
  <c r="B599" i="2"/>
  <c r="C599" i="2"/>
  <c r="F598" i="2"/>
  <c r="B674" i="2"/>
  <c r="C674" i="2"/>
  <c r="F673" i="2"/>
  <c r="B748" i="2"/>
  <c r="C748" i="2"/>
  <c r="F747" i="2"/>
  <c r="B821" i="2"/>
  <c r="C821" i="2"/>
  <c r="F820" i="2"/>
  <c r="D820" i="2"/>
  <c r="B46" i="3"/>
  <c r="C46" i="3"/>
  <c r="F45" i="3"/>
  <c r="D45" i="3"/>
  <c r="B117" i="3"/>
  <c r="C117" i="3"/>
  <c r="F116" i="3"/>
  <c r="D116" i="3"/>
  <c r="B187" i="3"/>
  <c r="C187" i="3"/>
  <c r="F186" i="3"/>
  <c r="D186" i="3"/>
  <c r="B256" i="3"/>
  <c r="C256" i="3"/>
  <c r="F255" i="3"/>
  <c r="D255" i="3"/>
  <c r="B324" i="3"/>
  <c r="C324" i="3"/>
  <c r="F323" i="3"/>
  <c r="D323" i="3"/>
  <c r="B391" i="3"/>
  <c r="C391" i="3"/>
  <c r="F390" i="3"/>
  <c r="D390" i="3"/>
  <c r="B457" i="3"/>
  <c r="C457" i="3"/>
  <c r="F456" i="3"/>
  <c r="D456" i="3"/>
  <c r="B522" i="3"/>
  <c r="C522" i="3"/>
  <c r="F521" i="3"/>
  <c r="D521" i="3"/>
  <c r="B586" i="3"/>
  <c r="C586" i="3"/>
  <c r="F585" i="3"/>
  <c r="D585" i="3"/>
  <c r="B649" i="3"/>
  <c r="C649" i="3"/>
  <c r="F648" i="3"/>
  <c r="D648" i="3"/>
  <c r="B711" i="3"/>
  <c r="C711" i="3"/>
  <c r="F710" i="3"/>
  <c r="D710" i="3"/>
  <c r="B772" i="3"/>
  <c r="C772" i="3"/>
  <c r="F771" i="3"/>
  <c r="D771" i="3"/>
  <c r="B832" i="3"/>
  <c r="C832" i="3"/>
  <c r="F831" i="3"/>
  <c r="D831" i="3"/>
  <c r="B891" i="3"/>
  <c r="C891" i="3"/>
  <c r="F890" i="3"/>
  <c r="D890" i="3"/>
  <c r="B949" i="3"/>
  <c r="C949" i="3"/>
  <c r="F948" i="3"/>
  <c r="D948" i="3"/>
  <c r="B46" i="4"/>
  <c r="C46" i="4"/>
  <c r="F45" i="4"/>
  <c r="D45" i="4"/>
  <c r="B102" i="4"/>
  <c r="C102" i="4"/>
  <c r="F101" i="4"/>
  <c r="D101" i="4"/>
  <c r="F155" i="4"/>
  <c r="D155" i="4"/>
  <c r="H155" i="4" s="1"/>
  <c r="I155" i="4"/>
  <c r="J154" i="4" s="1"/>
  <c r="B157" i="4"/>
  <c r="C156" i="4"/>
  <c r="F209" i="4"/>
  <c r="D209" i="4"/>
  <c r="H209" i="4" s="1"/>
  <c r="I209" i="4"/>
  <c r="J208" i="4" s="1"/>
  <c r="B211" i="4"/>
  <c r="C210" i="4"/>
  <c r="F262" i="4"/>
  <c r="D262" i="4"/>
  <c r="H262" i="4" s="1"/>
  <c r="I262" i="4"/>
  <c r="J261" i="4" s="1"/>
  <c r="B264" i="4"/>
  <c r="C263" i="4"/>
  <c r="F314" i="4"/>
  <c r="D314" i="4"/>
  <c r="H314" i="4" s="1"/>
  <c r="I314" i="4"/>
  <c r="J313" i="4" s="1"/>
  <c r="B316" i="4"/>
  <c r="C315" i="4"/>
  <c r="F365" i="4"/>
  <c r="D365" i="4"/>
  <c r="H365" i="4" s="1"/>
  <c r="I365" i="4"/>
  <c r="J364" i="4" s="1"/>
  <c r="B367" i="4"/>
  <c r="C366" i="4"/>
  <c r="F415" i="4"/>
  <c r="D415" i="4"/>
  <c r="H415" i="4" s="1"/>
  <c r="I415" i="4"/>
  <c r="J414" i="4" s="1"/>
  <c r="B417" i="4"/>
  <c r="C416" i="4"/>
  <c r="F464" i="4"/>
  <c r="D464" i="4"/>
  <c r="H464" i="4" s="1"/>
  <c r="I464" i="4"/>
  <c r="J463" i="4" s="1"/>
  <c r="B466" i="4"/>
  <c r="C465" i="4"/>
  <c r="F512" i="4"/>
  <c r="D512" i="4"/>
  <c r="H512" i="4" s="1"/>
  <c r="I512" i="4"/>
  <c r="J511" i="4" s="1"/>
  <c r="B514" i="4"/>
  <c r="C513" i="4"/>
  <c r="B561" i="4"/>
  <c r="C561" i="4"/>
  <c r="F560" i="4"/>
  <c r="D560" i="4"/>
  <c r="F605" i="4"/>
  <c r="D605" i="4"/>
  <c r="H605" i="4" s="1"/>
  <c r="I605" i="4"/>
  <c r="J604" i="4" s="1"/>
  <c r="B607" i="4"/>
  <c r="C606" i="4"/>
  <c r="F650" i="4"/>
  <c r="D650" i="4"/>
  <c r="H650" i="4" s="1"/>
  <c r="I650" i="4"/>
  <c r="J649" i="4" s="1"/>
  <c r="B652" i="4"/>
  <c r="C651" i="4"/>
  <c r="F694" i="4"/>
  <c r="D694" i="4"/>
  <c r="H694" i="4" s="1"/>
  <c r="I694" i="4"/>
  <c r="J693" i="4" s="1"/>
  <c r="B696" i="4"/>
  <c r="C695" i="4"/>
  <c r="F737" i="4"/>
  <c r="D737" i="4"/>
  <c r="H737" i="4" s="1"/>
  <c r="I737" i="4"/>
  <c r="J736" i="4" s="1"/>
  <c r="B739" i="4"/>
  <c r="C738" i="4"/>
  <c r="F779" i="4"/>
  <c r="D779" i="4"/>
  <c r="H779" i="4" s="1"/>
  <c r="I779" i="4"/>
  <c r="J778" i="4" s="1"/>
  <c r="B781" i="4"/>
  <c r="C780" i="4"/>
  <c r="F820" i="4"/>
  <c r="D820" i="4"/>
  <c r="H820" i="4" s="1"/>
  <c r="I820" i="4"/>
  <c r="J819" i="4" s="1"/>
  <c r="B822" i="4"/>
  <c r="C821" i="4"/>
  <c r="F860" i="4"/>
  <c r="D860" i="4"/>
  <c r="H860" i="4" s="1"/>
  <c r="I860" i="4"/>
  <c r="J859" i="4" s="1"/>
  <c r="B862" i="4"/>
  <c r="C861" i="4"/>
  <c r="F899" i="4"/>
  <c r="D899" i="4"/>
  <c r="H899" i="4" s="1"/>
  <c r="I899" i="4"/>
  <c r="J898" i="4" s="1"/>
  <c r="B901" i="4"/>
  <c r="C900" i="4"/>
  <c r="F937" i="4"/>
  <c r="D937" i="4"/>
  <c r="H937" i="4" s="1"/>
  <c r="I937" i="4"/>
  <c r="J936" i="4" s="1"/>
  <c r="B939" i="4"/>
  <c r="C938" i="4"/>
  <c r="F44" i="5"/>
  <c r="D44" i="5"/>
  <c r="H44" i="5" s="1"/>
  <c r="I44" i="5"/>
  <c r="J43" i="5" s="1"/>
  <c r="C45" i="5"/>
  <c r="F80" i="5"/>
  <c r="D80" i="5"/>
  <c r="H80" i="5" s="1"/>
  <c r="I80" i="5"/>
  <c r="J79" i="5" s="1"/>
  <c r="F45" i="5" l="1"/>
  <c r="D45" i="5"/>
  <c r="H45" i="5" s="1"/>
  <c r="I45" i="5"/>
  <c r="J44" i="5" s="1"/>
  <c r="F938" i="4"/>
  <c r="D938" i="4"/>
  <c r="H938" i="4" s="1"/>
  <c r="I938" i="4"/>
  <c r="J937" i="4" s="1"/>
  <c r="C939" i="4"/>
  <c r="F900" i="4"/>
  <c r="D900" i="4"/>
  <c r="H900" i="4" s="1"/>
  <c r="I900" i="4"/>
  <c r="J899" i="4" s="1"/>
  <c r="B902" i="4"/>
  <c r="C901" i="4"/>
  <c r="F861" i="4"/>
  <c r="D861" i="4"/>
  <c r="H861" i="4" s="1"/>
  <c r="I861" i="4"/>
  <c r="J860" i="4" s="1"/>
  <c r="B863" i="4"/>
  <c r="C862" i="4"/>
  <c r="F821" i="4"/>
  <c r="D821" i="4"/>
  <c r="H821" i="4" s="1"/>
  <c r="I821" i="4"/>
  <c r="J820" i="4" s="1"/>
  <c r="B823" i="4"/>
  <c r="C822" i="4"/>
  <c r="F780" i="4"/>
  <c r="D780" i="4"/>
  <c r="H780" i="4" s="1"/>
  <c r="I780" i="4"/>
  <c r="J779" i="4" s="1"/>
  <c r="B782" i="4"/>
  <c r="C781" i="4"/>
  <c r="F738" i="4"/>
  <c r="D738" i="4"/>
  <c r="H738" i="4" s="1"/>
  <c r="I738" i="4"/>
  <c r="J737" i="4" s="1"/>
  <c r="B740" i="4"/>
  <c r="C739" i="4"/>
  <c r="F695" i="4"/>
  <c r="D695" i="4"/>
  <c r="H695" i="4" s="1"/>
  <c r="I695" i="4"/>
  <c r="J694" i="4" s="1"/>
  <c r="B697" i="4"/>
  <c r="C696" i="4"/>
  <c r="F651" i="4"/>
  <c r="D651" i="4"/>
  <c r="H651" i="4" s="1"/>
  <c r="I651" i="4"/>
  <c r="J650" i="4" s="1"/>
  <c r="B653" i="4"/>
  <c r="C652" i="4"/>
  <c r="F606" i="4"/>
  <c r="D606" i="4"/>
  <c r="H606" i="4" s="1"/>
  <c r="I606" i="4"/>
  <c r="J605" i="4" s="1"/>
  <c r="B608" i="4"/>
  <c r="C607" i="4"/>
  <c r="I560" i="4"/>
  <c r="J559" i="4" s="1"/>
  <c r="H560" i="4"/>
  <c r="C562" i="4"/>
  <c r="F561" i="4"/>
  <c r="D561" i="4"/>
  <c r="B562" i="4"/>
  <c r="I561" i="4"/>
  <c r="J560" i="4" s="1"/>
  <c r="H561" i="4"/>
  <c r="F513" i="4"/>
  <c r="D513" i="4"/>
  <c r="H513" i="4" s="1"/>
  <c r="I513" i="4"/>
  <c r="J512" i="4" s="1"/>
  <c r="B515" i="4"/>
  <c r="C514" i="4"/>
  <c r="F465" i="4"/>
  <c r="D465" i="4"/>
  <c r="H465" i="4" s="1"/>
  <c r="I465" i="4"/>
  <c r="J464" i="4" s="1"/>
  <c r="B467" i="4"/>
  <c r="C466" i="4"/>
  <c r="F416" i="4"/>
  <c r="D416" i="4"/>
  <c r="H416" i="4" s="1"/>
  <c r="I416" i="4"/>
  <c r="J415" i="4" s="1"/>
  <c r="B418" i="4"/>
  <c r="C417" i="4"/>
  <c r="F366" i="4"/>
  <c r="D366" i="4"/>
  <c r="H366" i="4" s="1"/>
  <c r="I366" i="4"/>
  <c r="J365" i="4" s="1"/>
  <c r="B368" i="4"/>
  <c r="C367" i="4"/>
  <c r="F315" i="4"/>
  <c r="D315" i="4"/>
  <c r="H315" i="4" s="1"/>
  <c r="I315" i="4"/>
  <c r="J314" i="4" s="1"/>
  <c r="B317" i="4"/>
  <c r="C316" i="4"/>
  <c r="F263" i="4"/>
  <c r="D263" i="4"/>
  <c r="H263" i="4" s="1"/>
  <c r="I263" i="4"/>
  <c r="J262" i="4" s="1"/>
  <c r="B265" i="4"/>
  <c r="C264" i="4"/>
  <c r="F210" i="4"/>
  <c r="D210" i="4"/>
  <c r="H210" i="4" s="1"/>
  <c r="I210" i="4"/>
  <c r="J209" i="4" s="1"/>
  <c r="B212" i="4"/>
  <c r="C211" i="4"/>
  <c r="F156" i="4"/>
  <c r="D156" i="4"/>
  <c r="H156" i="4" s="1"/>
  <c r="I156" i="4"/>
  <c r="J155" i="4" s="1"/>
  <c r="B158" i="4"/>
  <c r="C157" i="4"/>
  <c r="I101" i="4"/>
  <c r="J100" i="4" s="1"/>
  <c r="H101" i="4"/>
  <c r="C103" i="4"/>
  <c r="F102" i="4"/>
  <c r="D102" i="4"/>
  <c r="B103" i="4"/>
  <c r="I102" i="4"/>
  <c r="J101" i="4" s="1"/>
  <c r="H102" i="4"/>
  <c r="I45" i="4"/>
  <c r="J44" i="4" s="1"/>
  <c r="H45" i="4"/>
  <c r="C47" i="4"/>
  <c r="F46" i="4"/>
  <c r="D46" i="4"/>
  <c r="B47" i="4"/>
  <c r="I46" i="4"/>
  <c r="J45" i="4" s="1"/>
  <c r="H46" i="4"/>
  <c r="I948" i="3"/>
  <c r="J947" i="3" s="1"/>
  <c r="H948" i="3"/>
  <c r="C950" i="3"/>
  <c r="F949" i="3"/>
  <c r="D949" i="3"/>
  <c r="B950" i="3"/>
  <c r="I949" i="3"/>
  <c r="J948" i="3" s="1"/>
  <c r="H949" i="3"/>
  <c r="I890" i="3"/>
  <c r="J889" i="3" s="1"/>
  <c r="H890" i="3"/>
  <c r="C892" i="3"/>
  <c r="F891" i="3"/>
  <c r="D891" i="3"/>
  <c r="B892" i="3"/>
  <c r="I891" i="3"/>
  <c r="J890" i="3" s="1"/>
  <c r="H891" i="3"/>
  <c r="I831" i="3"/>
  <c r="J830" i="3" s="1"/>
  <c r="H831" i="3"/>
  <c r="C833" i="3"/>
  <c r="F832" i="3"/>
  <c r="D832" i="3"/>
  <c r="B833" i="3"/>
  <c r="I832" i="3"/>
  <c r="J831" i="3" s="1"/>
  <c r="H832" i="3"/>
  <c r="I771" i="3"/>
  <c r="J770" i="3" s="1"/>
  <c r="H771" i="3"/>
  <c r="C773" i="3"/>
  <c r="F772" i="3"/>
  <c r="D772" i="3"/>
  <c r="B773" i="3"/>
  <c r="I772" i="3"/>
  <c r="J771" i="3" s="1"/>
  <c r="H772" i="3"/>
  <c r="I710" i="3"/>
  <c r="J709" i="3" s="1"/>
  <c r="H710" i="3"/>
  <c r="C712" i="3"/>
  <c r="F711" i="3"/>
  <c r="D711" i="3"/>
  <c r="B712" i="3"/>
  <c r="I711" i="3"/>
  <c r="J710" i="3" s="1"/>
  <c r="H711" i="3"/>
  <c r="I648" i="3"/>
  <c r="J647" i="3" s="1"/>
  <c r="H648" i="3"/>
  <c r="C650" i="3"/>
  <c r="F649" i="3"/>
  <c r="D649" i="3"/>
  <c r="B650" i="3"/>
  <c r="I649" i="3"/>
  <c r="J648" i="3" s="1"/>
  <c r="H649" i="3"/>
  <c r="I585" i="3"/>
  <c r="J584" i="3" s="1"/>
  <c r="H585" i="3"/>
  <c r="C587" i="3"/>
  <c r="F586" i="3"/>
  <c r="D586" i="3"/>
  <c r="B587" i="3"/>
  <c r="I586" i="3"/>
  <c r="J585" i="3" s="1"/>
  <c r="H586" i="3"/>
  <c r="I521" i="3"/>
  <c r="J520" i="3" s="1"/>
  <c r="H521" i="3"/>
  <c r="C523" i="3"/>
  <c r="F522" i="3"/>
  <c r="D522" i="3"/>
  <c r="B523" i="3"/>
  <c r="I522" i="3"/>
  <c r="J521" i="3" s="1"/>
  <c r="H522" i="3"/>
  <c r="I456" i="3"/>
  <c r="J455" i="3" s="1"/>
  <c r="H456" i="3"/>
  <c r="C458" i="3"/>
  <c r="F457" i="3"/>
  <c r="D457" i="3"/>
  <c r="B458" i="3"/>
  <c r="I457" i="3"/>
  <c r="J456" i="3" s="1"/>
  <c r="H457" i="3"/>
  <c r="I390" i="3"/>
  <c r="J389" i="3" s="1"/>
  <c r="H390" i="3"/>
  <c r="C392" i="3"/>
  <c r="F391" i="3"/>
  <c r="D391" i="3"/>
  <c r="B392" i="3"/>
  <c r="I391" i="3"/>
  <c r="J390" i="3" s="1"/>
  <c r="H391" i="3"/>
  <c r="I323" i="3"/>
  <c r="J322" i="3" s="1"/>
  <c r="H323" i="3"/>
  <c r="C325" i="3"/>
  <c r="F324" i="3"/>
  <c r="D324" i="3"/>
  <c r="B325" i="3"/>
  <c r="I324" i="3"/>
  <c r="J323" i="3" s="1"/>
  <c r="H324" i="3"/>
  <c r="I255" i="3"/>
  <c r="J254" i="3" s="1"/>
  <c r="H255" i="3"/>
  <c r="C257" i="3"/>
  <c r="F256" i="3"/>
  <c r="D256" i="3"/>
  <c r="B257" i="3"/>
  <c r="I256" i="3"/>
  <c r="J255" i="3" s="1"/>
  <c r="H256" i="3"/>
  <c r="I186" i="3"/>
  <c r="J185" i="3" s="1"/>
  <c r="H186" i="3"/>
  <c r="C188" i="3"/>
  <c r="F187" i="3"/>
  <c r="D187" i="3"/>
  <c r="B188" i="3"/>
  <c r="I187" i="3"/>
  <c r="J186" i="3" s="1"/>
  <c r="H187" i="3"/>
  <c r="I116" i="3"/>
  <c r="J115" i="3" s="1"/>
  <c r="H116" i="3"/>
  <c r="C118" i="3"/>
  <c r="F117" i="3"/>
  <c r="D117" i="3"/>
  <c r="B118" i="3"/>
  <c r="I117" i="3"/>
  <c r="J116" i="3" s="1"/>
  <c r="H117" i="3"/>
  <c r="I45" i="3"/>
  <c r="J44" i="3" s="1"/>
  <c r="H45" i="3"/>
  <c r="C47" i="3"/>
  <c r="F46" i="3"/>
  <c r="D46" i="3"/>
  <c r="B47" i="3"/>
  <c r="I46" i="3"/>
  <c r="J45" i="3" s="1"/>
  <c r="H46" i="3"/>
  <c r="I820" i="2"/>
  <c r="J819" i="2" s="1"/>
  <c r="H820" i="2"/>
  <c r="C822" i="2"/>
  <c r="F821" i="2"/>
  <c r="D821" i="2"/>
  <c r="B822" i="2"/>
  <c r="I821" i="2"/>
  <c r="J820" i="2" s="1"/>
  <c r="H821" i="2"/>
  <c r="I747" i="2"/>
  <c r="J746" i="2" s="1"/>
  <c r="H747" i="2"/>
  <c r="C749" i="2"/>
  <c r="F748" i="2"/>
  <c r="B749" i="2"/>
  <c r="I748" i="2"/>
  <c r="J747" i="2" s="1"/>
  <c r="H748" i="2"/>
  <c r="I673" i="2"/>
  <c r="J672" i="2" s="1"/>
  <c r="H673" i="2"/>
  <c r="C675" i="2"/>
  <c r="F674" i="2"/>
  <c r="B675" i="2"/>
  <c r="I674" i="2"/>
  <c r="J673" i="2" s="1"/>
  <c r="H674" i="2"/>
  <c r="I598" i="2"/>
  <c r="J597" i="2" s="1"/>
  <c r="H598" i="2"/>
  <c r="C600" i="2"/>
  <c r="F599" i="2"/>
  <c r="B600" i="2"/>
  <c r="I599" i="2"/>
  <c r="J598" i="2" s="1"/>
  <c r="H599" i="2"/>
  <c r="I522" i="2"/>
  <c r="J521" i="2" s="1"/>
  <c r="H522" i="2"/>
  <c r="C524" i="2"/>
  <c r="F523" i="2"/>
  <c r="D523" i="2"/>
  <c r="B524" i="2"/>
  <c r="I523" i="2"/>
  <c r="J522" i="2" s="1"/>
  <c r="H523" i="2"/>
  <c r="I445" i="2"/>
  <c r="J444" i="2" s="1"/>
  <c r="H445" i="2"/>
  <c r="C447" i="2"/>
  <c r="F446" i="2"/>
  <c r="D446" i="2"/>
  <c r="B447" i="2"/>
  <c r="I446" i="2"/>
  <c r="J445" i="2" s="1"/>
  <c r="H446" i="2"/>
  <c r="I367" i="2"/>
  <c r="J366" i="2" s="1"/>
  <c r="H367" i="2"/>
  <c r="C369" i="2"/>
  <c r="F368" i="2"/>
  <c r="D368" i="2"/>
  <c r="B369" i="2"/>
  <c r="I368" i="2"/>
  <c r="J367" i="2" s="1"/>
  <c r="H368" i="2"/>
  <c r="I288" i="2"/>
  <c r="J287" i="2" s="1"/>
  <c r="H288" i="2"/>
  <c r="C290" i="2"/>
  <c r="F289" i="2"/>
  <c r="D289" i="2"/>
  <c r="B290" i="2"/>
  <c r="I289" i="2"/>
  <c r="J288" i="2" s="1"/>
  <c r="H289" i="2"/>
  <c r="I208" i="2"/>
  <c r="J207" i="2" s="1"/>
  <c r="H208" i="2"/>
  <c r="C210" i="2"/>
  <c r="F209" i="2"/>
  <c r="D209" i="2"/>
  <c r="B210" i="2"/>
  <c r="I209" i="2"/>
  <c r="J208" i="2" s="1"/>
  <c r="H209" i="2"/>
  <c r="I127" i="2"/>
  <c r="J126" i="2" s="1"/>
  <c r="H127" i="2"/>
  <c r="C129" i="2"/>
  <c r="F128" i="2"/>
  <c r="D128" i="2"/>
  <c r="B129" i="2"/>
  <c r="I128" i="2"/>
  <c r="J127" i="2" s="1"/>
  <c r="H128" i="2"/>
  <c r="I45" i="2"/>
  <c r="J44" i="2" s="1"/>
  <c r="H45" i="2"/>
  <c r="C47" i="2"/>
  <c r="F46" i="2"/>
  <c r="D46" i="2"/>
  <c r="B47" i="2"/>
  <c r="I46" i="2"/>
  <c r="J45" i="2" s="1"/>
  <c r="H46" i="2"/>
  <c r="B48" i="2" l="1"/>
  <c r="C48" i="2"/>
  <c r="F47" i="2"/>
  <c r="D47" i="2"/>
  <c r="B130" i="2"/>
  <c r="C130" i="2"/>
  <c r="F129" i="2"/>
  <c r="D129" i="2"/>
  <c r="B211" i="2"/>
  <c r="C211" i="2"/>
  <c r="F210" i="2"/>
  <c r="D210" i="2"/>
  <c r="B291" i="2"/>
  <c r="C291" i="2"/>
  <c r="F290" i="2"/>
  <c r="D290" i="2"/>
  <c r="B370" i="2"/>
  <c r="C370" i="2"/>
  <c r="F369" i="2"/>
  <c r="D369" i="2"/>
  <c r="B448" i="2"/>
  <c r="C448" i="2"/>
  <c r="F447" i="2"/>
  <c r="D447" i="2"/>
  <c r="B525" i="2"/>
  <c r="C525" i="2"/>
  <c r="F524" i="2"/>
  <c r="D524" i="2"/>
  <c r="B601" i="2"/>
  <c r="C601" i="2"/>
  <c r="F600" i="2"/>
  <c r="B676" i="2"/>
  <c r="C676" i="2"/>
  <c r="F675" i="2"/>
  <c r="B750" i="2"/>
  <c r="C750" i="2"/>
  <c r="F749" i="2"/>
  <c r="B823" i="2"/>
  <c r="C823" i="2"/>
  <c r="F822" i="2"/>
  <c r="D822" i="2"/>
  <c r="B48" i="3"/>
  <c r="C48" i="3"/>
  <c r="F47" i="3"/>
  <c r="D47" i="3"/>
  <c r="B119" i="3"/>
  <c r="C119" i="3"/>
  <c r="F118" i="3"/>
  <c r="D118" i="3"/>
  <c r="B189" i="3"/>
  <c r="C189" i="3"/>
  <c r="F188" i="3"/>
  <c r="D188" i="3"/>
  <c r="B258" i="3"/>
  <c r="C258" i="3"/>
  <c r="F257" i="3"/>
  <c r="D257" i="3"/>
  <c r="B326" i="3"/>
  <c r="C326" i="3"/>
  <c r="F325" i="3"/>
  <c r="D325" i="3"/>
  <c r="B393" i="3"/>
  <c r="C393" i="3"/>
  <c r="F392" i="3"/>
  <c r="D392" i="3"/>
  <c r="B459" i="3"/>
  <c r="C459" i="3"/>
  <c r="F458" i="3"/>
  <c r="D458" i="3"/>
  <c r="B524" i="3"/>
  <c r="C524" i="3"/>
  <c r="F523" i="3"/>
  <c r="D523" i="3"/>
  <c r="B588" i="3"/>
  <c r="C588" i="3"/>
  <c r="F587" i="3"/>
  <c r="D587" i="3"/>
  <c r="B651" i="3"/>
  <c r="C651" i="3"/>
  <c r="F650" i="3"/>
  <c r="D650" i="3"/>
  <c r="B713" i="3"/>
  <c r="C713" i="3"/>
  <c r="F712" i="3"/>
  <c r="D712" i="3"/>
  <c r="B774" i="3"/>
  <c r="C774" i="3"/>
  <c r="F773" i="3"/>
  <c r="D773" i="3"/>
  <c r="B834" i="3"/>
  <c r="C834" i="3"/>
  <c r="F833" i="3"/>
  <c r="D833" i="3"/>
  <c r="B893" i="3"/>
  <c r="C893" i="3"/>
  <c r="F892" i="3"/>
  <c r="D892" i="3"/>
  <c r="B951" i="3"/>
  <c r="C951" i="3"/>
  <c r="F950" i="3"/>
  <c r="D950" i="3"/>
  <c r="B48" i="4"/>
  <c r="C48" i="4"/>
  <c r="F47" i="4"/>
  <c r="D47" i="4"/>
  <c r="B104" i="4"/>
  <c r="C104" i="4"/>
  <c r="F103" i="4"/>
  <c r="D103" i="4"/>
  <c r="F157" i="4"/>
  <c r="D157" i="4"/>
  <c r="H157" i="4" s="1"/>
  <c r="I157" i="4"/>
  <c r="J156" i="4" s="1"/>
  <c r="B159" i="4"/>
  <c r="C158" i="4"/>
  <c r="F211" i="4"/>
  <c r="D211" i="4"/>
  <c r="H211" i="4" s="1"/>
  <c r="I211" i="4"/>
  <c r="J210" i="4" s="1"/>
  <c r="B213" i="4"/>
  <c r="C212" i="4"/>
  <c r="F264" i="4"/>
  <c r="D264" i="4"/>
  <c r="H264" i="4" s="1"/>
  <c r="I264" i="4"/>
  <c r="J263" i="4" s="1"/>
  <c r="B266" i="4"/>
  <c r="C265" i="4"/>
  <c r="F316" i="4"/>
  <c r="D316" i="4"/>
  <c r="H316" i="4" s="1"/>
  <c r="I316" i="4"/>
  <c r="J315" i="4" s="1"/>
  <c r="B318" i="4"/>
  <c r="C317" i="4"/>
  <c r="F367" i="4"/>
  <c r="D367" i="4"/>
  <c r="H367" i="4" s="1"/>
  <c r="I367" i="4"/>
  <c r="J366" i="4" s="1"/>
  <c r="B369" i="4"/>
  <c r="C368" i="4"/>
  <c r="F417" i="4"/>
  <c r="D417" i="4"/>
  <c r="H417" i="4" s="1"/>
  <c r="I417" i="4"/>
  <c r="J416" i="4" s="1"/>
  <c r="B419" i="4"/>
  <c r="C418" i="4"/>
  <c r="F466" i="4"/>
  <c r="D466" i="4"/>
  <c r="H466" i="4" s="1"/>
  <c r="I466" i="4"/>
  <c r="J465" i="4" s="1"/>
  <c r="B468" i="4"/>
  <c r="C467" i="4"/>
  <c r="F514" i="4"/>
  <c r="D514" i="4"/>
  <c r="H514" i="4" s="1"/>
  <c r="I514" i="4"/>
  <c r="J513" i="4" s="1"/>
  <c r="B516" i="4"/>
  <c r="C515" i="4"/>
  <c r="B563" i="4"/>
  <c r="C563" i="4"/>
  <c r="F562" i="4"/>
  <c r="D562" i="4"/>
  <c r="F607" i="4"/>
  <c r="D607" i="4"/>
  <c r="H607" i="4" s="1"/>
  <c r="I607" i="4"/>
  <c r="J606" i="4" s="1"/>
  <c r="B609" i="4"/>
  <c r="C608" i="4"/>
  <c r="F652" i="4"/>
  <c r="D652" i="4"/>
  <c r="H652" i="4" s="1"/>
  <c r="I652" i="4"/>
  <c r="J651" i="4" s="1"/>
  <c r="B654" i="4"/>
  <c r="C653" i="4"/>
  <c r="F696" i="4"/>
  <c r="D696" i="4"/>
  <c r="H696" i="4" s="1"/>
  <c r="I696" i="4"/>
  <c r="J695" i="4" s="1"/>
  <c r="B698" i="4"/>
  <c r="C697" i="4"/>
  <c r="F739" i="4"/>
  <c r="D739" i="4"/>
  <c r="H739" i="4" s="1"/>
  <c r="I739" i="4"/>
  <c r="J738" i="4" s="1"/>
  <c r="B741" i="4"/>
  <c r="C740" i="4"/>
  <c r="F781" i="4"/>
  <c r="D781" i="4"/>
  <c r="H781" i="4" s="1"/>
  <c r="I781" i="4"/>
  <c r="J780" i="4" s="1"/>
  <c r="B783" i="4"/>
  <c r="C782" i="4"/>
  <c r="F822" i="4"/>
  <c r="D822" i="4"/>
  <c r="H822" i="4" s="1"/>
  <c r="I822" i="4"/>
  <c r="J821" i="4" s="1"/>
  <c r="B824" i="4"/>
  <c r="C823" i="4"/>
  <c r="F862" i="4"/>
  <c r="D862" i="4"/>
  <c r="H862" i="4" s="1"/>
  <c r="I862" i="4"/>
  <c r="J861" i="4" s="1"/>
  <c r="B864" i="4"/>
  <c r="C863" i="4"/>
  <c r="F901" i="4"/>
  <c r="D901" i="4"/>
  <c r="H901" i="4" s="1"/>
  <c r="I901" i="4"/>
  <c r="J900" i="4" s="1"/>
  <c r="C902" i="4"/>
  <c r="F939" i="4"/>
  <c r="D939" i="4"/>
  <c r="H939" i="4" s="1"/>
  <c r="I939" i="4"/>
  <c r="J938" i="4" s="1"/>
  <c r="F902" i="4" l="1"/>
  <c r="D902" i="4"/>
  <c r="H902" i="4" s="1"/>
  <c r="I902" i="4"/>
  <c r="J901" i="4" s="1"/>
  <c r="F863" i="4"/>
  <c r="D863" i="4"/>
  <c r="H863" i="4" s="1"/>
  <c r="I863" i="4"/>
  <c r="J862" i="4" s="1"/>
  <c r="C864" i="4"/>
  <c r="F823" i="4"/>
  <c r="D823" i="4"/>
  <c r="H823" i="4" s="1"/>
  <c r="I823" i="4"/>
  <c r="J822" i="4" s="1"/>
  <c r="B825" i="4"/>
  <c r="C824" i="4"/>
  <c r="F782" i="4"/>
  <c r="D782" i="4"/>
  <c r="H782" i="4" s="1"/>
  <c r="I782" i="4"/>
  <c r="J781" i="4" s="1"/>
  <c r="B784" i="4"/>
  <c r="C783" i="4"/>
  <c r="F740" i="4"/>
  <c r="D740" i="4"/>
  <c r="H740" i="4" s="1"/>
  <c r="I740" i="4"/>
  <c r="J739" i="4" s="1"/>
  <c r="B742" i="4"/>
  <c r="C741" i="4"/>
  <c r="F697" i="4"/>
  <c r="D697" i="4"/>
  <c r="H697" i="4" s="1"/>
  <c r="I697" i="4"/>
  <c r="J696" i="4" s="1"/>
  <c r="B699" i="4"/>
  <c r="C698" i="4"/>
  <c r="F653" i="4"/>
  <c r="D653" i="4"/>
  <c r="H653" i="4" s="1"/>
  <c r="I653" i="4"/>
  <c r="J652" i="4" s="1"/>
  <c r="B655" i="4"/>
  <c r="C654" i="4"/>
  <c r="F608" i="4"/>
  <c r="D608" i="4"/>
  <c r="H608" i="4" s="1"/>
  <c r="I608" i="4"/>
  <c r="J607" i="4" s="1"/>
  <c r="B610" i="4"/>
  <c r="C609" i="4"/>
  <c r="I562" i="4"/>
  <c r="J561" i="4" s="1"/>
  <c r="H562" i="4"/>
  <c r="C564" i="4"/>
  <c r="F563" i="4"/>
  <c r="D563" i="4"/>
  <c r="B564" i="4"/>
  <c r="I563" i="4"/>
  <c r="J562" i="4" s="1"/>
  <c r="H563" i="4"/>
  <c r="F515" i="4"/>
  <c r="D515" i="4"/>
  <c r="H515" i="4" s="1"/>
  <c r="I515" i="4"/>
  <c r="J514" i="4" s="1"/>
  <c r="B517" i="4"/>
  <c r="C516" i="4"/>
  <c r="F467" i="4"/>
  <c r="D467" i="4"/>
  <c r="H467" i="4" s="1"/>
  <c r="I467" i="4"/>
  <c r="J466" i="4" s="1"/>
  <c r="B469" i="4"/>
  <c r="C468" i="4"/>
  <c r="F418" i="4"/>
  <c r="D418" i="4"/>
  <c r="H418" i="4" s="1"/>
  <c r="I418" i="4"/>
  <c r="J417" i="4" s="1"/>
  <c r="B420" i="4"/>
  <c r="C419" i="4"/>
  <c r="F368" i="4"/>
  <c r="D368" i="4"/>
  <c r="H368" i="4" s="1"/>
  <c r="I368" i="4"/>
  <c r="J367" i="4" s="1"/>
  <c r="B370" i="4"/>
  <c r="C369" i="4"/>
  <c r="F317" i="4"/>
  <c r="D317" i="4"/>
  <c r="H317" i="4" s="1"/>
  <c r="I317" i="4"/>
  <c r="J316" i="4" s="1"/>
  <c r="B319" i="4"/>
  <c r="C318" i="4"/>
  <c r="F265" i="4"/>
  <c r="D265" i="4"/>
  <c r="H265" i="4" s="1"/>
  <c r="I265" i="4"/>
  <c r="J264" i="4" s="1"/>
  <c r="B267" i="4"/>
  <c r="C266" i="4"/>
  <c r="F212" i="4"/>
  <c r="D212" i="4"/>
  <c r="H212" i="4" s="1"/>
  <c r="I212" i="4"/>
  <c r="J211" i="4" s="1"/>
  <c r="B214" i="4"/>
  <c r="C213" i="4"/>
  <c r="F158" i="4"/>
  <c r="D158" i="4"/>
  <c r="H158" i="4" s="1"/>
  <c r="I158" i="4"/>
  <c r="J157" i="4" s="1"/>
  <c r="B160" i="4"/>
  <c r="C159" i="4"/>
  <c r="I103" i="4"/>
  <c r="J102" i="4" s="1"/>
  <c r="H103" i="4"/>
  <c r="C105" i="4"/>
  <c r="F104" i="4"/>
  <c r="D104" i="4"/>
  <c r="B105" i="4"/>
  <c r="I104" i="4"/>
  <c r="J103" i="4" s="1"/>
  <c r="H104" i="4"/>
  <c r="I47" i="4"/>
  <c r="J46" i="4" s="1"/>
  <c r="H47" i="4"/>
  <c r="C49" i="4"/>
  <c r="F48" i="4"/>
  <c r="D48" i="4"/>
  <c r="B49" i="4"/>
  <c r="I48" i="4"/>
  <c r="J47" i="4" s="1"/>
  <c r="H48" i="4"/>
  <c r="I950" i="3"/>
  <c r="J949" i="3" s="1"/>
  <c r="H950" i="3"/>
  <c r="C952" i="3"/>
  <c r="F951" i="3"/>
  <c r="D951" i="3"/>
  <c r="B952" i="3"/>
  <c r="I951" i="3"/>
  <c r="J950" i="3" s="1"/>
  <c r="H951" i="3"/>
  <c r="I892" i="3"/>
  <c r="J891" i="3" s="1"/>
  <c r="H892" i="3"/>
  <c r="C894" i="3"/>
  <c r="F893" i="3"/>
  <c r="D893" i="3"/>
  <c r="B894" i="3"/>
  <c r="I893" i="3"/>
  <c r="J892" i="3" s="1"/>
  <c r="H893" i="3"/>
  <c r="I833" i="3"/>
  <c r="J832" i="3" s="1"/>
  <c r="H833" i="3"/>
  <c r="C835" i="3"/>
  <c r="F834" i="3"/>
  <c r="D834" i="3"/>
  <c r="B835" i="3"/>
  <c r="I834" i="3"/>
  <c r="J833" i="3" s="1"/>
  <c r="H834" i="3"/>
  <c r="I773" i="3"/>
  <c r="J772" i="3" s="1"/>
  <c r="H773" i="3"/>
  <c r="C775" i="3"/>
  <c r="F774" i="3"/>
  <c r="D774" i="3"/>
  <c r="B775" i="3"/>
  <c r="I774" i="3"/>
  <c r="J773" i="3" s="1"/>
  <c r="H774" i="3"/>
  <c r="I712" i="3"/>
  <c r="J711" i="3" s="1"/>
  <c r="H712" i="3"/>
  <c r="C714" i="3"/>
  <c r="F713" i="3"/>
  <c r="D713" i="3"/>
  <c r="B714" i="3"/>
  <c r="I713" i="3"/>
  <c r="J712" i="3" s="1"/>
  <c r="H713" i="3"/>
  <c r="I650" i="3"/>
  <c r="J649" i="3" s="1"/>
  <c r="H650" i="3"/>
  <c r="C652" i="3"/>
  <c r="F651" i="3"/>
  <c r="D651" i="3"/>
  <c r="B652" i="3"/>
  <c r="I651" i="3"/>
  <c r="J650" i="3" s="1"/>
  <c r="H651" i="3"/>
  <c r="I587" i="3"/>
  <c r="J586" i="3" s="1"/>
  <c r="H587" i="3"/>
  <c r="C589" i="3"/>
  <c r="F588" i="3"/>
  <c r="D588" i="3"/>
  <c r="B589" i="3"/>
  <c r="I588" i="3"/>
  <c r="J587" i="3" s="1"/>
  <c r="H588" i="3"/>
  <c r="I523" i="3"/>
  <c r="J522" i="3" s="1"/>
  <c r="H523" i="3"/>
  <c r="C525" i="3"/>
  <c r="F524" i="3"/>
  <c r="D524" i="3"/>
  <c r="B525" i="3"/>
  <c r="I524" i="3"/>
  <c r="J523" i="3" s="1"/>
  <c r="H524" i="3"/>
  <c r="I458" i="3"/>
  <c r="J457" i="3" s="1"/>
  <c r="H458" i="3"/>
  <c r="C460" i="3"/>
  <c r="F459" i="3"/>
  <c r="D459" i="3"/>
  <c r="B460" i="3"/>
  <c r="I459" i="3"/>
  <c r="J458" i="3" s="1"/>
  <c r="H459" i="3"/>
  <c r="I392" i="3"/>
  <c r="J391" i="3" s="1"/>
  <c r="H392" i="3"/>
  <c r="C394" i="3"/>
  <c r="F393" i="3"/>
  <c r="D393" i="3"/>
  <c r="B394" i="3"/>
  <c r="I393" i="3"/>
  <c r="J392" i="3" s="1"/>
  <c r="H393" i="3"/>
  <c r="I325" i="3"/>
  <c r="J324" i="3" s="1"/>
  <c r="H325" i="3"/>
  <c r="C327" i="3"/>
  <c r="F326" i="3"/>
  <c r="D326" i="3"/>
  <c r="B327" i="3"/>
  <c r="I326" i="3"/>
  <c r="J325" i="3" s="1"/>
  <c r="H326" i="3"/>
  <c r="I257" i="3"/>
  <c r="J256" i="3" s="1"/>
  <c r="H257" i="3"/>
  <c r="C259" i="3"/>
  <c r="F258" i="3"/>
  <c r="D258" i="3"/>
  <c r="B259" i="3"/>
  <c r="I258" i="3"/>
  <c r="J257" i="3" s="1"/>
  <c r="H258" i="3"/>
  <c r="I188" i="3"/>
  <c r="J187" i="3" s="1"/>
  <c r="H188" i="3"/>
  <c r="C190" i="3"/>
  <c r="F189" i="3"/>
  <c r="D189" i="3"/>
  <c r="B190" i="3"/>
  <c r="I189" i="3"/>
  <c r="J188" i="3" s="1"/>
  <c r="H189" i="3"/>
  <c r="I118" i="3"/>
  <c r="J117" i="3" s="1"/>
  <c r="H118" i="3"/>
  <c r="C120" i="3"/>
  <c r="F119" i="3"/>
  <c r="D119" i="3"/>
  <c r="B120" i="3"/>
  <c r="I119" i="3"/>
  <c r="J118" i="3" s="1"/>
  <c r="H119" i="3"/>
  <c r="I47" i="3"/>
  <c r="J46" i="3" s="1"/>
  <c r="H47" i="3"/>
  <c r="C49" i="3"/>
  <c r="F48" i="3"/>
  <c r="D48" i="3"/>
  <c r="B49" i="3"/>
  <c r="I48" i="3"/>
  <c r="J47" i="3" s="1"/>
  <c r="H48" i="3"/>
  <c r="I822" i="2"/>
  <c r="J821" i="2" s="1"/>
  <c r="H822" i="2"/>
  <c r="C824" i="2"/>
  <c r="F823" i="2"/>
  <c r="D823" i="2"/>
  <c r="B824" i="2"/>
  <c r="I823" i="2"/>
  <c r="J822" i="2" s="1"/>
  <c r="H823" i="2"/>
  <c r="I749" i="2"/>
  <c r="J748" i="2" s="1"/>
  <c r="H749" i="2"/>
  <c r="C751" i="2"/>
  <c r="F750" i="2"/>
  <c r="B751" i="2"/>
  <c r="I750" i="2"/>
  <c r="J749" i="2" s="1"/>
  <c r="H750" i="2"/>
  <c r="I675" i="2"/>
  <c r="J674" i="2" s="1"/>
  <c r="H675" i="2"/>
  <c r="C677" i="2"/>
  <c r="F676" i="2"/>
  <c r="B677" i="2"/>
  <c r="I676" i="2"/>
  <c r="J675" i="2" s="1"/>
  <c r="H676" i="2"/>
  <c r="I600" i="2"/>
  <c r="J599" i="2" s="1"/>
  <c r="H600" i="2"/>
  <c r="C602" i="2"/>
  <c r="F601" i="2"/>
  <c r="B602" i="2"/>
  <c r="I601" i="2"/>
  <c r="J600" i="2" s="1"/>
  <c r="H601" i="2"/>
  <c r="I524" i="2"/>
  <c r="J523" i="2" s="1"/>
  <c r="H524" i="2"/>
  <c r="C526" i="2"/>
  <c r="F525" i="2"/>
  <c r="D525" i="2"/>
  <c r="B526" i="2"/>
  <c r="I525" i="2"/>
  <c r="J524" i="2" s="1"/>
  <c r="H525" i="2"/>
  <c r="I447" i="2"/>
  <c r="J446" i="2" s="1"/>
  <c r="H447" i="2"/>
  <c r="C449" i="2"/>
  <c r="F448" i="2"/>
  <c r="D448" i="2"/>
  <c r="B449" i="2"/>
  <c r="I448" i="2"/>
  <c r="J447" i="2" s="1"/>
  <c r="H448" i="2"/>
  <c r="I369" i="2"/>
  <c r="J368" i="2" s="1"/>
  <c r="H369" i="2"/>
  <c r="C371" i="2"/>
  <c r="F370" i="2"/>
  <c r="D370" i="2"/>
  <c r="B371" i="2"/>
  <c r="I370" i="2"/>
  <c r="J369" i="2" s="1"/>
  <c r="H370" i="2"/>
  <c r="I290" i="2"/>
  <c r="J289" i="2" s="1"/>
  <c r="H290" i="2"/>
  <c r="C292" i="2"/>
  <c r="F291" i="2"/>
  <c r="D291" i="2"/>
  <c r="B292" i="2"/>
  <c r="I291" i="2"/>
  <c r="J290" i="2" s="1"/>
  <c r="H291" i="2"/>
  <c r="I210" i="2"/>
  <c r="J209" i="2" s="1"/>
  <c r="H210" i="2"/>
  <c r="C212" i="2"/>
  <c r="F211" i="2"/>
  <c r="D211" i="2"/>
  <c r="B212" i="2"/>
  <c r="I211" i="2"/>
  <c r="J210" i="2" s="1"/>
  <c r="H211" i="2"/>
  <c r="I129" i="2"/>
  <c r="J128" i="2" s="1"/>
  <c r="H129" i="2"/>
  <c r="C131" i="2"/>
  <c r="F130" i="2"/>
  <c r="D130" i="2"/>
  <c r="B131" i="2"/>
  <c r="I130" i="2"/>
  <c r="J129" i="2" s="1"/>
  <c r="H130" i="2"/>
  <c r="I47" i="2"/>
  <c r="J46" i="2" s="1"/>
  <c r="H47" i="2"/>
  <c r="C49" i="2"/>
  <c r="F48" i="2"/>
  <c r="D48" i="2"/>
  <c r="B49" i="2"/>
  <c r="I48" i="2"/>
  <c r="J47" i="2" s="1"/>
  <c r="H48" i="2"/>
  <c r="B50" i="2" l="1"/>
  <c r="C50" i="2"/>
  <c r="F49" i="2"/>
  <c r="D49" i="2"/>
  <c r="B132" i="2"/>
  <c r="C132" i="2"/>
  <c r="F131" i="2"/>
  <c r="D131" i="2"/>
  <c r="B213" i="2"/>
  <c r="C213" i="2"/>
  <c r="F212" i="2"/>
  <c r="D212" i="2"/>
  <c r="B293" i="2"/>
  <c r="C293" i="2"/>
  <c r="F292" i="2"/>
  <c r="D292" i="2"/>
  <c r="B372" i="2"/>
  <c r="C372" i="2"/>
  <c r="F371" i="2"/>
  <c r="D371" i="2"/>
  <c r="B450" i="2"/>
  <c r="C450" i="2"/>
  <c r="F449" i="2"/>
  <c r="D449" i="2"/>
  <c r="B527" i="2"/>
  <c r="C527" i="2"/>
  <c r="F526" i="2"/>
  <c r="D526" i="2"/>
  <c r="B603" i="2"/>
  <c r="C603" i="2"/>
  <c r="F602" i="2"/>
  <c r="B678" i="2"/>
  <c r="C678" i="2"/>
  <c r="F677" i="2"/>
  <c r="B752" i="2"/>
  <c r="C752" i="2"/>
  <c r="F751" i="2"/>
  <c r="B825" i="2"/>
  <c r="C825" i="2"/>
  <c r="F824" i="2"/>
  <c r="D824" i="2"/>
  <c r="B50" i="3"/>
  <c r="C50" i="3"/>
  <c r="F49" i="3"/>
  <c r="D49" i="3"/>
  <c r="B121" i="3"/>
  <c r="C121" i="3"/>
  <c r="F120" i="3"/>
  <c r="D120" i="3"/>
  <c r="B191" i="3"/>
  <c r="C191" i="3"/>
  <c r="F190" i="3"/>
  <c r="D190" i="3"/>
  <c r="B260" i="3"/>
  <c r="C260" i="3"/>
  <c r="F259" i="3"/>
  <c r="D259" i="3"/>
  <c r="B328" i="3"/>
  <c r="C328" i="3"/>
  <c r="F327" i="3"/>
  <c r="D327" i="3"/>
  <c r="B395" i="3"/>
  <c r="C395" i="3"/>
  <c r="F394" i="3"/>
  <c r="D394" i="3"/>
  <c r="B461" i="3"/>
  <c r="C461" i="3"/>
  <c r="F460" i="3"/>
  <c r="D460" i="3"/>
  <c r="B526" i="3"/>
  <c r="C526" i="3"/>
  <c r="F525" i="3"/>
  <c r="D525" i="3"/>
  <c r="B590" i="3"/>
  <c r="C590" i="3"/>
  <c r="F589" i="3"/>
  <c r="D589" i="3"/>
  <c r="B653" i="3"/>
  <c r="C653" i="3"/>
  <c r="F652" i="3"/>
  <c r="D652" i="3"/>
  <c r="B715" i="3"/>
  <c r="C715" i="3"/>
  <c r="F714" i="3"/>
  <c r="D714" i="3"/>
  <c r="B776" i="3"/>
  <c r="C776" i="3"/>
  <c r="F775" i="3"/>
  <c r="D775" i="3"/>
  <c r="B836" i="3"/>
  <c r="C836" i="3"/>
  <c r="F835" i="3"/>
  <c r="D835" i="3"/>
  <c r="B895" i="3"/>
  <c r="C895" i="3"/>
  <c r="F894" i="3"/>
  <c r="D894" i="3"/>
  <c r="B953" i="3"/>
  <c r="C953" i="3"/>
  <c r="F952" i="3"/>
  <c r="D952" i="3"/>
  <c r="B50" i="4"/>
  <c r="C50" i="4"/>
  <c r="F49" i="4"/>
  <c r="D49" i="4"/>
  <c r="B106" i="4"/>
  <c r="C106" i="4"/>
  <c r="F105" i="4"/>
  <c r="D105" i="4"/>
  <c r="F159" i="4"/>
  <c r="D159" i="4"/>
  <c r="H159" i="4" s="1"/>
  <c r="I159" i="4"/>
  <c r="J158" i="4" s="1"/>
  <c r="B161" i="4"/>
  <c r="C160" i="4"/>
  <c r="F213" i="4"/>
  <c r="D213" i="4"/>
  <c r="H213" i="4" s="1"/>
  <c r="I213" i="4"/>
  <c r="J212" i="4" s="1"/>
  <c r="B215" i="4"/>
  <c r="C214" i="4"/>
  <c r="F266" i="4"/>
  <c r="D266" i="4"/>
  <c r="H266" i="4" s="1"/>
  <c r="I266" i="4"/>
  <c r="J265" i="4" s="1"/>
  <c r="B268" i="4"/>
  <c r="C267" i="4"/>
  <c r="F318" i="4"/>
  <c r="D318" i="4"/>
  <c r="H318" i="4" s="1"/>
  <c r="I318" i="4"/>
  <c r="J317" i="4" s="1"/>
  <c r="B320" i="4"/>
  <c r="C319" i="4"/>
  <c r="F369" i="4"/>
  <c r="D369" i="4"/>
  <c r="H369" i="4" s="1"/>
  <c r="I369" i="4"/>
  <c r="J368" i="4" s="1"/>
  <c r="B371" i="4"/>
  <c r="C370" i="4"/>
  <c r="F419" i="4"/>
  <c r="D419" i="4"/>
  <c r="H419" i="4" s="1"/>
  <c r="I419" i="4"/>
  <c r="J418" i="4" s="1"/>
  <c r="B421" i="4"/>
  <c r="C420" i="4"/>
  <c r="F468" i="4"/>
  <c r="D468" i="4"/>
  <c r="H468" i="4" s="1"/>
  <c r="I468" i="4"/>
  <c r="J467" i="4" s="1"/>
  <c r="B470" i="4"/>
  <c r="C469" i="4"/>
  <c r="F516" i="4"/>
  <c r="D516" i="4"/>
  <c r="H516" i="4" s="1"/>
  <c r="I516" i="4"/>
  <c r="J515" i="4" s="1"/>
  <c r="B518" i="4"/>
  <c r="C517" i="4"/>
  <c r="B565" i="4"/>
  <c r="C565" i="4"/>
  <c r="F564" i="4"/>
  <c r="D564" i="4"/>
  <c r="F609" i="4"/>
  <c r="D609" i="4"/>
  <c r="H609" i="4" s="1"/>
  <c r="I609" i="4"/>
  <c r="J608" i="4" s="1"/>
  <c r="B611" i="4"/>
  <c r="C610" i="4"/>
  <c r="F654" i="4"/>
  <c r="D654" i="4"/>
  <c r="H654" i="4" s="1"/>
  <c r="I654" i="4"/>
  <c r="J653" i="4" s="1"/>
  <c r="B656" i="4"/>
  <c r="C655" i="4"/>
  <c r="F698" i="4"/>
  <c r="D698" i="4"/>
  <c r="H698" i="4" s="1"/>
  <c r="I698" i="4"/>
  <c r="J697" i="4" s="1"/>
  <c r="B700" i="4"/>
  <c r="C699" i="4"/>
  <c r="F741" i="4"/>
  <c r="D741" i="4"/>
  <c r="H741" i="4" s="1"/>
  <c r="I741" i="4"/>
  <c r="J740" i="4" s="1"/>
  <c r="B743" i="4"/>
  <c r="C742" i="4"/>
  <c r="F783" i="4"/>
  <c r="D783" i="4"/>
  <c r="H783" i="4" s="1"/>
  <c r="I783" i="4"/>
  <c r="J782" i="4" s="1"/>
  <c r="B785" i="4"/>
  <c r="C784" i="4"/>
  <c r="F824" i="4"/>
  <c r="D824" i="4"/>
  <c r="H824" i="4" s="1"/>
  <c r="I824" i="4"/>
  <c r="J823" i="4" s="1"/>
  <c r="C825" i="4"/>
  <c r="F864" i="4"/>
  <c r="D864" i="4"/>
  <c r="H864" i="4" s="1"/>
  <c r="I864" i="4"/>
  <c r="J863" i="4" s="1"/>
  <c r="F825" i="4" l="1"/>
  <c r="D825" i="4"/>
  <c r="H825" i="4" s="1"/>
  <c r="I825" i="4"/>
  <c r="J824" i="4" s="1"/>
  <c r="F784" i="4"/>
  <c r="D784" i="4"/>
  <c r="H784" i="4" s="1"/>
  <c r="I784" i="4"/>
  <c r="J783" i="4" s="1"/>
  <c r="C785" i="4"/>
  <c r="F742" i="4"/>
  <c r="D742" i="4"/>
  <c r="H742" i="4" s="1"/>
  <c r="I742" i="4"/>
  <c r="J741" i="4" s="1"/>
  <c r="B744" i="4"/>
  <c r="C743" i="4"/>
  <c r="F699" i="4"/>
  <c r="D699" i="4"/>
  <c r="H699" i="4" s="1"/>
  <c r="I699" i="4"/>
  <c r="J698" i="4" s="1"/>
  <c r="B701" i="4"/>
  <c r="C700" i="4"/>
  <c r="F655" i="4"/>
  <c r="D655" i="4"/>
  <c r="H655" i="4" s="1"/>
  <c r="I655" i="4"/>
  <c r="J654" i="4" s="1"/>
  <c r="B657" i="4"/>
  <c r="C656" i="4"/>
  <c r="F610" i="4"/>
  <c r="D610" i="4"/>
  <c r="H610" i="4" s="1"/>
  <c r="I610" i="4"/>
  <c r="J609" i="4" s="1"/>
  <c r="B612" i="4"/>
  <c r="C611" i="4"/>
  <c r="I564" i="4"/>
  <c r="J563" i="4" s="1"/>
  <c r="H564" i="4"/>
  <c r="C566" i="4"/>
  <c r="F565" i="4"/>
  <c r="D565" i="4"/>
  <c r="B566" i="4"/>
  <c r="I565" i="4"/>
  <c r="J564" i="4" s="1"/>
  <c r="H565" i="4"/>
  <c r="F517" i="4"/>
  <c r="D517" i="4"/>
  <c r="H517" i="4" s="1"/>
  <c r="I517" i="4"/>
  <c r="J516" i="4" s="1"/>
  <c r="B519" i="4"/>
  <c r="C518" i="4"/>
  <c r="F469" i="4"/>
  <c r="D469" i="4"/>
  <c r="H469" i="4" s="1"/>
  <c r="I469" i="4"/>
  <c r="J468" i="4" s="1"/>
  <c r="B471" i="4"/>
  <c r="C470" i="4"/>
  <c r="F420" i="4"/>
  <c r="D420" i="4"/>
  <c r="H420" i="4" s="1"/>
  <c r="I420" i="4"/>
  <c r="J419" i="4" s="1"/>
  <c r="B422" i="4"/>
  <c r="C421" i="4"/>
  <c r="F370" i="4"/>
  <c r="D370" i="4"/>
  <c r="H370" i="4" s="1"/>
  <c r="I370" i="4"/>
  <c r="J369" i="4" s="1"/>
  <c r="B372" i="4"/>
  <c r="C371" i="4"/>
  <c r="F319" i="4"/>
  <c r="D319" i="4"/>
  <c r="H319" i="4" s="1"/>
  <c r="I319" i="4"/>
  <c r="J318" i="4" s="1"/>
  <c r="B321" i="4"/>
  <c r="C320" i="4"/>
  <c r="F267" i="4"/>
  <c r="D267" i="4"/>
  <c r="H267" i="4" s="1"/>
  <c r="I267" i="4"/>
  <c r="J266" i="4" s="1"/>
  <c r="B269" i="4"/>
  <c r="C268" i="4"/>
  <c r="F214" i="4"/>
  <c r="D214" i="4"/>
  <c r="H214" i="4" s="1"/>
  <c r="I214" i="4"/>
  <c r="J213" i="4" s="1"/>
  <c r="B216" i="4"/>
  <c r="C215" i="4"/>
  <c r="F160" i="4"/>
  <c r="D160" i="4"/>
  <c r="H160" i="4" s="1"/>
  <c r="I160" i="4"/>
  <c r="J159" i="4" s="1"/>
  <c r="B162" i="4"/>
  <c r="C161" i="4"/>
  <c r="I105" i="4"/>
  <c r="J104" i="4" s="1"/>
  <c r="H105" i="4"/>
  <c r="C107" i="4"/>
  <c r="F106" i="4"/>
  <c r="D106" i="4"/>
  <c r="B107" i="4"/>
  <c r="I106" i="4"/>
  <c r="J105" i="4" s="1"/>
  <c r="H106" i="4"/>
  <c r="I49" i="4"/>
  <c r="J48" i="4" s="1"/>
  <c r="H49" i="4"/>
  <c r="C51" i="4"/>
  <c r="F50" i="4"/>
  <c r="D50" i="4"/>
  <c r="B51" i="4"/>
  <c r="I50" i="4"/>
  <c r="J49" i="4" s="1"/>
  <c r="H50" i="4"/>
  <c r="I952" i="3"/>
  <c r="J951" i="3" s="1"/>
  <c r="H952" i="3"/>
  <c r="C954" i="3"/>
  <c r="F953" i="3"/>
  <c r="D953" i="3"/>
  <c r="B954" i="3"/>
  <c r="I953" i="3"/>
  <c r="J952" i="3" s="1"/>
  <c r="H953" i="3"/>
  <c r="I894" i="3"/>
  <c r="J893" i="3" s="1"/>
  <c r="H894" i="3"/>
  <c r="C896" i="3"/>
  <c r="F895" i="3"/>
  <c r="D895" i="3"/>
  <c r="B896" i="3"/>
  <c r="I895" i="3"/>
  <c r="J894" i="3" s="1"/>
  <c r="H895" i="3"/>
  <c r="I835" i="3"/>
  <c r="J834" i="3" s="1"/>
  <c r="H835" i="3"/>
  <c r="C837" i="3"/>
  <c r="F836" i="3"/>
  <c r="D836" i="3"/>
  <c r="B837" i="3"/>
  <c r="I836" i="3"/>
  <c r="J835" i="3" s="1"/>
  <c r="H836" i="3"/>
  <c r="I775" i="3"/>
  <c r="J774" i="3" s="1"/>
  <c r="H775" i="3"/>
  <c r="C777" i="3"/>
  <c r="F776" i="3"/>
  <c r="D776" i="3"/>
  <c r="B777" i="3"/>
  <c r="I776" i="3"/>
  <c r="J775" i="3" s="1"/>
  <c r="H776" i="3"/>
  <c r="I714" i="3"/>
  <c r="J713" i="3" s="1"/>
  <c r="H714" i="3"/>
  <c r="C716" i="3"/>
  <c r="F715" i="3"/>
  <c r="D715" i="3"/>
  <c r="B716" i="3"/>
  <c r="I715" i="3"/>
  <c r="J714" i="3" s="1"/>
  <c r="H715" i="3"/>
  <c r="I652" i="3"/>
  <c r="J651" i="3" s="1"/>
  <c r="H652" i="3"/>
  <c r="C654" i="3"/>
  <c r="F653" i="3"/>
  <c r="D653" i="3"/>
  <c r="B654" i="3"/>
  <c r="I653" i="3"/>
  <c r="J652" i="3" s="1"/>
  <c r="H653" i="3"/>
  <c r="I589" i="3"/>
  <c r="J588" i="3" s="1"/>
  <c r="H589" i="3"/>
  <c r="C591" i="3"/>
  <c r="F590" i="3"/>
  <c r="D590" i="3"/>
  <c r="B591" i="3"/>
  <c r="I590" i="3"/>
  <c r="J589" i="3" s="1"/>
  <c r="H590" i="3"/>
  <c r="I525" i="3"/>
  <c r="J524" i="3" s="1"/>
  <c r="H525" i="3"/>
  <c r="C527" i="3"/>
  <c r="F526" i="3"/>
  <c r="D526" i="3"/>
  <c r="B527" i="3"/>
  <c r="I526" i="3"/>
  <c r="J525" i="3" s="1"/>
  <c r="H526" i="3"/>
  <c r="I460" i="3"/>
  <c r="J459" i="3" s="1"/>
  <c r="H460" i="3"/>
  <c r="C462" i="3"/>
  <c r="F461" i="3"/>
  <c r="D461" i="3"/>
  <c r="B462" i="3"/>
  <c r="I461" i="3"/>
  <c r="J460" i="3" s="1"/>
  <c r="H461" i="3"/>
  <c r="I394" i="3"/>
  <c r="J393" i="3" s="1"/>
  <c r="H394" i="3"/>
  <c r="C396" i="3"/>
  <c r="F395" i="3"/>
  <c r="D395" i="3"/>
  <c r="B396" i="3"/>
  <c r="I395" i="3"/>
  <c r="J394" i="3" s="1"/>
  <c r="H395" i="3"/>
  <c r="I327" i="3"/>
  <c r="J326" i="3" s="1"/>
  <c r="H327" i="3"/>
  <c r="C329" i="3"/>
  <c r="F328" i="3"/>
  <c r="D328" i="3"/>
  <c r="B329" i="3"/>
  <c r="I328" i="3"/>
  <c r="J327" i="3" s="1"/>
  <c r="H328" i="3"/>
  <c r="I259" i="3"/>
  <c r="J258" i="3" s="1"/>
  <c r="H259" i="3"/>
  <c r="C261" i="3"/>
  <c r="F260" i="3"/>
  <c r="D260" i="3"/>
  <c r="B261" i="3"/>
  <c r="I260" i="3"/>
  <c r="J259" i="3" s="1"/>
  <c r="H260" i="3"/>
  <c r="I190" i="3"/>
  <c r="J189" i="3" s="1"/>
  <c r="H190" i="3"/>
  <c r="C192" i="3"/>
  <c r="F191" i="3"/>
  <c r="D191" i="3"/>
  <c r="B192" i="3"/>
  <c r="I191" i="3"/>
  <c r="J190" i="3" s="1"/>
  <c r="H191" i="3"/>
  <c r="I120" i="3"/>
  <c r="J119" i="3" s="1"/>
  <c r="H120" i="3"/>
  <c r="C122" i="3"/>
  <c r="F121" i="3"/>
  <c r="D121" i="3"/>
  <c r="B122" i="3"/>
  <c r="I121" i="3"/>
  <c r="J120" i="3" s="1"/>
  <c r="H121" i="3"/>
  <c r="I49" i="3"/>
  <c r="J48" i="3" s="1"/>
  <c r="H49" i="3"/>
  <c r="C51" i="3"/>
  <c r="F50" i="3"/>
  <c r="D50" i="3"/>
  <c r="B51" i="3"/>
  <c r="I50" i="3"/>
  <c r="J49" i="3" s="1"/>
  <c r="H50" i="3"/>
  <c r="I824" i="2"/>
  <c r="J823" i="2" s="1"/>
  <c r="H824" i="2"/>
  <c r="C826" i="2"/>
  <c r="F825" i="2"/>
  <c r="D825" i="2"/>
  <c r="B826" i="2"/>
  <c r="I825" i="2"/>
  <c r="J824" i="2" s="1"/>
  <c r="H825" i="2"/>
  <c r="I751" i="2"/>
  <c r="J750" i="2" s="1"/>
  <c r="H751" i="2"/>
  <c r="C753" i="2"/>
  <c r="F752" i="2"/>
  <c r="B753" i="2"/>
  <c r="I752" i="2"/>
  <c r="J751" i="2" s="1"/>
  <c r="H752" i="2"/>
  <c r="I677" i="2"/>
  <c r="J676" i="2" s="1"/>
  <c r="H677" i="2"/>
  <c r="C679" i="2"/>
  <c r="F678" i="2"/>
  <c r="B679" i="2"/>
  <c r="I678" i="2"/>
  <c r="J677" i="2" s="1"/>
  <c r="H678" i="2"/>
  <c r="I602" i="2"/>
  <c r="J601" i="2" s="1"/>
  <c r="H602" i="2"/>
  <c r="C604" i="2"/>
  <c r="F603" i="2"/>
  <c r="B604" i="2"/>
  <c r="I603" i="2"/>
  <c r="J602" i="2" s="1"/>
  <c r="H603" i="2"/>
  <c r="I526" i="2"/>
  <c r="J525" i="2" s="1"/>
  <c r="H526" i="2"/>
  <c r="C528" i="2"/>
  <c r="F527" i="2"/>
  <c r="D527" i="2"/>
  <c r="B528" i="2"/>
  <c r="I527" i="2"/>
  <c r="J526" i="2" s="1"/>
  <c r="H527" i="2"/>
  <c r="I449" i="2"/>
  <c r="J448" i="2" s="1"/>
  <c r="H449" i="2"/>
  <c r="C451" i="2"/>
  <c r="F450" i="2"/>
  <c r="D450" i="2"/>
  <c r="B451" i="2"/>
  <c r="I450" i="2"/>
  <c r="J449" i="2" s="1"/>
  <c r="H450" i="2"/>
  <c r="I371" i="2"/>
  <c r="J370" i="2" s="1"/>
  <c r="H371" i="2"/>
  <c r="C373" i="2"/>
  <c r="F372" i="2"/>
  <c r="D372" i="2"/>
  <c r="B373" i="2"/>
  <c r="I372" i="2"/>
  <c r="J371" i="2" s="1"/>
  <c r="H372" i="2"/>
  <c r="I292" i="2"/>
  <c r="J291" i="2" s="1"/>
  <c r="H292" i="2"/>
  <c r="C294" i="2"/>
  <c r="F293" i="2"/>
  <c r="D293" i="2"/>
  <c r="B294" i="2"/>
  <c r="I293" i="2"/>
  <c r="J292" i="2" s="1"/>
  <c r="H293" i="2"/>
  <c r="I212" i="2"/>
  <c r="J211" i="2" s="1"/>
  <c r="H212" i="2"/>
  <c r="C214" i="2"/>
  <c r="F213" i="2"/>
  <c r="D213" i="2"/>
  <c r="B214" i="2"/>
  <c r="I213" i="2"/>
  <c r="J212" i="2" s="1"/>
  <c r="H213" i="2"/>
  <c r="I131" i="2"/>
  <c r="J130" i="2" s="1"/>
  <c r="H131" i="2"/>
  <c r="C133" i="2"/>
  <c r="F132" i="2"/>
  <c r="D132" i="2"/>
  <c r="B133" i="2"/>
  <c r="I132" i="2"/>
  <c r="J131" i="2" s="1"/>
  <c r="H132" i="2"/>
  <c r="I49" i="2"/>
  <c r="J48" i="2" s="1"/>
  <c r="H49" i="2"/>
  <c r="C51" i="2"/>
  <c r="F50" i="2"/>
  <c r="D50" i="2"/>
  <c r="B51" i="2"/>
  <c r="I50" i="2"/>
  <c r="J49" i="2" s="1"/>
  <c r="H50" i="2"/>
  <c r="B52" i="2" l="1"/>
  <c r="C52" i="2"/>
  <c r="F51" i="2"/>
  <c r="D51" i="2"/>
  <c r="B134" i="2"/>
  <c r="C134" i="2"/>
  <c r="F133" i="2"/>
  <c r="D133" i="2"/>
  <c r="B215" i="2"/>
  <c r="C215" i="2"/>
  <c r="F214" i="2"/>
  <c r="D214" i="2"/>
  <c r="B295" i="2"/>
  <c r="C295" i="2"/>
  <c r="F294" i="2"/>
  <c r="D294" i="2"/>
  <c r="B374" i="2"/>
  <c r="C374" i="2"/>
  <c r="F373" i="2"/>
  <c r="D373" i="2"/>
  <c r="B452" i="2"/>
  <c r="C452" i="2"/>
  <c r="F451" i="2"/>
  <c r="D451" i="2"/>
  <c r="B529" i="2"/>
  <c r="C529" i="2"/>
  <c r="F528" i="2"/>
  <c r="D528" i="2"/>
  <c r="B605" i="2"/>
  <c r="C605" i="2"/>
  <c r="F604" i="2"/>
  <c r="B680" i="2"/>
  <c r="C680" i="2"/>
  <c r="F679" i="2"/>
  <c r="B754" i="2"/>
  <c r="C754" i="2"/>
  <c r="F753" i="2"/>
  <c r="B827" i="2"/>
  <c r="C827" i="2"/>
  <c r="F826" i="2"/>
  <c r="D826" i="2"/>
  <c r="B52" i="3"/>
  <c r="C52" i="3"/>
  <c r="F51" i="3"/>
  <c r="D51" i="3"/>
  <c r="B123" i="3"/>
  <c r="C123" i="3"/>
  <c r="F122" i="3"/>
  <c r="D122" i="3"/>
  <c r="B193" i="3"/>
  <c r="C193" i="3"/>
  <c r="F192" i="3"/>
  <c r="D192" i="3"/>
  <c r="B262" i="3"/>
  <c r="C262" i="3"/>
  <c r="F261" i="3"/>
  <c r="D261" i="3"/>
  <c r="B330" i="3"/>
  <c r="C330" i="3"/>
  <c r="F329" i="3"/>
  <c r="D329" i="3"/>
  <c r="B397" i="3"/>
  <c r="C397" i="3"/>
  <c r="F396" i="3"/>
  <c r="D396" i="3"/>
  <c r="B463" i="3"/>
  <c r="C463" i="3"/>
  <c r="F462" i="3"/>
  <c r="D462" i="3"/>
  <c r="B528" i="3"/>
  <c r="C528" i="3"/>
  <c r="F527" i="3"/>
  <c r="D527" i="3"/>
  <c r="B592" i="3"/>
  <c r="C592" i="3"/>
  <c r="F591" i="3"/>
  <c r="D591" i="3"/>
  <c r="B655" i="3"/>
  <c r="C655" i="3"/>
  <c r="F654" i="3"/>
  <c r="D654" i="3"/>
  <c r="B717" i="3"/>
  <c r="C717" i="3"/>
  <c r="F716" i="3"/>
  <c r="D716" i="3"/>
  <c r="B778" i="3"/>
  <c r="C778" i="3"/>
  <c r="F777" i="3"/>
  <c r="D777" i="3"/>
  <c r="B838" i="3"/>
  <c r="C838" i="3"/>
  <c r="F837" i="3"/>
  <c r="D837" i="3"/>
  <c r="B897" i="3"/>
  <c r="C897" i="3"/>
  <c r="F896" i="3"/>
  <c r="D896" i="3"/>
  <c r="B955" i="3"/>
  <c r="C955" i="3"/>
  <c r="F954" i="3"/>
  <c r="D954" i="3"/>
  <c r="B52" i="4"/>
  <c r="C52" i="4"/>
  <c r="F51" i="4"/>
  <c r="D51" i="4"/>
  <c r="B108" i="4"/>
  <c r="C108" i="4"/>
  <c r="F107" i="4"/>
  <c r="D107" i="4"/>
  <c r="F161" i="4"/>
  <c r="D161" i="4"/>
  <c r="H161" i="4" s="1"/>
  <c r="I161" i="4"/>
  <c r="J160" i="4" s="1"/>
  <c r="B163" i="4"/>
  <c r="C162" i="4"/>
  <c r="F215" i="4"/>
  <c r="D215" i="4"/>
  <c r="H215" i="4" s="1"/>
  <c r="I215" i="4"/>
  <c r="J214" i="4" s="1"/>
  <c r="B217" i="4"/>
  <c r="C216" i="4"/>
  <c r="F268" i="4"/>
  <c r="D268" i="4"/>
  <c r="H268" i="4" s="1"/>
  <c r="I268" i="4"/>
  <c r="J267" i="4" s="1"/>
  <c r="B270" i="4"/>
  <c r="C269" i="4"/>
  <c r="F320" i="4"/>
  <c r="D320" i="4"/>
  <c r="H320" i="4" s="1"/>
  <c r="I320" i="4"/>
  <c r="J319" i="4" s="1"/>
  <c r="B322" i="4"/>
  <c r="C321" i="4"/>
  <c r="F371" i="4"/>
  <c r="D371" i="4"/>
  <c r="H371" i="4" s="1"/>
  <c r="I371" i="4"/>
  <c r="J370" i="4" s="1"/>
  <c r="B373" i="4"/>
  <c r="C372" i="4"/>
  <c r="F421" i="4"/>
  <c r="D421" i="4"/>
  <c r="H421" i="4" s="1"/>
  <c r="I421" i="4"/>
  <c r="J420" i="4" s="1"/>
  <c r="B423" i="4"/>
  <c r="C422" i="4"/>
  <c r="F470" i="4"/>
  <c r="D470" i="4"/>
  <c r="H470" i="4" s="1"/>
  <c r="I470" i="4"/>
  <c r="J469" i="4" s="1"/>
  <c r="B472" i="4"/>
  <c r="C471" i="4"/>
  <c r="F518" i="4"/>
  <c r="D518" i="4"/>
  <c r="H518" i="4" s="1"/>
  <c r="I518" i="4"/>
  <c r="J517" i="4" s="1"/>
  <c r="B520" i="4"/>
  <c r="C519" i="4"/>
  <c r="B567" i="4"/>
  <c r="C567" i="4"/>
  <c r="F566" i="4"/>
  <c r="D566" i="4"/>
  <c r="F611" i="4"/>
  <c r="D611" i="4"/>
  <c r="H611" i="4" s="1"/>
  <c r="I611" i="4"/>
  <c r="J610" i="4" s="1"/>
  <c r="B613" i="4"/>
  <c r="C612" i="4"/>
  <c r="F656" i="4"/>
  <c r="D656" i="4"/>
  <c r="H656" i="4" s="1"/>
  <c r="I656" i="4"/>
  <c r="J655" i="4" s="1"/>
  <c r="B658" i="4"/>
  <c r="C657" i="4"/>
  <c r="F700" i="4"/>
  <c r="D700" i="4"/>
  <c r="H700" i="4" s="1"/>
  <c r="I700" i="4"/>
  <c r="J699" i="4" s="1"/>
  <c r="B702" i="4"/>
  <c r="C701" i="4"/>
  <c r="F743" i="4"/>
  <c r="D743" i="4"/>
  <c r="H743" i="4" s="1"/>
  <c r="I743" i="4"/>
  <c r="J742" i="4" s="1"/>
  <c r="C744" i="4"/>
  <c r="F785" i="4"/>
  <c r="D785" i="4"/>
  <c r="H785" i="4" s="1"/>
  <c r="I785" i="4"/>
  <c r="J784" i="4" s="1"/>
  <c r="F744" i="4" l="1"/>
  <c r="D744" i="4"/>
  <c r="H744" i="4" s="1"/>
  <c r="I744" i="4"/>
  <c r="J743" i="4" s="1"/>
  <c r="F701" i="4"/>
  <c r="D701" i="4"/>
  <c r="H701" i="4" s="1"/>
  <c r="I701" i="4"/>
  <c r="J700" i="4" s="1"/>
  <c r="C702" i="4"/>
  <c r="F657" i="4"/>
  <c r="D657" i="4"/>
  <c r="H657" i="4" s="1"/>
  <c r="I657" i="4"/>
  <c r="J656" i="4" s="1"/>
  <c r="B659" i="4"/>
  <c r="C658" i="4"/>
  <c r="F612" i="4"/>
  <c r="D612" i="4"/>
  <c r="H612" i="4" s="1"/>
  <c r="I612" i="4"/>
  <c r="J611" i="4" s="1"/>
  <c r="B614" i="4"/>
  <c r="C613" i="4"/>
  <c r="I566" i="4"/>
  <c r="J565" i="4" s="1"/>
  <c r="H566" i="4"/>
  <c r="C568" i="4"/>
  <c r="F567" i="4"/>
  <c r="D567" i="4"/>
  <c r="B568" i="4"/>
  <c r="I567" i="4"/>
  <c r="J566" i="4" s="1"/>
  <c r="H567" i="4"/>
  <c r="F519" i="4"/>
  <c r="D519" i="4"/>
  <c r="H519" i="4" s="1"/>
  <c r="I519" i="4"/>
  <c r="J518" i="4" s="1"/>
  <c r="B521" i="4"/>
  <c r="C520" i="4"/>
  <c r="F471" i="4"/>
  <c r="D471" i="4"/>
  <c r="H471" i="4" s="1"/>
  <c r="I471" i="4"/>
  <c r="J470" i="4" s="1"/>
  <c r="B473" i="4"/>
  <c r="C472" i="4"/>
  <c r="F422" i="4"/>
  <c r="D422" i="4"/>
  <c r="H422" i="4" s="1"/>
  <c r="I422" i="4"/>
  <c r="J421" i="4" s="1"/>
  <c r="B424" i="4"/>
  <c r="C423" i="4"/>
  <c r="F372" i="4"/>
  <c r="D372" i="4"/>
  <c r="H372" i="4" s="1"/>
  <c r="I372" i="4"/>
  <c r="J371" i="4" s="1"/>
  <c r="B374" i="4"/>
  <c r="C373" i="4"/>
  <c r="F321" i="4"/>
  <c r="D321" i="4"/>
  <c r="H321" i="4" s="1"/>
  <c r="I321" i="4"/>
  <c r="J320" i="4" s="1"/>
  <c r="B323" i="4"/>
  <c r="C322" i="4"/>
  <c r="F269" i="4"/>
  <c r="D269" i="4"/>
  <c r="H269" i="4" s="1"/>
  <c r="I269" i="4"/>
  <c r="J268" i="4" s="1"/>
  <c r="B271" i="4"/>
  <c r="C270" i="4"/>
  <c r="F216" i="4"/>
  <c r="D216" i="4"/>
  <c r="H216" i="4" s="1"/>
  <c r="I216" i="4"/>
  <c r="J215" i="4" s="1"/>
  <c r="B218" i="4"/>
  <c r="C217" i="4"/>
  <c r="F162" i="4"/>
  <c r="D162" i="4"/>
  <c r="H162" i="4" s="1"/>
  <c r="I162" i="4"/>
  <c r="J161" i="4" s="1"/>
  <c r="B164" i="4"/>
  <c r="C163" i="4"/>
  <c r="I107" i="4"/>
  <c r="J106" i="4" s="1"/>
  <c r="H107" i="4"/>
  <c r="C109" i="4"/>
  <c r="F108" i="4"/>
  <c r="D108" i="4"/>
  <c r="B109" i="4"/>
  <c r="I108" i="4"/>
  <c r="J107" i="4" s="1"/>
  <c r="H108" i="4"/>
  <c r="I51" i="4"/>
  <c r="J50" i="4" s="1"/>
  <c r="H51" i="4"/>
  <c r="C53" i="4"/>
  <c r="F52" i="4"/>
  <c r="D52" i="4"/>
  <c r="B53" i="4"/>
  <c r="I52" i="4"/>
  <c r="J51" i="4" s="1"/>
  <c r="H52" i="4"/>
  <c r="I954" i="3"/>
  <c r="J953" i="3" s="1"/>
  <c r="H954" i="3"/>
  <c r="C956" i="3"/>
  <c r="F955" i="3"/>
  <c r="D955" i="3"/>
  <c r="B956" i="3"/>
  <c r="I955" i="3"/>
  <c r="J954" i="3" s="1"/>
  <c r="H955" i="3"/>
  <c r="I896" i="3"/>
  <c r="J895" i="3" s="1"/>
  <c r="H896" i="3"/>
  <c r="C898" i="3"/>
  <c r="F897" i="3"/>
  <c r="D897" i="3"/>
  <c r="B898" i="3"/>
  <c r="I897" i="3"/>
  <c r="J896" i="3" s="1"/>
  <c r="H897" i="3"/>
  <c r="I837" i="3"/>
  <c r="J836" i="3" s="1"/>
  <c r="H837" i="3"/>
  <c r="C839" i="3"/>
  <c r="F838" i="3"/>
  <c r="D838" i="3"/>
  <c r="B839" i="3"/>
  <c r="I838" i="3"/>
  <c r="J837" i="3" s="1"/>
  <c r="H838" i="3"/>
  <c r="I777" i="3"/>
  <c r="J776" i="3" s="1"/>
  <c r="H777" i="3"/>
  <c r="C779" i="3"/>
  <c r="F778" i="3"/>
  <c r="D778" i="3"/>
  <c r="B779" i="3"/>
  <c r="I778" i="3"/>
  <c r="J777" i="3" s="1"/>
  <c r="H778" i="3"/>
  <c r="I716" i="3"/>
  <c r="J715" i="3" s="1"/>
  <c r="H716" i="3"/>
  <c r="C718" i="3"/>
  <c r="F717" i="3"/>
  <c r="D717" i="3"/>
  <c r="B718" i="3"/>
  <c r="I717" i="3"/>
  <c r="J716" i="3" s="1"/>
  <c r="H717" i="3"/>
  <c r="I654" i="3"/>
  <c r="J653" i="3" s="1"/>
  <c r="H654" i="3"/>
  <c r="C656" i="3"/>
  <c r="F655" i="3"/>
  <c r="D655" i="3"/>
  <c r="B656" i="3"/>
  <c r="I655" i="3"/>
  <c r="J654" i="3" s="1"/>
  <c r="H655" i="3"/>
  <c r="I591" i="3"/>
  <c r="J590" i="3" s="1"/>
  <c r="H591" i="3"/>
  <c r="C593" i="3"/>
  <c r="F592" i="3"/>
  <c r="D592" i="3"/>
  <c r="B593" i="3"/>
  <c r="I592" i="3"/>
  <c r="J591" i="3" s="1"/>
  <c r="H592" i="3"/>
  <c r="I527" i="3"/>
  <c r="J526" i="3" s="1"/>
  <c r="H527" i="3"/>
  <c r="C529" i="3"/>
  <c r="F528" i="3"/>
  <c r="D528" i="3"/>
  <c r="B529" i="3"/>
  <c r="I528" i="3"/>
  <c r="J527" i="3" s="1"/>
  <c r="H528" i="3"/>
  <c r="I462" i="3"/>
  <c r="J461" i="3" s="1"/>
  <c r="H462" i="3"/>
  <c r="C464" i="3"/>
  <c r="F463" i="3"/>
  <c r="D463" i="3"/>
  <c r="B464" i="3"/>
  <c r="I463" i="3"/>
  <c r="J462" i="3" s="1"/>
  <c r="H463" i="3"/>
  <c r="I396" i="3"/>
  <c r="J395" i="3" s="1"/>
  <c r="H396" i="3"/>
  <c r="C398" i="3"/>
  <c r="F397" i="3"/>
  <c r="D397" i="3"/>
  <c r="B398" i="3"/>
  <c r="I397" i="3"/>
  <c r="J396" i="3" s="1"/>
  <c r="H397" i="3"/>
  <c r="I329" i="3"/>
  <c r="J328" i="3" s="1"/>
  <c r="H329" i="3"/>
  <c r="C331" i="3"/>
  <c r="F330" i="3"/>
  <c r="D330" i="3"/>
  <c r="B331" i="3"/>
  <c r="I330" i="3"/>
  <c r="J329" i="3" s="1"/>
  <c r="H330" i="3"/>
  <c r="I261" i="3"/>
  <c r="J260" i="3" s="1"/>
  <c r="H261" i="3"/>
  <c r="C263" i="3"/>
  <c r="F262" i="3"/>
  <c r="D262" i="3"/>
  <c r="B263" i="3"/>
  <c r="I262" i="3"/>
  <c r="J261" i="3" s="1"/>
  <c r="H262" i="3"/>
  <c r="I192" i="3"/>
  <c r="J191" i="3" s="1"/>
  <c r="H192" i="3"/>
  <c r="C194" i="3"/>
  <c r="F193" i="3"/>
  <c r="D193" i="3"/>
  <c r="B194" i="3"/>
  <c r="I193" i="3"/>
  <c r="J192" i="3" s="1"/>
  <c r="H193" i="3"/>
  <c r="I122" i="3"/>
  <c r="J121" i="3" s="1"/>
  <c r="H122" i="3"/>
  <c r="C124" i="3"/>
  <c r="F123" i="3"/>
  <c r="D123" i="3"/>
  <c r="B124" i="3"/>
  <c r="I123" i="3"/>
  <c r="J122" i="3" s="1"/>
  <c r="H123" i="3"/>
  <c r="I51" i="3"/>
  <c r="J50" i="3" s="1"/>
  <c r="H51" i="3"/>
  <c r="C53" i="3"/>
  <c r="F52" i="3"/>
  <c r="D52" i="3"/>
  <c r="B53" i="3"/>
  <c r="I52" i="3"/>
  <c r="J51" i="3" s="1"/>
  <c r="H52" i="3"/>
  <c r="I826" i="2"/>
  <c r="J825" i="2" s="1"/>
  <c r="H826" i="2"/>
  <c r="C828" i="2"/>
  <c r="F827" i="2"/>
  <c r="D827" i="2"/>
  <c r="B828" i="2"/>
  <c r="I827" i="2"/>
  <c r="J826" i="2" s="1"/>
  <c r="H827" i="2"/>
  <c r="I753" i="2"/>
  <c r="J752" i="2" s="1"/>
  <c r="H753" i="2"/>
  <c r="C755" i="2"/>
  <c r="F754" i="2"/>
  <c r="B755" i="2"/>
  <c r="I754" i="2"/>
  <c r="J753" i="2" s="1"/>
  <c r="H754" i="2"/>
  <c r="I679" i="2"/>
  <c r="J678" i="2" s="1"/>
  <c r="H679" i="2"/>
  <c r="C681" i="2"/>
  <c r="F680" i="2"/>
  <c r="B681" i="2"/>
  <c r="I680" i="2"/>
  <c r="J679" i="2" s="1"/>
  <c r="H680" i="2"/>
  <c r="I604" i="2"/>
  <c r="J603" i="2" s="1"/>
  <c r="H604" i="2"/>
  <c r="C606" i="2"/>
  <c r="F605" i="2"/>
  <c r="B606" i="2"/>
  <c r="I605" i="2"/>
  <c r="J604" i="2" s="1"/>
  <c r="H605" i="2"/>
  <c r="I528" i="2"/>
  <c r="J527" i="2" s="1"/>
  <c r="H528" i="2"/>
  <c r="C530" i="2"/>
  <c r="F529" i="2"/>
  <c r="D529" i="2"/>
  <c r="B530" i="2"/>
  <c r="I529" i="2"/>
  <c r="J528" i="2" s="1"/>
  <c r="H529" i="2"/>
  <c r="I451" i="2"/>
  <c r="J450" i="2" s="1"/>
  <c r="H451" i="2"/>
  <c r="C453" i="2"/>
  <c r="F452" i="2"/>
  <c r="D452" i="2"/>
  <c r="B453" i="2"/>
  <c r="I452" i="2"/>
  <c r="J451" i="2" s="1"/>
  <c r="H452" i="2"/>
  <c r="I373" i="2"/>
  <c r="J372" i="2" s="1"/>
  <c r="H373" i="2"/>
  <c r="C375" i="2"/>
  <c r="F374" i="2"/>
  <c r="D374" i="2"/>
  <c r="B375" i="2"/>
  <c r="I374" i="2"/>
  <c r="J373" i="2" s="1"/>
  <c r="H374" i="2"/>
  <c r="I294" i="2"/>
  <c r="J293" i="2" s="1"/>
  <c r="H294" i="2"/>
  <c r="C296" i="2"/>
  <c r="F295" i="2"/>
  <c r="D295" i="2"/>
  <c r="B296" i="2"/>
  <c r="I295" i="2"/>
  <c r="J294" i="2" s="1"/>
  <c r="H295" i="2"/>
  <c r="I214" i="2"/>
  <c r="J213" i="2" s="1"/>
  <c r="H214" i="2"/>
  <c r="C216" i="2"/>
  <c r="F215" i="2"/>
  <c r="D215" i="2"/>
  <c r="B216" i="2"/>
  <c r="I215" i="2"/>
  <c r="J214" i="2" s="1"/>
  <c r="H215" i="2"/>
  <c r="I133" i="2"/>
  <c r="J132" i="2" s="1"/>
  <c r="H133" i="2"/>
  <c r="C135" i="2"/>
  <c r="F134" i="2"/>
  <c r="D134" i="2"/>
  <c r="B135" i="2"/>
  <c r="I134" i="2"/>
  <c r="J133" i="2" s="1"/>
  <c r="H134" i="2"/>
  <c r="I51" i="2"/>
  <c r="J50" i="2" s="1"/>
  <c r="H51" i="2"/>
  <c r="C53" i="2"/>
  <c r="F52" i="2"/>
  <c r="D52" i="2"/>
  <c r="B53" i="2"/>
  <c r="I52" i="2"/>
  <c r="J51" i="2" s="1"/>
  <c r="H52" i="2"/>
  <c r="B54" i="2" l="1"/>
  <c r="C54" i="2"/>
  <c r="F53" i="2"/>
  <c r="D53" i="2"/>
  <c r="B136" i="2"/>
  <c r="C136" i="2"/>
  <c r="F135" i="2"/>
  <c r="D135" i="2"/>
  <c r="B217" i="2"/>
  <c r="C217" i="2"/>
  <c r="F216" i="2"/>
  <c r="D216" i="2"/>
  <c r="B297" i="2"/>
  <c r="C297" i="2"/>
  <c r="F296" i="2"/>
  <c r="D296" i="2"/>
  <c r="B376" i="2"/>
  <c r="C376" i="2"/>
  <c r="F375" i="2"/>
  <c r="D375" i="2"/>
  <c r="B454" i="2"/>
  <c r="C454" i="2"/>
  <c r="F453" i="2"/>
  <c r="D453" i="2"/>
  <c r="B531" i="2"/>
  <c r="C531" i="2"/>
  <c r="F530" i="2"/>
  <c r="D530" i="2"/>
  <c r="B607" i="2"/>
  <c r="C607" i="2"/>
  <c r="F606" i="2"/>
  <c r="B682" i="2"/>
  <c r="C682" i="2"/>
  <c r="F681" i="2"/>
  <c r="B756" i="2"/>
  <c r="C756" i="2"/>
  <c r="F755" i="2"/>
  <c r="B829" i="2"/>
  <c r="C829" i="2"/>
  <c r="F828" i="2"/>
  <c r="D828" i="2"/>
  <c r="B54" i="3"/>
  <c r="C54" i="3"/>
  <c r="F53" i="3"/>
  <c r="D53" i="3"/>
  <c r="B125" i="3"/>
  <c r="C125" i="3"/>
  <c r="F124" i="3"/>
  <c r="D124" i="3"/>
  <c r="B195" i="3"/>
  <c r="C195" i="3"/>
  <c r="F194" i="3"/>
  <c r="D194" i="3"/>
  <c r="B264" i="3"/>
  <c r="C264" i="3"/>
  <c r="F263" i="3"/>
  <c r="D263" i="3"/>
  <c r="B332" i="3"/>
  <c r="C332" i="3"/>
  <c r="F331" i="3"/>
  <c r="D331" i="3"/>
  <c r="B399" i="3"/>
  <c r="C399" i="3"/>
  <c r="F398" i="3"/>
  <c r="D398" i="3"/>
  <c r="B465" i="3"/>
  <c r="C465" i="3"/>
  <c r="F464" i="3"/>
  <c r="D464" i="3"/>
  <c r="B530" i="3"/>
  <c r="C530" i="3"/>
  <c r="F529" i="3"/>
  <c r="D529" i="3"/>
  <c r="B594" i="3"/>
  <c r="C594" i="3"/>
  <c r="F593" i="3"/>
  <c r="D593" i="3"/>
  <c r="B657" i="3"/>
  <c r="C657" i="3"/>
  <c r="F656" i="3"/>
  <c r="D656" i="3"/>
  <c r="B719" i="3"/>
  <c r="C719" i="3"/>
  <c r="F718" i="3"/>
  <c r="D718" i="3"/>
  <c r="B780" i="3"/>
  <c r="C780" i="3"/>
  <c r="F779" i="3"/>
  <c r="D779" i="3"/>
  <c r="B840" i="3"/>
  <c r="C840" i="3"/>
  <c r="F839" i="3"/>
  <c r="D839" i="3"/>
  <c r="B899" i="3"/>
  <c r="C899" i="3"/>
  <c r="F898" i="3"/>
  <c r="D898" i="3"/>
  <c r="B957" i="3"/>
  <c r="C957" i="3"/>
  <c r="F956" i="3"/>
  <c r="D956" i="3"/>
  <c r="B54" i="4"/>
  <c r="C54" i="4"/>
  <c r="F53" i="4"/>
  <c r="D53" i="4"/>
  <c r="B110" i="4"/>
  <c r="C110" i="4"/>
  <c r="F109" i="4"/>
  <c r="D109" i="4"/>
  <c r="F163" i="4"/>
  <c r="D163" i="4"/>
  <c r="H163" i="4" s="1"/>
  <c r="I163" i="4"/>
  <c r="J162" i="4" s="1"/>
  <c r="B165" i="4"/>
  <c r="C164" i="4"/>
  <c r="F217" i="4"/>
  <c r="D217" i="4"/>
  <c r="H217" i="4" s="1"/>
  <c r="I217" i="4"/>
  <c r="J216" i="4" s="1"/>
  <c r="B219" i="4"/>
  <c r="C218" i="4"/>
  <c r="F270" i="4"/>
  <c r="D270" i="4"/>
  <c r="H270" i="4" s="1"/>
  <c r="I270" i="4"/>
  <c r="J269" i="4" s="1"/>
  <c r="B272" i="4"/>
  <c r="C271" i="4"/>
  <c r="F322" i="4"/>
  <c r="D322" i="4"/>
  <c r="H322" i="4" s="1"/>
  <c r="I322" i="4"/>
  <c r="J321" i="4" s="1"/>
  <c r="B324" i="4"/>
  <c r="C323" i="4"/>
  <c r="F373" i="4"/>
  <c r="D373" i="4"/>
  <c r="H373" i="4" s="1"/>
  <c r="I373" i="4"/>
  <c r="J372" i="4" s="1"/>
  <c r="B375" i="4"/>
  <c r="C374" i="4"/>
  <c r="F423" i="4"/>
  <c r="D423" i="4"/>
  <c r="H423" i="4" s="1"/>
  <c r="I423" i="4"/>
  <c r="J422" i="4" s="1"/>
  <c r="B425" i="4"/>
  <c r="C424" i="4"/>
  <c r="F472" i="4"/>
  <c r="D472" i="4"/>
  <c r="H472" i="4" s="1"/>
  <c r="I472" i="4"/>
  <c r="J471" i="4" s="1"/>
  <c r="B474" i="4"/>
  <c r="C473" i="4"/>
  <c r="F520" i="4"/>
  <c r="D520" i="4"/>
  <c r="H520" i="4" s="1"/>
  <c r="I520" i="4"/>
  <c r="J519" i="4" s="1"/>
  <c r="B522" i="4"/>
  <c r="C521" i="4"/>
  <c r="B569" i="4"/>
  <c r="C569" i="4"/>
  <c r="F568" i="4"/>
  <c r="D568" i="4"/>
  <c r="F613" i="4"/>
  <c r="D613" i="4"/>
  <c r="H613" i="4" s="1"/>
  <c r="I613" i="4"/>
  <c r="J612" i="4" s="1"/>
  <c r="B615" i="4"/>
  <c r="C614" i="4"/>
  <c r="F658" i="4"/>
  <c r="D658" i="4"/>
  <c r="H658" i="4" s="1"/>
  <c r="I658" i="4"/>
  <c r="J657" i="4" s="1"/>
  <c r="C659" i="4"/>
  <c r="F702" i="4"/>
  <c r="D702" i="4"/>
  <c r="H702" i="4" s="1"/>
  <c r="I702" i="4"/>
  <c r="J701" i="4" s="1"/>
  <c r="F659" i="4" l="1"/>
  <c r="D659" i="4"/>
  <c r="H659" i="4" s="1"/>
  <c r="I659" i="4"/>
  <c r="J658" i="4" s="1"/>
  <c r="F614" i="4"/>
  <c r="D614" i="4"/>
  <c r="H614" i="4" s="1"/>
  <c r="I614" i="4"/>
  <c r="J613" i="4" s="1"/>
  <c r="C615" i="4"/>
  <c r="I568" i="4"/>
  <c r="J567" i="4" s="1"/>
  <c r="H568" i="4"/>
  <c r="C570" i="4"/>
  <c r="F569" i="4"/>
  <c r="D569" i="4"/>
  <c r="B570" i="4"/>
  <c r="I569" i="4"/>
  <c r="J568" i="4" s="1"/>
  <c r="H569" i="4"/>
  <c r="F521" i="4"/>
  <c r="D521" i="4"/>
  <c r="H521" i="4" s="1"/>
  <c r="I521" i="4"/>
  <c r="J520" i="4" s="1"/>
  <c r="B523" i="4"/>
  <c r="C522" i="4"/>
  <c r="F473" i="4"/>
  <c r="D473" i="4"/>
  <c r="H473" i="4" s="1"/>
  <c r="I473" i="4"/>
  <c r="J472" i="4" s="1"/>
  <c r="B475" i="4"/>
  <c r="C474" i="4"/>
  <c r="F424" i="4"/>
  <c r="D424" i="4"/>
  <c r="H424" i="4" s="1"/>
  <c r="I424" i="4"/>
  <c r="J423" i="4" s="1"/>
  <c r="B426" i="4"/>
  <c r="C425" i="4"/>
  <c r="F374" i="4"/>
  <c r="D374" i="4"/>
  <c r="H374" i="4" s="1"/>
  <c r="I374" i="4"/>
  <c r="J373" i="4" s="1"/>
  <c r="B376" i="4"/>
  <c r="C375" i="4"/>
  <c r="F323" i="4"/>
  <c r="D323" i="4"/>
  <c r="H323" i="4" s="1"/>
  <c r="I323" i="4"/>
  <c r="J322" i="4" s="1"/>
  <c r="B325" i="4"/>
  <c r="C324" i="4"/>
  <c r="F271" i="4"/>
  <c r="D271" i="4"/>
  <c r="H271" i="4" s="1"/>
  <c r="I271" i="4"/>
  <c r="J270" i="4" s="1"/>
  <c r="B273" i="4"/>
  <c r="C272" i="4"/>
  <c r="F218" i="4"/>
  <c r="D218" i="4"/>
  <c r="H218" i="4" s="1"/>
  <c r="I218" i="4"/>
  <c r="J217" i="4" s="1"/>
  <c r="B220" i="4"/>
  <c r="C219" i="4"/>
  <c r="F164" i="4"/>
  <c r="D164" i="4"/>
  <c r="H164" i="4" s="1"/>
  <c r="I164" i="4"/>
  <c r="J163" i="4" s="1"/>
  <c r="B166" i="4"/>
  <c r="C165" i="4"/>
  <c r="I109" i="4"/>
  <c r="J108" i="4" s="1"/>
  <c r="H109" i="4"/>
  <c r="C111" i="4"/>
  <c r="F110" i="4"/>
  <c r="D110" i="4"/>
  <c r="B111" i="4"/>
  <c r="I110" i="4"/>
  <c r="J109" i="4" s="1"/>
  <c r="H110" i="4"/>
  <c r="I53" i="4"/>
  <c r="J52" i="4" s="1"/>
  <c r="H53" i="4"/>
  <c r="C55" i="4"/>
  <c r="F54" i="4"/>
  <c r="D54" i="4"/>
  <c r="B55" i="4"/>
  <c r="I54" i="4"/>
  <c r="J53" i="4" s="1"/>
  <c r="H54" i="4"/>
  <c r="I956" i="3"/>
  <c r="J955" i="3" s="1"/>
  <c r="H956" i="3"/>
  <c r="C958" i="3"/>
  <c r="F957" i="3"/>
  <c r="D957" i="3"/>
  <c r="B958" i="3"/>
  <c r="I957" i="3"/>
  <c r="J956" i="3" s="1"/>
  <c r="H957" i="3"/>
  <c r="I898" i="3"/>
  <c r="J897" i="3" s="1"/>
  <c r="H898" i="3"/>
  <c r="C900" i="3"/>
  <c r="F899" i="3"/>
  <c r="D899" i="3"/>
  <c r="B900" i="3"/>
  <c r="I899" i="3"/>
  <c r="J898" i="3" s="1"/>
  <c r="H899" i="3"/>
  <c r="I839" i="3"/>
  <c r="J838" i="3" s="1"/>
  <c r="H839" i="3"/>
  <c r="C841" i="3"/>
  <c r="F840" i="3"/>
  <c r="D840" i="3"/>
  <c r="B841" i="3"/>
  <c r="I840" i="3"/>
  <c r="J839" i="3" s="1"/>
  <c r="H840" i="3"/>
  <c r="I779" i="3"/>
  <c r="J778" i="3" s="1"/>
  <c r="H779" i="3"/>
  <c r="C781" i="3"/>
  <c r="F780" i="3"/>
  <c r="D780" i="3"/>
  <c r="B781" i="3"/>
  <c r="I780" i="3"/>
  <c r="J779" i="3" s="1"/>
  <c r="H780" i="3"/>
  <c r="I718" i="3"/>
  <c r="J717" i="3" s="1"/>
  <c r="H718" i="3"/>
  <c r="C720" i="3"/>
  <c r="F719" i="3"/>
  <c r="D719" i="3"/>
  <c r="B720" i="3"/>
  <c r="I719" i="3"/>
  <c r="J718" i="3" s="1"/>
  <c r="H719" i="3"/>
  <c r="I656" i="3"/>
  <c r="J655" i="3" s="1"/>
  <c r="H656" i="3"/>
  <c r="C658" i="3"/>
  <c r="F657" i="3"/>
  <c r="D657" i="3"/>
  <c r="B658" i="3"/>
  <c r="I657" i="3"/>
  <c r="J656" i="3" s="1"/>
  <c r="H657" i="3"/>
  <c r="I593" i="3"/>
  <c r="J592" i="3" s="1"/>
  <c r="H593" i="3"/>
  <c r="C595" i="3"/>
  <c r="F594" i="3"/>
  <c r="D594" i="3"/>
  <c r="B595" i="3"/>
  <c r="I594" i="3"/>
  <c r="J593" i="3" s="1"/>
  <c r="H594" i="3"/>
  <c r="I529" i="3"/>
  <c r="J528" i="3" s="1"/>
  <c r="H529" i="3"/>
  <c r="C531" i="3"/>
  <c r="F530" i="3"/>
  <c r="D530" i="3"/>
  <c r="B531" i="3"/>
  <c r="I530" i="3"/>
  <c r="J529" i="3" s="1"/>
  <c r="H530" i="3"/>
  <c r="I464" i="3"/>
  <c r="J463" i="3" s="1"/>
  <c r="H464" i="3"/>
  <c r="C466" i="3"/>
  <c r="F465" i="3"/>
  <c r="D465" i="3"/>
  <c r="B466" i="3"/>
  <c r="I465" i="3"/>
  <c r="J464" i="3" s="1"/>
  <c r="H465" i="3"/>
  <c r="I398" i="3"/>
  <c r="J397" i="3" s="1"/>
  <c r="H398" i="3"/>
  <c r="C400" i="3"/>
  <c r="F399" i="3"/>
  <c r="D399" i="3"/>
  <c r="B400" i="3"/>
  <c r="I399" i="3"/>
  <c r="J398" i="3" s="1"/>
  <c r="H399" i="3"/>
  <c r="I331" i="3"/>
  <c r="J330" i="3" s="1"/>
  <c r="H331" i="3"/>
  <c r="C333" i="3"/>
  <c r="F332" i="3"/>
  <c r="D332" i="3"/>
  <c r="B333" i="3"/>
  <c r="I332" i="3"/>
  <c r="J331" i="3" s="1"/>
  <c r="H332" i="3"/>
  <c r="I263" i="3"/>
  <c r="J262" i="3" s="1"/>
  <c r="H263" i="3"/>
  <c r="C265" i="3"/>
  <c r="F264" i="3"/>
  <c r="D264" i="3"/>
  <c r="B265" i="3"/>
  <c r="I264" i="3"/>
  <c r="J263" i="3" s="1"/>
  <c r="H264" i="3"/>
  <c r="I194" i="3"/>
  <c r="J193" i="3" s="1"/>
  <c r="H194" i="3"/>
  <c r="C196" i="3"/>
  <c r="F195" i="3"/>
  <c r="D195" i="3"/>
  <c r="B196" i="3"/>
  <c r="I195" i="3"/>
  <c r="J194" i="3" s="1"/>
  <c r="H195" i="3"/>
  <c r="I124" i="3"/>
  <c r="J123" i="3" s="1"/>
  <c r="H124" i="3"/>
  <c r="C126" i="3"/>
  <c r="F125" i="3"/>
  <c r="D125" i="3"/>
  <c r="B126" i="3"/>
  <c r="I125" i="3"/>
  <c r="J124" i="3" s="1"/>
  <c r="H125" i="3"/>
  <c r="I53" i="3"/>
  <c r="J52" i="3" s="1"/>
  <c r="H53" i="3"/>
  <c r="C55" i="3"/>
  <c r="F54" i="3"/>
  <c r="D54" i="3"/>
  <c r="B55" i="3"/>
  <c r="I54" i="3"/>
  <c r="J53" i="3" s="1"/>
  <c r="H54" i="3"/>
  <c r="I828" i="2"/>
  <c r="J827" i="2" s="1"/>
  <c r="H828" i="2"/>
  <c r="C830" i="2"/>
  <c r="F829" i="2"/>
  <c r="D829" i="2"/>
  <c r="B830" i="2"/>
  <c r="I829" i="2"/>
  <c r="J828" i="2" s="1"/>
  <c r="H829" i="2"/>
  <c r="I755" i="2"/>
  <c r="J754" i="2" s="1"/>
  <c r="H755" i="2"/>
  <c r="C757" i="2"/>
  <c r="F756" i="2"/>
  <c r="B757" i="2"/>
  <c r="I756" i="2"/>
  <c r="J755" i="2" s="1"/>
  <c r="H756" i="2"/>
  <c r="I681" i="2"/>
  <c r="J680" i="2" s="1"/>
  <c r="H681" i="2"/>
  <c r="C683" i="2"/>
  <c r="F682" i="2"/>
  <c r="B683" i="2"/>
  <c r="I682" i="2"/>
  <c r="J681" i="2" s="1"/>
  <c r="H682" i="2"/>
  <c r="I606" i="2"/>
  <c r="J605" i="2" s="1"/>
  <c r="H606" i="2"/>
  <c r="C608" i="2"/>
  <c r="F607" i="2"/>
  <c r="B608" i="2"/>
  <c r="I607" i="2"/>
  <c r="J606" i="2" s="1"/>
  <c r="H607" i="2"/>
  <c r="I530" i="2"/>
  <c r="J529" i="2" s="1"/>
  <c r="H530" i="2"/>
  <c r="C532" i="2"/>
  <c r="F531" i="2"/>
  <c r="D531" i="2"/>
  <c r="B532" i="2"/>
  <c r="I531" i="2"/>
  <c r="J530" i="2" s="1"/>
  <c r="H531" i="2"/>
  <c r="I453" i="2"/>
  <c r="J452" i="2" s="1"/>
  <c r="H453" i="2"/>
  <c r="C455" i="2"/>
  <c r="F454" i="2"/>
  <c r="D454" i="2"/>
  <c r="B455" i="2"/>
  <c r="I454" i="2"/>
  <c r="J453" i="2" s="1"/>
  <c r="H454" i="2"/>
  <c r="I375" i="2"/>
  <c r="J374" i="2" s="1"/>
  <c r="H375" i="2"/>
  <c r="C377" i="2"/>
  <c r="F376" i="2"/>
  <c r="D376" i="2"/>
  <c r="B377" i="2"/>
  <c r="I376" i="2"/>
  <c r="J375" i="2" s="1"/>
  <c r="H376" i="2"/>
  <c r="I296" i="2"/>
  <c r="J295" i="2" s="1"/>
  <c r="H296" i="2"/>
  <c r="C298" i="2"/>
  <c r="F297" i="2"/>
  <c r="D297" i="2"/>
  <c r="B298" i="2"/>
  <c r="I297" i="2"/>
  <c r="J296" i="2" s="1"/>
  <c r="H297" i="2"/>
  <c r="I216" i="2"/>
  <c r="J215" i="2" s="1"/>
  <c r="H216" i="2"/>
  <c r="C218" i="2"/>
  <c r="F217" i="2"/>
  <c r="D217" i="2"/>
  <c r="B218" i="2"/>
  <c r="I217" i="2"/>
  <c r="J216" i="2" s="1"/>
  <c r="H217" i="2"/>
  <c r="I135" i="2"/>
  <c r="J134" i="2" s="1"/>
  <c r="H135" i="2"/>
  <c r="C137" i="2"/>
  <c r="F136" i="2"/>
  <c r="D136" i="2"/>
  <c r="B137" i="2"/>
  <c r="I136" i="2"/>
  <c r="J135" i="2" s="1"/>
  <c r="H136" i="2"/>
  <c r="I53" i="2"/>
  <c r="J52" i="2" s="1"/>
  <c r="H53" i="2"/>
  <c r="C55" i="2"/>
  <c r="F54" i="2"/>
  <c r="D54" i="2"/>
  <c r="B55" i="2"/>
  <c r="I54" i="2"/>
  <c r="J53" i="2" s="1"/>
  <c r="H54" i="2"/>
  <c r="B56" i="2" l="1"/>
  <c r="C56" i="2"/>
  <c r="F55" i="2"/>
  <c r="D55" i="2"/>
  <c r="B138" i="2"/>
  <c r="C138" i="2"/>
  <c r="F137" i="2"/>
  <c r="D137" i="2"/>
  <c r="B219" i="2"/>
  <c r="C219" i="2"/>
  <c r="F218" i="2"/>
  <c r="D218" i="2"/>
  <c r="B299" i="2"/>
  <c r="C299" i="2"/>
  <c r="F298" i="2"/>
  <c r="D298" i="2"/>
  <c r="B378" i="2"/>
  <c r="C378" i="2"/>
  <c r="F377" i="2"/>
  <c r="D377" i="2"/>
  <c r="B456" i="2"/>
  <c r="C456" i="2"/>
  <c r="F455" i="2"/>
  <c r="D455" i="2"/>
  <c r="B533" i="2"/>
  <c r="C533" i="2"/>
  <c r="F532" i="2"/>
  <c r="D532" i="2"/>
  <c r="B609" i="2"/>
  <c r="C609" i="2"/>
  <c r="F608" i="2"/>
  <c r="B684" i="2"/>
  <c r="C684" i="2"/>
  <c r="F683" i="2"/>
  <c r="B758" i="2"/>
  <c r="C758" i="2"/>
  <c r="F757" i="2"/>
  <c r="B831" i="2"/>
  <c r="C831" i="2"/>
  <c r="F830" i="2"/>
  <c r="D830" i="2"/>
  <c r="B56" i="3"/>
  <c r="C56" i="3"/>
  <c r="F55" i="3"/>
  <c r="D55" i="3"/>
  <c r="B127" i="3"/>
  <c r="C127" i="3"/>
  <c r="F126" i="3"/>
  <c r="D126" i="3"/>
  <c r="B197" i="3"/>
  <c r="C197" i="3"/>
  <c r="F196" i="3"/>
  <c r="D196" i="3"/>
  <c r="B266" i="3"/>
  <c r="C266" i="3"/>
  <c r="F265" i="3"/>
  <c r="D265" i="3"/>
  <c r="B334" i="3"/>
  <c r="C334" i="3"/>
  <c r="F333" i="3"/>
  <c r="D333" i="3"/>
  <c r="B401" i="3"/>
  <c r="C401" i="3"/>
  <c r="F400" i="3"/>
  <c r="D400" i="3"/>
  <c r="B467" i="3"/>
  <c r="C467" i="3"/>
  <c r="F466" i="3"/>
  <c r="D466" i="3"/>
  <c r="B532" i="3"/>
  <c r="C532" i="3"/>
  <c r="F531" i="3"/>
  <c r="D531" i="3"/>
  <c r="B596" i="3"/>
  <c r="C596" i="3"/>
  <c r="F595" i="3"/>
  <c r="D595" i="3"/>
  <c r="B659" i="3"/>
  <c r="C659" i="3"/>
  <c r="F658" i="3"/>
  <c r="D658" i="3"/>
  <c r="B721" i="3"/>
  <c r="C721" i="3"/>
  <c r="F720" i="3"/>
  <c r="D720" i="3"/>
  <c r="B782" i="3"/>
  <c r="C782" i="3"/>
  <c r="F781" i="3"/>
  <c r="D781" i="3"/>
  <c r="B842" i="3"/>
  <c r="C842" i="3"/>
  <c r="F841" i="3"/>
  <c r="D841" i="3"/>
  <c r="B901" i="3"/>
  <c r="C901" i="3"/>
  <c r="F900" i="3"/>
  <c r="D900" i="3"/>
  <c r="B959" i="3"/>
  <c r="C959" i="3"/>
  <c r="F958" i="3"/>
  <c r="D958" i="3"/>
  <c r="B56" i="4"/>
  <c r="C56" i="4"/>
  <c r="F55" i="4"/>
  <c r="D55" i="4"/>
  <c r="B112" i="4"/>
  <c r="C112" i="4"/>
  <c r="F111" i="4"/>
  <c r="D111" i="4"/>
  <c r="F165" i="4"/>
  <c r="D165" i="4"/>
  <c r="H165" i="4" s="1"/>
  <c r="I165" i="4"/>
  <c r="J164" i="4" s="1"/>
  <c r="B167" i="4"/>
  <c r="C166" i="4"/>
  <c r="F219" i="4"/>
  <c r="D219" i="4"/>
  <c r="H219" i="4" s="1"/>
  <c r="I219" i="4"/>
  <c r="J218" i="4" s="1"/>
  <c r="B221" i="4"/>
  <c r="C220" i="4"/>
  <c r="F272" i="4"/>
  <c r="D272" i="4"/>
  <c r="H272" i="4" s="1"/>
  <c r="I272" i="4"/>
  <c r="J271" i="4" s="1"/>
  <c r="B274" i="4"/>
  <c r="C273" i="4"/>
  <c r="F324" i="4"/>
  <c r="D324" i="4"/>
  <c r="H324" i="4" s="1"/>
  <c r="I324" i="4"/>
  <c r="J323" i="4" s="1"/>
  <c r="B326" i="4"/>
  <c r="C325" i="4"/>
  <c r="F375" i="4"/>
  <c r="D375" i="4"/>
  <c r="H375" i="4" s="1"/>
  <c r="I375" i="4"/>
  <c r="J374" i="4" s="1"/>
  <c r="B377" i="4"/>
  <c r="C376" i="4"/>
  <c r="F425" i="4"/>
  <c r="D425" i="4"/>
  <c r="H425" i="4" s="1"/>
  <c r="I425" i="4"/>
  <c r="J424" i="4" s="1"/>
  <c r="B427" i="4"/>
  <c r="C426" i="4"/>
  <c r="F474" i="4"/>
  <c r="D474" i="4"/>
  <c r="H474" i="4" s="1"/>
  <c r="I474" i="4"/>
  <c r="J473" i="4" s="1"/>
  <c r="B476" i="4"/>
  <c r="C475" i="4"/>
  <c r="F522" i="4"/>
  <c r="D522" i="4"/>
  <c r="H522" i="4" s="1"/>
  <c r="I522" i="4"/>
  <c r="J521" i="4" s="1"/>
  <c r="B524" i="4"/>
  <c r="C523" i="4"/>
  <c r="F570" i="4"/>
  <c r="D570" i="4"/>
  <c r="F615" i="4"/>
  <c r="D615" i="4"/>
  <c r="H615" i="4" s="1"/>
  <c r="I615" i="4"/>
  <c r="J614" i="4" s="1"/>
  <c r="I570" i="4" l="1"/>
  <c r="J569" i="4" s="1"/>
  <c r="H570" i="4"/>
  <c r="F523" i="4"/>
  <c r="D523" i="4"/>
  <c r="H523" i="4" s="1"/>
  <c r="I523" i="4"/>
  <c r="J522" i="4" s="1"/>
  <c r="C524" i="4"/>
  <c r="F475" i="4"/>
  <c r="D475" i="4"/>
  <c r="H475" i="4" s="1"/>
  <c r="I475" i="4"/>
  <c r="J474" i="4" s="1"/>
  <c r="B477" i="4"/>
  <c r="C476" i="4"/>
  <c r="F426" i="4"/>
  <c r="D426" i="4"/>
  <c r="H426" i="4" s="1"/>
  <c r="I426" i="4"/>
  <c r="J425" i="4" s="1"/>
  <c r="B428" i="4"/>
  <c r="C427" i="4"/>
  <c r="F376" i="4"/>
  <c r="D376" i="4"/>
  <c r="H376" i="4" s="1"/>
  <c r="I376" i="4"/>
  <c r="J375" i="4" s="1"/>
  <c r="B378" i="4"/>
  <c r="C377" i="4"/>
  <c r="F325" i="4"/>
  <c r="D325" i="4"/>
  <c r="H325" i="4" s="1"/>
  <c r="I325" i="4"/>
  <c r="J324" i="4" s="1"/>
  <c r="B327" i="4"/>
  <c r="C326" i="4"/>
  <c r="F273" i="4"/>
  <c r="D273" i="4"/>
  <c r="H273" i="4" s="1"/>
  <c r="I273" i="4"/>
  <c r="J272" i="4" s="1"/>
  <c r="B275" i="4"/>
  <c r="C274" i="4"/>
  <c r="F220" i="4"/>
  <c r="D220" i="4"/>
  <c r="H220" i="4" s="1"/>
  <c r="I220" i="4"/>
  <c r="J219" i="4" s="1"/>
  <c r="B222" i="4"/>
  <c r="C221" i="4"/>
  <c r="F166" i="4"/>
  <c r="D166" i="4"/>
  <c r="H166" i="4" s="1"/>
  <c r="I166" i="4"/>
  <c r="J165" i="4" s="1"/>
  <c r="B168" i="4"/>
  <c r="C167" i="4"/>
  <c r="I111" i="4"/>
  <c r="J110" i="4" s="1"/>
  <c r="H111" i="4"/>
  <c r="C113" i="4"/>
  <c r="F112" i="4"/>
  <c r="D112" i="4"/>
  <c r="B113" i="4"/>
  <c r="I112" i="4"/>
  <c r="J111" i="4" s="1"/>
  <c r="H112" i="4"/>
  <c r="I55" i="4"/>
  <c r="J54" i="4" s="1"/>
  <c r="H55" i="4"/>
  <c r="C57" i="4"/>
  <c r="F56" i="4"/>
  <c r="D56" i="4"/>
  <c r="B57" i="4"/>
  <c r="I56" i="4"/>
  <c r="J55" i="4" s="1"/>
  <c r="H56" i="4"/>
  <c r="I958" i="3"/>
  <c r="J957" i="3" s="1"/>
  <c r="H958" i="3"/>
  <c r="C960" i="3"/>
  <c r="F959" i="3"/>
  <c r="D959" i="3"/>
  <c r="B960" i="3"/>
  <c r="I959" i="3"/>
  <c r="J958" i="3" s="1"/>
  <c r="H959" i="3"/>
  <c r="I900" i="3"/>
  <c r="J899" i="3" s="1"/>
  <c r="H900" i="3"/>
  <c r="C902" i="3"/>
  <c r="F901" i="3"/>
  <c r="D901" i="3"/>
  <c r="B902" i="3"/>
  <c r="I901" i="3"/>
  <c r="J900" i="3" s="1"/>
  <c r="H901" i="3"/>
  <c r="I841" i="3"/>
  <c r="J840" i="3" s="1"/>
  <c r="H841" i="3"/>
  <c r="C843" i="3"/>
  <c r="F842" i="3"/>
  <c r="D842" i="3"/>
  <c r="B843" i="3"/>
  <c r="I842" i="3"/>
  <c r="J841" i="3" s="1"/>
  <c r="H842" i="3"/>
  <c r="I781" i="3"/>
  <c r="J780" i="3" s="1"/>
  <c r="H781" i="3"/>
  <c r="C783" i="3"/>
  <c r="F782" i="3"/>
  <c r="D782" i="3"/>
  <c r="B783" i="3"/>
  <c r="I782" i="3"/>
  <c r="J781" i="3" s="1"/>
  <c r="H782" i="3"/>
  <c r="I720" i="3"/>
  <c r="J719" i="3" s="1"/>
  <c r="H720" i="3"/>
  <c r="C722" i="3"/>
  <c r="F721" i="3"/>
  <c r="D721" i="3"/>
  <c r="B722" i="3"/>
  <c r="I721" i="3"/>
  <c r="J720" i="3" s="1"/>
  <c r="H721" i="3"/>
  <c r="I658" i="3"/>
  <c r="J657" i="3" s="1"/>
  <c r="H658" i="3"/>
  <c r="C660" i="3"/>
  <c r="F659" i="3"/>
  <c r="D659" i="3"/>
  <c r="B660" i="3"/>
  <c r="I659" i="3"/>
  <c r="J658" i="3" s="1"/>
  <c r="H659" i="3"/>
  <c r="I595" i="3"/>
  <c r="J594" i="3" s="1"/>
  <c r="H595" i="3"/>
  <c r="C597" i="3"/>
  <c r="F596" i="3"/>
  <c r="D596" i="3"/>
  <c r="B597" i="3"/>
  <c r="I596" i="3"/>
  <c r="J595" i="3" s="1"/>
  <c r="H596" i="3"/>
  <c r="I531" i="3"/>
  <c r="J530" i="3" s="1"/>
  <c r="H531" i="3"/>
  <c r="C533" i="3"/>
  <c r="F532" i="3"/>
  <c r="D532" i="3"/>
  <c r="B533" i="3"/>
  <c r="I532" i="3"/>
  <c r="J531" i="3" s="1"/>
  <c r="H532" i="3"/>
  <c r="I466" i="3"/>
  <c r="J465" i="3" s="1"/>
  <c r="H466" i="3"/>
  <c r="C468" i="3"/>
  <c r="F467" i="3"/>
  <c r="D467" i="3"/>
  <c r="B468" i="3"/>
  <c r="I467" i="3"/>
  <c r="J466" i="3" s="1"/>
  <c r="H467" i="3"/>
  <c r="I400" i="3"/>
  <c r="J399" i="3" s="1"/>
  <c r="H400" i="3"/>
  <c r="C402" i="3"/>
  <c r="F401" i="3"/>
  <c r="D401" i="3"/>
  <c r="B402" i="3"/>
  <c r="I401" i="3"/>
  <c r="J400" i="3" s="1"/>
  <c r="H401" i="3"/>
  <c r="I333" i="3"/>
  <c r="J332" i="3" s="1"/>
  <c r="H333" i="3"/>
  <c r="C335" i="3"/>
  <c r="F334" i="3"/>
  <c r="D334" i="3"/>
  <c r="B335" i="3"/>
  <c r="I334" i="3"/>
  <c r="J333" i="3" s="1"/>
  <c r="H334" i="3"/>
  <c r="I265" i="3"/>
  <c r="J264" i="3" s="1"/>
  <c r="H265" i="3"/>
  <c r="C267" i="3"/>
  <c r="F266" i="3"/>
  <c r="D266" i="3"/>
  <c r="B267" i="3"/>
  <c r="I266" i="3"/>
  <c r="J265" i="3" s="1"/>
  <c r="H266" i="3"/>
  <c r="I196" i="3"/>
  <c r="J195" i="3" s="1"/>
  <c r="H196" i="3"/>
  <c r="C198" i="3"/>
  <c r="F197" i="3"/>
  <c r="D197" i="3"/>
  <c r="B198" i="3"/>
  <c r="I197" i="3"/>
  <c r="J196" i="3" s="1"/>
  <c r="H197" i="3"/>
  <c r="I126" i="3"/>
  <c r="J125" i="3" s="1"/>
  <c r="H126" i="3"/>
  <c r="C128" i="3"/>
  <c r="F127" i="3"/>
  <c r="D127" i="3"/>
  <c r="B128" i="3"/>
  <c r="I127" i="3"/>
  <c r="J126" i="3" s="1"/>
  <c r="H127" i="3"/>
  <c r="I55" i="3"/>
  <c r="J54" i="3" s="1"/>
  <c r="H55" i="3"/>
  <c r="C57" i="3"/>
  <c r="F56" i="3"/>
  <c r="D56" i="3"/>
  <c r="B57" i="3"/>
  <c r="I56" i="3"/>
  <c r="J55" i="3" s="1"/>
  <c r="H56" i="3"/>
  <c r="I830" i="2"/>
  <c r="J829" i="2" s="1"/>
  <c r="H830" i="2"/>
  <c r="C832" i="2"/>
  <c r="F831" i="2"/>
  <c r="D831" i="2"/>
  <c r="B832" i="2"/>
  <c r="I831" i="2"/>
  <c r="J830" i="2" s="1"/>
  <c r="H831" i="2"/>
  <c r="I757" i="2"/>
  <c r="J756" i="2" s="1"/>
  <c r="H757" i="2"/>
  <c r="C759" i="2"/>
  <c r="F758" i="2"/>
  <c r="B759" i="2"/>
  <c r="I758" i="2"/>
  <c r="J757" i="2" s="1"/>
  <c r="H758" i="2"/>
  <c r="I683" i="2"/>
  <c r="J682" i="2" s="1"/>
  <c r="H683" i="2"/>
  <c r="C685" i="2"/>
  <c r="F684" i="2"/>
  <c r="B685" i="2"/>
  <c r="I684" i="2"/>
  <c r="J683" i="2" s="1"/>
  <c r="H684" i="2"/>
  <c r="I608" i="2"/>
  <c r="J607" i="2" s="1"/>
  <c r="H608" i="2"/>
  <c r="C610" i="2"/>
  <c r="F609" i="2"/>
  <c r="B610" i="2"/>
  <c r="I609" i="2"/>
  <c r="J608" i="2" s="1"/>
  <c r="H609" i="2"/>
  <c r="I532" i="2"/>
  <c r="J531" i="2" s="1"/>
  <c r="H532" i="2"/>
  <c r="C534" i="2"/>
  <c r="F533" i="2"/>
  <c r="D533" i="2"/>
  <c r="B534" i="2"/>
  <c r="I533" i="2"/>
  <c r="J532" i="2" s="1"/>
  <c r="H533" i="2"/>
  <c r="I455" i="2"/>
  <c r="J454" i="2" s="1"/>
  <c r="H455" i="2"/>
  <c r="C457" i="2"/>
  <c r="F456" i="2"/>
  <c r="D456" i="2"/>
  <c r="B457" i="2"/>
  <c r="I456" i="2"/>
  <c r="J455" i="2" s="1"/>
  <c r="H456" i="2"/>
  <c r="I377" i="2"/>
  <c r="J376" i="2" s="1"/>
  <c r="H377" i="2"/>
  <c r="C379" i="2"/>
  <c r="F378" i="2"/>
  <c r="D378" i="2"/>
  <c r="B379" i="2"/>
  <c r="I378" i="2"/>
  <c r="J377" i="2" s="1"/>
  <c r="H378" i="2"/>
  <c r="I298" i="2"/>
  <c r="J297" i="2" s="1"/>
  <c r="H298" i="2"/>
  <c r="C300" i="2"/>
  <c r="F299" i="2"/>
  <c r="D299" i="2"/>
  <c r="B300" i="2"/>
  <c r="I299" i="2"/>
  <c r="J298" i="2" s="1"/>
  <c r="H299" i="2"/>
  <c r="I218" i="2"/>
  <c r="J217" i="2" s="1"/>
  <c r="H218" i="2"/>
  <c r="C220" i="2"/>
  <c r="F219" i="2"/>
  <c r="D219" i="2"/>
  <c r="B220" i="2"/>
  <c r="I219" i="2"/>
  <c r="J218" i="2" s="1"/>
  <c r="H219" i="2"/>
  <c r="I137" i="2"/>
  <c r="J136" i="2" s="1"/>
  <c r="H137" i="2"/>
  <c r="C139" i="2"/>
  <c r="F138" i="2"/>
  <c r="D138" i="2"/>
  <c r="B139" i="2"/>
  <c r="I138" i="2"/>
  <c r="J137" i="2" s="1"/>
  <c r="H138" i="2"/>
  <c r="I55" i="2"/>
  <c r="J54" i="2" s="1"/>
  <c r="H55" i="2"/>
  <c r="C57" i="2"/>
  <c r="F56" i="2"/>
  <c r="D56" i="2"/>
  <c r="B57" i="2"/>
  <c r="I56" i="2"/>
  <c r="J55" i="2" s="1"/>
  <c r="H56" i="2"/>
  <c r="B58" i="2" l="1"/>
  <c r="C58" i="2"/>
  <c r="F57" i="2"/>
  <c r="D57" i="2"/>
  <c r="B140" i="2"/>
  <c r="C140" i="2"/>
  <c r="F139" i="2"/>
  <c r="D139" i="2"/>
  <c r="B221" i="2"/>
  <c r="C221" i="2"/>
  <c r="F220" i="2"/>
  <c r="D220" i="2"/>
  <c r="B301" i="2"/>
  <c r="C301" i="2"/>
  <c r="F300" i="2"/>
  <c r="D300" i="2"/>
  <c r="B380" i="2"/>
  <c r="C380" i="2"/>
  <c r="F379" i="2"/>
  <c r="D379" i="2"/>
  <c r="B458" i="2"/>
  <c r="C458" i="2"/>
  <c r="F457" i="2"/>
  <c r="D457" i="2"/>
  <c r="B535" i="2"/>
  <c r="C535" i="2"/>
  <c r="F534" i="2"/>
  <c r="D534" i="2"/>
  <c r="B611" i="2"/>
  <c r="C611" i="2"/>
  <c r="F610" i="2"/>
  <c r="B686" i="2"/>
  <c r="C686" i="2"/>
  <c r="F685" i="2"/>
  <c r="B760" i="2"/>
  <c r="C760" i="2"/>
  <c r="F759" i="2"/>
  <c r="B833" i="2"/>
  <c r="C833" i="2"/>
  <c r="F832" i="2"/>
  <c r="D832" i="2"/>
  <c r="B58" i="3"/>
  <c r="C58" i="3"/>
  <c r="F57" i="3"/>
  <c r="D57" i="3"/>
  <c r="B129" i="3"/>
  <c r="C129" i="3"/>
  <c r="F128" i="3"/>
  <c r="D128" i="3"/>
  <c r="B199" i="3"/>
  <c r="C199" i="3"/>
  <c r="F198" i="3"/>
  <c r="D198" i="3"/>
  <c r="B268" i="3"/>
  <c r="C268" i="3"/>
  <c r="F267" i="3"/>
  <c r="D267" i="3"/>
  <c r="B336" i="3"/>
  <c r="C336" i="3"/>
  <c r="F335" i="3"/>
  <c r="D335" i="3"/>
  <c r="B403" i="3"/>
  <c r="C403" i="3"/>
  <c r="F402" i="3"/>
  <c r="D402" i="3"/>
  <c r="B469" i="3"/>
  <c r="C469" i="3"/>
  <c r="F468" i="3"/>
  <c r="D468" i="3"/>
  <c r="B534" i="3"/>
  <c r="C534" i="3"/>
  <c r="F533" i="3"/>
  <c r="D533" i="3"/>
  <c r="B598" i="3"/>
  <c r="C598" i="3"/>
  <c r="F597" i="3"/>
  <c r="D597" i="3"/>
  <c r="B661" i="3"/>
  <c r="C661" i="3"/>
  <c r="F660" i="3"/>
  <c r="D660" i="3"/>
  <c r="B723" i="3"/>
  <c r="C723" i="3"/>
  <c r="F722" i="3"/>
  <c r="D722" i="3"/>
  <c r="B784" i="3"/>
  <c r="C784" i="3"/>
  <c r="F783" i="3"/>
  <c r="D783" i="3"/>
  <c r="B844" i="3"/>
  <c r="C844" i="3"/>
  <c r="F843" i="3"/>
  <c r="D843" i="3"/>
  <c r="B903" i="3"/>
  <c r="C903" i="3"/>
  <c r="F902" i="3"/>
  <c r="D902" i="3"/>
  <c r="B961" i="3"/>
  <c r="C961" i="3"/>
  <c r="F960" i="3"/>
  <c r="D960" i="3"/>
  <c r="B58" i="4"/>
  <c r="C58" i="4"/>
  <c r="F57" i="4"/>
  <c r="D57" i="4"/>
  <c r="B114" i="4"/>
  <c r="C114" i="4"/>
  <c r="F113" i="4"/>
  <c r="D113" i="4"/>
  <c r="F167" i="4"/>
  <c r="D167" i="4"/>
  <c r="H167" i="4" s="1"/>
  <c r="I167" i="4"/>
  <c r="J166" i="4" s="1"/>
  <c r="B169" i="4"/>
  <c r="C168" i="4"/>
  <c r="F221" i="4"/>
  <c r="D221" i="4"/>
  <c r="H221" i="4" s="1"/>
  <c r="I221" i="4"/>
  <c r="J220" i="4" s="1"/>
  <c r="B223" i="4"/>
  <c r="C222" i="4"/>
  <c r="F274" i="4"/>
  <c r="D274" i="4"/>
  <c r="H274" i="4" s="1"/>
  <c r="I274" i="4"/>
  <c r="J273" i="4" s="1"/>
  <c r="B276" i="4"/>
  <c r="C275" i="4"/>
  <c r="F326" i="4"/>
  <c r="D326" i="4"/>
  <c r="H326" i="4" s="1"/>
  <c r="I326" i="4"/>
  <c r="J325" i="4" s="1"/>
  <c r="B328" i="4"/>
  <c r="C327" i="4"/>
  <c r="F377" i="4"/>
  <c r="D377" i="4"/>
  <c r="H377" i="4" s="1"/>
  <c r="I377" i="4"/>
  <c r="J376" i="4" s="1"/>
  <c r="B379" i="4"/>
  <c r="C378" i="4"/>
  <c r="F427" i="4"/>
  <c r="D427" i="4"/>
  <c r="H427" i="4" s="1"/>
  <c r="I427" i="4"/>
  <c r="J426" i="4" s="1"/>
  <c r="B429" i="4"/>
  <c r="C428" i="4"/>
  <c r="F476" i="4"/>
  <c r="D476" i="4"/>
  <c r="H476" i="4" s="1"/>
  <c r="I476" i="4"/>
  <c r="J475" i="4" s="1"/>
  <c r="C477" i="4"/>
  <c r="F524" i="4"/>
  <c r="D524" i="4"/>
  <c r="H524" i="4" s="1"/>
  <c r="I524" i="4"/>
  <c r="J523" i="4" s="1"/>
  <c r="F477" i="4" l="1"/>
  <c r="D477" i="4"/>
  <c r="H477" i="4" s="1"/>
  <c r="I477" i="4"/>
  <c r="J476" i="4" s="1"/>
  <c r="F428" i="4"/>
  <c r="D428" i="4"/>
  <c r="H428" i="4" s="1"/>
  <c r="I428" i="4"/>
  <c r="J427" i="4" s="1"/>
  <c r="C429" i="4"/>
  <c r="F378" i="4"/>
  <c r="D378" i="4"/>
  <c r="H378" i="4" s="1"/>
  <c r="I378" i="4"/>
  <c r="J377" i="4" s="1"/>
  <c r="B380" i="4"/>
  <c r="C379" i="4"/>
  <c r="F327" i="4"/>
  <c r="D327" i="4"/>
  <c r="H327" i="4" s="1"/>
  <c r="I327" i="4"/>
  <c r="J326" i="4" s="1"/>
  <c r="B329" i="4"/>
  <c r="C328" i="4"/>
  <c r="F275" i="4"/>
  <c r="D275" i="4"/>
  <c r="H275" i="4" s="1"/>
  <c r="I275" i="4"/>
  <c r="J274" i="4" s="1"/>
  <c r="B277" i="4"/>
  <c r="C276" i="4"/>
  <c r="F222" i="4"/>
  <c r="D222" i="4"/>
  <c r="H222" i="4" s="1"/>
  <c r="I222" i="4"/>
  <c r="J221" i="4" s="1"/>
  <c r="B224" i="4"/>
  <c r="C223" i="4"/>
  <c r="F168" i="4"/>
  <c r="D168" i="4"/>
  <c r="H168" i="4" s="1"/>
  <c r="I168" i="4"/>
  <c r="J167" i="4" s="1"/>
  <c r="B170" i="4"/>
  <c r="C169" i="4"/>
  <c r="I113" i="4"/>
  <c r="J112" i="4" s="1"/>
  <c r="H113" i="4"/>
  <c r="C115" i="4"/>
  <c r="F114" i="4"/>
  <c r="D114" i="4"/>
  <c r="B115" i="4"/>
  <c r="I114" i="4"/>
  <c r="J113" i="4" s="1"/>
  <c r="H114" i="4"/>
  <c r="I57" i="4"/>
  <c r="J56" i="4" s="1"/>
  <c r="H57" i="4"/>
  <c r="C59" i="4"/>
  <c r="F58" i="4"/>
  <c r="D58" i="4"/>
  <c r="B59" i="4"/>
  <c r="I58" i="4"/>
  <c r="J57" i="4" s="1"/>
  <c r="H58" i="4"/>
  <c r="I960" i="3"/>
  <c r="J959" i="3" s="1"/>
  <c r="H960" i="3"/>
  <c r="C962" i="3"/>
  <c r="F961" i="3"/>
  <c r="D961" i="3"/>
  <c r="B962" i="3"/>
  <c r="I961" i="3"/>
  <c r="J960" i="3" s="1"/>
  <c r="H961" i="3"/>
  <c r="I902" i="3"/>
  <c r="J901" i="3" s="1"/>
  <c r="H902" i="3"/>
  <c r="C904" i="3"/>
  <c r="F903" i="3"/>
  <c r="D903" i="3"/>
  <c r="B904" i="3"/>
  <c r="I903" i="3"/>
  <c r="J902" i="3" s="1"/>
  <c r="H903" i="3"/>
  <c r="I843" i="3"/>
  <c r="J842" i="3" s="1"/>
  <c r="H843" i="3"/>
  <c r="C845" i="3"/>
  <c r="F844" i="3"/>
  <c r="D844" i="3"/>
  <c r="B845" i="3"/>
  <c r="I844" i="3"/>
  <c r="J843" i="3" s="1"/>
  <c r="H844" i="3"/>
  <c r="I783" i="3"/>
  <c r="J782" i="3" s="1"/>
  <c r="H783" i="3"/>
  <c r="C785" i="3"/>
  <c r="F784" i="3"/>
  <c r="D784" i="3"/>
  <c r="B785" i="3"/>
  <c r="I784" i="3"/>
  <c r="J783" i="3" s="1"/>
  <c r="H784" i="3"/>
  <c r="I722" i="3"/>
  <c r="J721" i="3" s="1"/>
  <c r="H722" i="3"/>
  <c r="C724" i="3"/>
  <c r="F723" i="3"/>
  <c r="D723" i="3"/>
  <c r="B724" i="3"/>
  <c r="I723" i="3"/>
  <c r="J722" i="3" s="1"/>
  <c r="H723" i="3"/>
  <c r="I660" i="3"/>
  <c r="J659" i="3" s="1"/>
  <c r="H660" i="3"/>
  <c r="C662" i="3"/>
  <c r="F661" i="3"/>
  <c r="D661" i="3"/>
  <c r="B662" i="3"/>
  <c r="I661" i="3"/>
  <c r="J660" i="3" s="1"/>
  <c r="H661" i="3"/>
  <c r="I597" i="3"/>
  <c r="J596" i="3" s="1"/>
  <c r="H597" i="3"/>
  <c r="C599" i="3"/>
  <c r="F598" i="3"/>
  <c r="D598" i="3"/>
  <c r="B599" i="3"/>
  <c r="I598" i="3"/>
  <c r="J597" i="3" s="1"/>
  <c r="H598" i="3"/>
  <c r="I533" i="3"/>
  <c r="J532" i="3" s="1"/>
  <c r="H533" i="3"/>
  <c r="C535" i="3"/>
  <c r="F534" i="3"/>
  <c r="D534" i="3"/>
  <c r="B535" i="3"/>
  <c r="I534" i="3"/>
  <c r="J533" i="3" s="1"/>
  <c r="H534" i="3"/>
  <c r="I468" i="3"/>
  <c r="J467" i="3" s="1"/>
  <c r="H468" i="3"/>
  <c r="C470" i="3"/>
  <c r="F469" i="3"/>
  <c r="D469" i="3"/>
  <c r="B470" i="3"/>
  <c r="I469" i="3"/>
  <c r="J468" i="3" s="1"/>
  <c r="H469" i="3"/>
  <c r="I402" i="3"/>
  <c r="J401" i="3" s="1"/>
  <c r="H402" i="3"/>
  <c r="C404" i="3"/>
  <c r="F403" i="3"/>
  <c r="D403" i="3"/>
  <c r="B404" i="3"/>
  <c r="I403" i="3"/>
  <c r="J402" i="3" s="1"/>
  <c r="H403" i="3"/>
  <c r="I335" i="3"/>
  <c r="J334" i="3" s="1"/>
  <c r="H335" i="3"/>
  <c r="C337" i="3"/>
  <c r="F336" i="3"/>
  <c r="D336" i="3"/>
  <c r="B337" i="3"/>
  <c r="I336" i="3"/>
  <c r="J335" i="3" s="1"/>
  <c r="H336" i="3"/>
  <c r="I267" i="3"/>
  <c r="J266" i="3" s="1"/>
  <c r="H267" i="3"/>
  <c r="C269" i="3"/>
  <c r="F268" i="3"/>
  <c r="D268" i="3"/>
  <c r="B269" i="3"/>
  <c r="I268" i="3"/>
  <c r="J267" i="3" s="1"/>
  <c r="H268" i="3"/>
  <c r="I198" i="3"/>
  <c r="J197" i="3" s="1"/>
  <c r="H198" i="3"/>
  <c r="C200" i="3"/>
  <c r="F199" i="3"/>
  <c r="D199" i="3"/>
  <c r="B200" i="3"/>
  <c r="I199" i="3"/>
  <c r="J198" i="3" s="1"/>
  <c r="H199" i="3"/>
  <c r="I128" i="3"/>
  <c r="J127" i="3" s="1"/>
  <c r="H128" i="3"/>
  <c r="C130" i="3"/>
  <c r="F129" i="3"/>
  <c r="D129" i="3"/>
  <c r="B130" i="3"/>
  <c r="I129" i="3"/>
  <c r="J128" i="3" s="1"/>
  <c r="H129" i="3"/>
  <c r="I57" i="3"/>
  <c r="J56" i="3" s="1"/>
  <c r="H57" i="3"/>
  <c r="C59" i="3"/>
  <c r="F58" i="3"/>
  <c r="D58" i="3"/>
  <c r="B59" i="3"/>
  <c r="I58" i="3"/>
  <c r="J57" i="3" s="1"/>
  <c r="H58" i="3"/>
  <c r="I832" i="2"/>
  <c r="J831" i="2" s="1"/>
  <c r="H832" i="2"/>
  <c r="C834" i="2"/>
  <c r="F833" i="2"/>
  <c r="D833" i="2"/>
  <c r="B834" i="2"/>
  <c r="I833" i="2"/>
  <c r="J832" i="2" s="1"/>
  <c r="H833" i="2"/>
  <c r="I759" i="2"/>
  <c r="J758" i="2" s="1"/>
  <c r="H759" i="2"/>
  <c r="C761" i="2"/>
  <c r="F760" i="2"/>
  <c r="B761" i="2"/>
  <c r="I760" i="2"/>
  <c r="J759" i="2" s="1"/>
  <c r="H760" i="2"/>
  <c r="I685" i="2"/>
  <c r="J684" i="2" s="1"/>
  <c r="H685" i="2"/>
  <c r="C687" i="2"/>
  <c r="F686" i="2"/>
  <c r="B687" i="2"/>
  <c r="I686" i="2"/>
  <c r="J685" i="2" s="1"/>
  <c r="H686" i="2"/>
  <c r="I610" i="2"/>
  <c r="J609" i="2" s="1"/>
  <c r="H610" i="2"/>
  <c r="C612" i="2"/>
  <c r="F611" i="2"/>
  <c r="B612" i="2"/>
  <c r="I611" i="2"/>
  <c r="J610" i="2" s="1"/>
  <c r="H611" i="2"/>
  <c r="I534" i="2"/>
  <c r="J533" i="2" s="1"/>
  <c r="H534" i="2"/>
  <c r="C536" i="2"/>
  <c r="F535" i="2"/>
  <c r="D535" i="2"/>
  <c r="B536" i="2"/>
  <c r="I535" i="2"/>
  <c r="J534" i="2" s="1"/>
  <c r="H535" i="2"/>
  <c r="I457" i="2"/>
  <c r="J456" i="2" s="1"/>
  <c r="H457" i="2"/>
  <c r="C459" i="2"/>
  <c r="F458" i="2"/>
  <c r="D458" i="2"/>
  <c r="B459" i="2"/>
  <c r="I458" i="2"/>
  <c r="J457" i="2" s="1"/>
  <c r="H458" i="2"/>
  <c r="I379" i="2"/>
  <c r="J378" i="2" s="1"/>
  <c r="H379" i="2"/>
  <c r="C381" i="2"/>
  <c r="F380" i="2"/>
  <c r="D380" i="2"/>
  <c r="B381" i="2"/>
  <c r="I380" i="2"/>
  <c r="J379" i="2" s="1"/>
  <c r="H380" i="2"/>
  <c r="I300" i="2"/>
  <c r="J299" i="2" s="1"/>
  <c r="H300" i="2"/>
  <c r="C302" i="2"/>
  <c r="F301" i="2"/>
  <c r="D301" i="2"/>
  <c r="B302" i="2"/>
  <c r="I301" i="2"/>
  <c r="J300" i="2" s="1"/>
  <c r="H301" i="2"/>
  <c r="I220" i="2"/>
  <c r="J219" i="2" s="1"/>
  <c r="H220" i="2"/>
  <c r="C222" i="2"/>
  <c r="F221" i="2"/>
  <c r="D221" i="2"/>
  <c r="B222" i="2"/>
  <c r="I221" i="2"/>
  <c r="J220" i="2" s="1"/>
  <c r="H221" i="2"/>
  <c r="I139" i="2"/>
  <c r="J138" i="2" s="1"/>
  <c r="H139" i="2"/>
  <c r="C141" i="2"/>
  <c r="F140" i="2"/>
  <c r="D140" i="2"/>
  <c r="B141" i="2"/>
  <c r="I140" i="2"/>
  <c r="J139" i="2" s="1"/>
  <c r="H140" i="2"/>
  <c r="I57" i="2"/>
  <c r="J56" i="2" s="1"/>
  <c r="H57" i="2"/>
  <c r="C59" i="2"/>
  <c r="F58" i="2"/>
  <c r="D58" i="2"/>
  <c r="B59" i="2"/>
  <c r="I58" i="2"/>
  <c r="J57" i="2" s="1"/>
  <c r="H58" i="2"/>
  <c r="B60" i="2" l="1"/>
  <c r="C60" i="2"/>
  <c r="F59" i="2"/>
  <c r="D59" i="2"/>
  <c r="B142" i="2"/>
  <c r="C142" i="2"/>
  <c r="F141" i="2"/>
  <c r="D141" i="2"/>
  <c r="B223" i="2"/>
  <c r="C223" i="2"/>
  <c r="F222" i="2"/>
  <c r="D222" i="2"/>
  <c r="B303" i="2"/>
  <c r="C303" i="2"/>
  <c r="F302" i="2"/>
  <c r="D302" i="2"/>
  <c r="B382" i="2"/>
  <c r="C382" i="2"/>
  <c r="F381" i="2"/>
  <c r="D381" i="2"/>
  <c r="B460" i="2"/>
  <c r="C460" i="2"/>
  <c r="F459" i="2"/>
  <c r="D459" i="2"/>
  <c r="B537" i="2"/>
  <c r="C537" i="2"/>
  <c r="F536" i="2"/>
  <c r="D536" i="2"/>
  <c r="B613" i="2"/>
  <c r="C613" i="2"/>
  <c r="F612" i="2"/>
  <c r="B688" i="2"/>
  <c r="C688" i="2"/>
  <c r="F687" i="2"/>
  <c r="B762" i="2"/>
  <c r="C762" i="2"/>
  <c r="F761" i="2"/>
  <c r="B835" i="2"/>
  <c r="C835" i="2"/>
  <c r="F834" i="2"/>
  <c r="D834" i="2"/>
  <c r="B60" i="3"/>
  <c r="C60" i="3"/>
  <c r="F59" i="3"/>
  <c r="D59" i="3"/>
  <c r="B131" i="3"/>
  <c r="C131" i="3"/>
  <c r="F130" i="3"/>
  <c r="D130" i="3"/>
  <c r="B201" i="3"/>
  <c r="C201" i="3"/>
  <c r="F200" i="3"/>
  <c r="D200" i="3"/>
  <c r="B270" i="3"/>
  <c r="C270" i="3"/>
  <c r="F269" i="3"/>
  <c r="D269" i="3"/>
  <c r="B338" i="3"/>
  <c r="C338" i="3"/>
  <c r="F337" i="3"/>
  <c r="D337" i="3"/>
  <c r="B405" i="3"/>
  <c r="C405" i="3"/>
  <c r="F404" i="3"/>
  <c r="D404" i="3"/>
  <c r="B471" i="3"/>
  <c r="C471" i="3"/>
  <c r="F470" i="3"/>
  <c r="D470" i="3"/>
  <c r="B536" i="3"/>
  <c r="C536" i="3"/>
  <c r="F535" i="3"/>
  <c r="D535" i="3"/>
  <c r="B600" i="3"/>
  <c r="C600" i="3"/>
  <c r="F599" i="3"/>
  <c r="D599" i="3"/>
  <c r="B663" i="3"/>
  <c r="C663" i="3"/>
  <c r="F662" i="3"/>
  <c r="D662" i="3"/>
  <c r="B725" i="3"/>
  <c r="C725" i="3"/>
  <c r="F724" i="3"/>
  <c r="D724" i="3"/>
  <c r="B786" i="3"/>
  <c r="C786" i="3"/>
  <c r="F785" i="3"/>
  <c r="D785" i="3"/>
  <c r="B846" i="3"/>
  <c r="C846" i="3"/>
  <c r="F845" i="3"/>
  <c r="D845" i="3"/>
  <c r="B905" i="3"/>
  <c r="C905" i="3"/>
  <c r="F904" i="3"/>
  <c r="D904" i="3"/>
  <c r="B963" i="3"/>
  <c r="C963" i="3"/>
  <c r="F962" i="3"/>
  <c r="D962" i="3"/>
  <c r="B60" i="4"/>
  <c r="C60" i="4"/>
  <c r="F59" i="4"/>
  <c r="D59" i="4"/>
  <c r="B116" i="4"/>
  <c r="C116" i="4"/>
  <c r="F115" i="4"/>
  <c r="D115" i="4"/>
  <c r="F169" i="4"/>
  <c r="D169" i="4"/>
  <c r="H169" i="4" s="1"/>
  <c r="I169" i="4"/>
  <c r="J168" i="4" s="1"/>
  <c r="B171" i="4"/>
  <c r="C170" i="4"/>
  <c r="F223" i="4"/>
  <c r="D223" i="4"/>
  <c r="H223" i="4" s="1"/>
  <c r="I223" i="4"/>
  <c r="J222" i="4" s="1"/>
  <c r="B225" i="4"/>
  <c r="C224" i="4"/>
  <c r="F276" i="4"/>
  <c r="D276" i="4"/>
  <c r="H276" i="4" s="1"/>
  <c r="I276" i="4"/>
  <c r="J275" i="4" s="1"/>
  <c r="B278" i="4"/>
  <c r="C277" i="4"/>
  <c r="F328" i="4"/>
  <c r="D328" i="4"/>
  <c r="H328" i="4" s="1"/>
  <c r="I328" i="4"/>
  <c r="J327" i="4" s="1"/>
  <c r="B330" i="4"/>
  <c r="C329" i="4"/>
  <c r="F379" i="4"/>
  <c r="D379" i="4"/>
  <c r="H379" i="4" s="1"/>
  <c r="I379" i="4"/>
  <c r="J378" i="4" s="1"/>
  <c r="C380" i="4"/>
  <c r="F429" i="4"/>
  <c r="D429" i="4"/>
  <c r="H429" i="4" s="1"/>
  <c r="I429" i="4"/>
  <c r="J428" i="4" s="1"/>
  <c r="F380" i="4" l="1"/>
  <c r="D380" i="4"/>
  <c r="H380" i="4" s="1"/>
  <c r="I380" i="4"/>
  <c r="J379" i="4" s="1"/>
  <c r="F329" i="4"/>
  <c r="D329" i="4"/>
  <c r="H329" i="4" s="1"/>
  <c r="I329" i="4"/>
  <c r="J328" i="4" s="1"/>
  <c r="C330" i="4"/>
  <c r="F277" i="4"/>
  <c r="D277" i="4"/>
  <c r="H277" i="4" s="1"/>
  <c r="I277" i="4"/>
  <c r="J276" i="4" s="1"/>
  <c r="B279" i="4"/>
  <c r="C278" i="4"/>
  <c r="F224" i="4"/>
  <c r="D224" i="4"/>
  <c r="H224" i="4" s="1"/>
  <c r="I224" i="4"/>
  <c r="J223" i="4" s="1"/>
  <c r="B226" i="4"/>
  <c r="C225" i="4"/>
  <c r="F170" i="4"/>
  <c r="D170" i="4"/>
  <c r="H170" i="4" s="1"/>
  <c r="I170" i="4"/>
  <c r="J169" i="4" s="1"/>
  <c r="B172" i="4"/>
  <c r="C171" i="4"/>
  <c r="I115" i="4"/>
  <c r="J114" i="4" s="1"/>
  <c r="H115" i="4"/>
  <c r="C117" i="4"/>
  <c r="F116" i="4"/>
  <c r="D116" i="4"/>
  <c r="B117" i="4"/>
  <c r="I116" i="4"/>
  <c r="J115" i="4" s="1"/>
  <c r="H116" i="4"/>
  <c r="I59" i="4"/>
  <c r="J58" i="4" s="1"/>
  <c r="H59" i="4"/>
  <c r="C61" i="4"/>
  <c r="F60" i="4"/>
  <c r="D60" i="4"/>
  <c r="B61" i="4"/>
  <c r="I60" i="4"/>
  <c r="J59" i="4" s="1"/>
  <c r="H60" i="4"/>
  <c r="I962" i="3"/>
  <c r="J961" i="3" s="1"/>
  <c r="H962" i="3"/>
  <c r="C964" i="3"/>
  <c r="F963" i="3"/>
  <c r="D963" i="3"/>
  <c r="B964" i="3"/>
  <c r="I963" i="3"/>
  <c r="J962" i="3" s="1"/>
  <c r="H963" i="3"/>
  <c r="I904" i="3"/>
  <c r="J903" i="3" s="1"/>
  <c r="H904" i="3"/>
  <c r="C906" i="3"/>
  <c r="F905" i="3"/>
  <c r="D905" i="3"/>
  <c r="B906" i="3"/>
  <c r="I905" i="3"/>
  <c r="J904" i="3" s="1"/>
  <c r="H905" i="3"/>
  <c r="I845" i="3"/>
  <c r="J844" i="3" s="1"/>
  <c r="H845" i="3"/>
  <c r="C847" i="3"/>
  <c r="F846" i="3"/>
  <c r="D846" i="3"/>
  <c r="B847" i="3"/>
  <c r="I846" i="3"/>
  <c r="J845" i="3" s="1"/>
  <c r="H846" i="3"/>
  <c r="I785" i="3"/>
  <c r="J784" i="3" s="1"/>
  <c r="H785" i="3"/>
  <c r="C787" i="3"/>
  <c r="F786" i="3"/>
  <c r="D786" i="3"/>
  <c r="B787" i="3"/>
  <c r="I786" i="3"/>
  <c r="J785" i="3" s="1"/>
  <c r="H786" i="3"/>
  <c r="I724" i="3"/>
  <c r="J723" i="3" s="1"/>
  <c r="H724" i="3"/>
  <c r="C726" i="3"/>
  <c r="F725" i="3"/>
  <c r="D725" i="3"/>
  <c r="B726" i="3"/>
  <c r="I725" i="3"/>
  <c r="J724" i="3" s="1"/>
  <c r="H725" i="3"/>
  <c r="I662" i="3"/>
  <c r="J661" i="3" s="1"/>
  <c r="H662" i="3"/>
  <c r="C664" i="3"/>
  <c r="F663" i="3"/>
  <c r="D663" i="3"/>
  <c r="B664" i="3"/>
  <c r="I663" i="3"/>
  <c r="J662" i="3" s="1"/>
  <c r="H663" i="3"/>
  <c r="I599" i="3"/>
  <c r="J598" i="3" s="1"/>
  <c r="H599" i="3"/>
  <c r="C601" i="3"/>
  <c r="F600" i="3"/>
  <c r="D600" i="3"/>
  <c r="B601" i="3"/>
  <c r="I600" i="3"/>
  <c r="J599" i="3" s="1"/>
  <c r="H600" i="3"/>
  <c r="I535" i="3"/>
  <c r="J534" i="3" s="1"/>
  <c r="H535" i="3"/>
  <c r="C537" i="3"/>
  <c r="F536" i="3"/>
  <c r="D536" i="3"/>
  <c r="B537" i="3"/>
  <c r="I536" i="3"/>
  <c r="J535" i="3" s="1"/>
  <c r="H536" i="3"/>
  <c r="I470" i="3"/>
  <c r="J469" i="3" s="1"/>
  <c r="H470" i="3"/>
  <c r="C472" i="3"/>
  <c r="F471" i="3"/>
  <c r="D471" i="3"/>
  <c r="B472" i="3"/>
  <c r="I471" i="3"/>
  <c r="J470" i="3" s="1"/>
  <c r="H471" i="3"/>
  <c r="I404" i="3"/>
  <c r="J403" i="3" s="1"/>
  <c r="H404" i="3"/>
  <c r="C406" i="3"/>
  <c r="F405" i="3"/>
  <c r="D405" i="3"/>
  <c r="B406" i="3"/>
  <c r="I405" i="3"/>
  <c r="J404" i="3" s="1"/>
  <c r="H405" i="3"/>
  <c r="I337" i="3"/>
  <c r="J336" i="3" s="1"/>
  <c r="H337" i="3"/>
  <c r="C339" i="3"/>
  <c r="F338" i="3"/>
  <c r="D338" i="3"/>
  <c r="B339" i="3"/>
  <c r="I338" i="3"/>
  <c r="J337" i="3" s="1"/>
  <c r="H338" i="3"/>
  <c r="I269" i="3"/>
  <c r="J268" i="3" s="1"/>
  <c r="H269" i="3"/>
  <c r="C271" i="3"/>
  <c r="F270" i="3"/>
  <c r="D270" i="3"/>
  <c r="B271" i="3"/>
  <c r="I270" i="3"/>
  <c r="J269" i="3" s="1"/>
  <c r="H270" i="3"/>
  <c r="I200" i="3"/>
  <c r="J199" i="3" s="1"/>
  <c r="H200" i="3"/>
  <c r="C202" i="3"/>
  <c r="F201" i="3"/>
  <c r="D201" i="3"/>
  <c r="B202" i="3"/>
  <c r="I201" i="3"/>
  <c r="J200" i="3" s="1"/>
  <c r="H201" i="3"/>
  <c r="I130" i="3"/>
  <c r="J129" i="3" s="1"/>
  <c r="H130" i="3"/>
  <c r="C132" i="3"/>
  <c r="F131" i="3"/>
  <c r="D131" i="3"/>
  <c r="B132" i="3"/>
  <c r="I131" i="3"/>
  <c r="J130" i="3" s="1"/>
  <c r="H131" i="3"/>
  <c r="I59" i="3"/>
  <c r="J58" i="3" s="1"/>
  <c r="H59" i="3"/>
  <c r="C61" i="3"/>
  <c r="F60" i="3"/>
  <c r="D60" i="3"/>
  <c r="B61" i="3"/>
  <c r="I60" i="3"/>
  <c r="J59" i="3" s="1"/>
  <c r="H60" i="3"/>
  <c r="I834" i="2"/>
  <c r="J833" i="2" s="1"/>
  <c r="H834" i="2"/>
  <c r="C836" i="2"/>
  <c r="F835" i="2"/>
  <c r="D835" i="2"/>
  <c r="B836" i="2"/>
  <c r="I835" i="2"/>
  <c r="J834" i="2" s="1"/>
  <c r="H835" i="2"/>
  <c r="I761" i="2"/>
  <c r="J760" i="2" s="1"/>
  <c r="H761" i="2"/>
  <c r="C763" i="2"/>
  <c r="F762" i="2"/>
  <c r="B763" i="2"/>
  <c r="I762" i="2"/>
  <c r="J761" i="2" s="1"/>
  <c r="H762" i="2"/>
  <c r="I687" i="2"/>
  <c r="J686" i="2" s="1"/>
  <c r="H687" i="2"/>
  <c r="C689" i="2"/>
  <c r="F688" i="2"/>
  <c r="B689" i="2"/>
  <c r="I688" i="2"/>
  <c r="J687" i="2" s="1"/>
  <c r="H688" i="2"/>
  <c r="I612" i="2"/>
  <c r="J611" i="2" s="1"/>
  <c r="H612" i="2"/>
  <c r="C614" i="2"/>
  <c r="F613" i="2"/>
  <c r="B614" i="2"/>
  <c r="I613" i="2"/>
  <c r="J612" i="2" s="1"/>
  <c r="H613" i="2"/>
  <c r="I536" i="2"/>
  <c r="J535" i="2" s="1"/>
  <c r="H536" i="2"/>
  <c r="C538" i="2"/>
  <c r="F537" i="2"/>
  <c r="D537" i="2"/>
  <c r="B538" i="2"/>
  <c r="I537" i="2"/>
  <c r="J536" i="2" s="1"/>
  <c r="H537" i="2"/>
  <c r="I459" i="2"/>
  <c r="J458" i="2" s="1"/>
  <c r="H459" i="2"/>
  <c r="C461" i="2"/>
  <c r="F460" i="2"/>
  <c r="D460" i="2"/>
  <c r="B461" i="2"/>
  <c r="I460" i="2"/>
  <c r="J459" i="2" s="1"/>
  <c r="H460" i="2"/>
  <c r="I381" i="2"/>
  <c r="J380" i="2" s="1"/>
  <c r="H381" i="2"/>
  <c r="C383" i="2"/>
  <c r="F382" i="2"/>
  <c r="D382" i="2"/>
  <c r="B383" i="2"/>
  <c r="I382" i="2"/>
  <c r="J381" i="2" s="1"/>
  <c r="H382" i="2"/>
  <c r="I302" i="2"/>
  <c r="J301" i="2" s="1"/>
  <c r="H302" i="2"/>
  <c r="C304" i="2"/>
  <c r="F303" i="2"/>
  <c r="D303" i="2"/>
  <c r="B304" i="2"/>
  <c r="I303" i="2"/>
  <c r="J302" i="2" s="1"/>
  <c r="H303" i="2"/>
  <c r="I222" i="2"/>
  <c r="J221" i="2" s="1"/>
  <c r="H222" i="2"/>
  <c r="C224" i="2"/>
  <c r="F223" i="2"/>
  <c r="D223" i="2"/>
  <c r="B224" i="2"/>
  <c r="I223" i="2"/>
  <c r="J222" i="2" s="1"/>
  <c r="H223" i="2"/>
  <c r="I141" i="2"/>
  <c r="J140" i="2" s="1"/>
  <c r="H141" i="2"/>
  <c r="C143" i="2"/>
  <c r="F142" i="2"/>
  <c r="D142" i="2"/>
  <c r="B143" i="2"/>
  <c r="I142" i="2"/>
  <c r="J141" i="2" s="1"/>
  <c r="H142" i="2"/>
  <c r="I59" i="2"/>
  <c r="J58" i="2" s="1"/>
  <c r="H59" i="2"/>
  <c r="C61" i="2"/>
  <c r="F60" i="2"/>
  <c r="D60" i="2"/>
  <c r="B61" i="2"/>
  <c r="I60" i="2"/>
  <c r="J59" i="2" s="1"/>
  <c r="H60" i="2"/>
  <c r="B62" i="2" l="1"/>
  <c r="C62" i="2"/>
  <c r="F61" i="2"/>
  <c r="D61" i="2"/>
  <c r="B144" i="2"/>
  <c r="C144" i="2"/>
  <c r="F143" i="2"/>
  <c r="D143" i="2"/>
  <c r="B225" i="2"/>
  <c r="C225" i="2"/>
  <c r="F224" i="2"/>
  <c r="D224" i="2"/>
  <c r="B305" i="2"/>
  <c r="C305" i="2"/>
  <c r="F304" i="2"/>
  <c r="D304" i="2"/>
  <c r="B384" i="2"/>
  <c r="C384" i="2"/>
  <c r="F383" i="2"/>
  <c r="D383" i="2"/>
  <c r="B462" i="2"/>
  <c r="C462" i="2"/>
  <c r="F461" i="2"/>
  <c r="D461" i="2"/>
  <c r="B539" i="2"/>
  <c r="C539" i="2"/>
  <c r="F538" i="2"/>
  <c r="D538" i="2"/>
  <c r="B615" i="2"/>
  <c r="C615" i="2"/>
  <c r="F614" i="2"/>
  <c r="B690" i="2"/>
  <c r="C690" i="2"/>
  <c r="F689" i="2"/>
  <c r="B764" i="2"/>
  <c r="C764" i="2"/>
  <c r="F763" i="2"/>
  <c r="B837" i="2"/>
  <c r="C837" i="2"/>
  <c r="F836" i="2"/>
  <c r="D836" i="2"/>
  <c r="B62" i="3"/>
  <c r="C62" i="3"/>
  <c r="F61" i="3"/>
  <c r="D61" i="3"/>
  <c r="B133" i="3"/>
  <c r="C133" i="3"/>
  <c r="F132" i="3"/>
  <c r="D132" i="3"/>
  <c r="B203" i="3"/>
  <c r="C203" i="3"/>
  <c r="F202" i="3"/>
  <c r="D202" i="3"/>
  <c r="B272" i="3"/>
  <c r="C272" i="3"/>
  <c r="F271" i="3"/>
  <c r="D271" i="3"/>
  <c r="B340" i="3"/>
  <c r="C340" i="3"/>
  <c r="F339" i="3"/>
  <c r="D339" i="3"/>
  <c r="B407" i="3"/>
  <c r="C407" i="3"/>
  <c r="F406" i="3"/>
  <c r="D406" i="3"/>
  <c r="B473" i="3"/>
  <c r="C473" i="3"/>
  <c r="F472" i="3"/>
  <c r="D472" i="3"/>
  <c r="B538" i="3"/>
  <c r="C538" i="3"/>
  <c r="F537" i="3"/>
  <c r="D537" i="3"/>
  <c r="B602" i="3"/>
  <c r="C602" i="3"/>
  <c r="F601" i="3"/>
  <c r="D601" i="3"/>
  <c r="B665" i="3"/>
  <c r="C665" i="3"/>
  <c r="F664" i="3"/>
  <c r="D664" i="3"/>
  <c r="B727" i="3"/>
  <c r="C727" i="3"/>
  <c r="F726" i="3"/>
  <c r="D726" i="3"/>
  <c r="B788" i="3"/>
  <c r="C788" i="3"/>
  <c r="F787" i="3"/>
  <c r="D787" i="3"/>
  <c r="B848" i="3"/>
  <c r="C848" i="3"/>
  <c r="F847" i="3"/>
  <c r="D847" i="3"/>
  <c r="B907" i="3"/>
  <c r="C907" i="3"/>
  <c r="F906" i="3"/>
  <c r="D906" i="3"/>
  <c r="B965" i="3"/>
  <c r="C965" i="3"/>
  <c r="F964" i="3"/>
  <c r="D964" i="3"/>
  <c r="B62" i="4"/>
  <c r="C62" i="4"/>
  <c r="F61" i="4"/>
  <c r="D61" i="4"/>
  <c r="B118" i="4"/>
  <c r="C118" i="4"/>
  <c r="F117" i="4"/>
  <c r="D117" i="4"/>
  <c r="F171" i="4"/>
  <c r="D171" i="4"/>
  <c r="H171" i="4" s="1"/>
  <c r="I171" i="4"/>
  <c r="J170" i="4" s="1"/>
  <c r="B173" i="4"/>
  <c r="C172" i="4"/>
  <c r="F225" i="4"/>
  <c r="D225" i="4"/>
  <c r="H225" i="4" s="1"/>
  <c r="I225" i="4"/>
  <c r="J224" i="4" s="1"/>
  <c r="B227" i="4"/>
  <c r="C226" i="4"/>
  <c r="F278" i="4"/>
  <c r="D278" i="4"/>
  <c r="H278" i="4" s="1"/>
  <c r="I278" i="4"/>
  <c r="J277" i="4" s="1"/>
  <c r="C279" i="4"/>
  <c r="F330" i="4"/>
  <c r="D330" i="4"/>
  <c r="H330" i="4" s="1"/>
  <c r="I330" i="4"/>
  <c r="J329" i="4" s="1"/>
  <c r="F279" i="4" l="1"/>
  <c r="D279" i="4"/>
  <c r="H279" i="4" s="1"/>
  <c r="I279" i="4"/>
  <c r="J278" i="4" s="1"/>
  <c r="F226" i="4"/>
  <c r="D226" i="4"/>
  <c r="H226" i="4" s="1"/>
  <c r="I226" i="4"/>
  <c r="J225" i="4" s="1"/>
  <c r="C227" i="4"/>
  <c r="F172" i="4"/>
  <c r="D172" i="4"/>
  <c r="H172" i="4" s="1"/>
  <c r="I172" i="4"/>
  <c r="J171" i="4" s="1"/>
  <c r="B174" i="4"/>
  <c r="C173" i="4"/>
  <c r="I117" i="4"/>
  <c r="J116" i="4" s="1"/>
  <c r="H117" i="4"/>
  <c r="C119" i="4"/>
  <c r="F118" i="4"/>
  <c r="D118" i="4"/>
  <c r="B119" i="4"/>
  <c r="I118" i="4"/>
  <c r="J117" i="4" s="1"/>
  <c r="H118" i="4"/>
  <c r="I61" i="4"/>
  <c r="J60" i="4" s="1"/>
  <c r="H61" i="4"/>
  <c r="C63" i="4"/>
  <c r="F62" i="4"/>
  <c r="D62" i="4"/>
  <c r="B63" i="4"/>
  <c r="I62" i="4"/>
  <c r="J61" i="4" s="1"/>
  <c r="H62" i="4"/>
  <c r="I964" i="3"/>
  <c r="J963" i="3" s="1"/>
  <c r="H964" i="3"/>
  <c r="C966" i="3"/>
  <c r="F965" i="3"/>
  <c r="D965" i="3"/>
  <c r="B966" i="3"/>
  <c r="I965" i="3"/>
  <c r="J964" i="3" s="1"/>
  <c r="H965" i="3"/>
  <c r="I906" i="3"/>
  <c r="J905" i="3" s="1"/>
  <c r="H906" i="3"/>
  <c r="C908" i="3"/>
  <c r="F907" i="3"/>
  <c r="D907" i="3"/>
  <c r="B908" i="3"/>
  <c r="I907" i="3"/>
  <c r="J906" i="3" s="1"/>
  <c r="H907" i="3"/>
  <c r="I847" i="3"/>
  <c r="J846" i="3" s="1"/>
  <c r="H847" i="3"/>
  <c r="C849" i="3"/>
  <c r="F848" i="3"/>
  <c r="D848" i="3"/>
  <c r="B849" i="3"/>
  <c r="I848" i="3"/>
  <c r="J847" i="3" s="1"/>
  <c r="H848" i="3"/>
  <c r="I787" i="3"/>
  <c r="J786" i="3" s="1"/>
  <c r="H787" i="3"/>
  <c r="C789" i="3"/>
  <c r="F788" i="3"/>
  <c r="D788" i="3"/>
  <c r="B789" i="3"/>
  <c r="I788" i="3"/>
  <c r="J787" i="3" s="1"/>
  <c r="H788" i="3"/>
  <c r="I726" i="3"/>
  <c r="J725" i="3" s="1"/>
  <c r="H726" i="3"/>
  <c r="C728" i="3"/>
  <c r="F727" i="3"/>
  <c r="D727" i="3"/>
  <c r="B728" i="3"/>
  <c r="I727" i="3"/>
  <c r="J726" i="3" s="1"/>
  <c r="H727" i="3"/>
  <c r="I664" i="3"/>
  <c r="J663" i="3" s="1"/>
  <c r="H664" i="3"/>
  <c r="C666" i="3"/>
  <c r="F665" i="3"/>
  <c r="D665" i="3"/>
  <c r="B666" i="3"/>
  <c r="I665" i="3"/>
  <c r="J664" i="3" s="1"/>
  <c r="H665" i="3"/>
  <c r="I601" i="3"/>
  <c r="J600" i="3" s="1"/>
  <c r="H601" i="3"/>
  <c r="C603" i="3"/>
  <c r="F602" i="3"/>
  <c r="D602" i="3"/>
  <c r="B603" i="3"/>
  <c r="I602" i="3"/>
  <c r="J601" i="3" s="1"/>
  <c r="H602" i="3"/>
  <c r="I537" i="3"/>
  <c r="J536" i="3" s="1"/>
  <c r="H537" i="3"/>
  <c r="C539" i="3"/>
  <c r="F538" i="3"/>
  <c r="D538" i="3"/>
  <c r="B539" i="3"/>
  <c r="I538" i="3"/>
  <c r="J537" i="3" s="1"/>
  <c r="H538" i="3"/>
  <c r="I472" i="3"/>
  <c r="J471" i="3" s="1"/>
  <c r="H472" i="3"/>
  <c r="C474" i="3"/>
  <c r="F473" i="3"/>
  <c r="D473" i="3"/>
  <c r="B474" i="3"/>
  <c r="I473" i="3"/>
  <c r="J472" i="3" s="1"/>
  <c r="H473" i="3"/>
  <c r="I406" i="3"/>
  <c r="J405" i="3" s="1"/>
  <c r="H406" i="3"/>
  <c r="C408" i="3"/>
  <c r="F407" i="3"/>
  <c r="D407" i="3"/>
  <c r="B408" i="3"/>
  <c r="I407" i="3"/>
  <c r="J406" i="3" s="1"/>
  <c r="H407" i="3"/>
  <c r="I339" i="3"/>
  <c r="J338" i="3" s="1"/>
  <c r="H339" i="3"/>
  <c r="C341" i="3"/>
  <c r="F340" i="3"/>
  <c r="D340" i="3"/>
  <c r="B341" i="3"/>
  <c r="I340" i="3"/>
  <c r="J339" i="3" s="1"/>
  <c r="H340" i="3"/>
  <c r="I271" i="3"/>
  <c r="J270" i="3" s="1"/>
  <c r="H271" i="3"/>
  <c r="C273" i="3"/>
  <c r="F272" i="3"/>
  <c r="D272" i="3"/>
  <c r="B273" i="3"/>
  <c r="I272" i="3"/>
  <c r="J271" i="3" s="1"/>
  <c r="H272" i="3"/>
  <c r="I202" i="3"/>
  <c r="J201" i="3" s="1"/>
  <c r="H202" i="3"/>
  <c r="C204" i="3"/>
  <c r="F203" i="3"/>
  <c r="D203" i="3"/>
  <c r="B204" i="3"/>
  <c r="I203" i="3"/>
  <c r="J202" i="3" s="1"/>
  <c r="H203" i="3"/>
  <c r="I132" i="3"/>
  <c r="J131" i="3" s="1"/>
  <c r="H132" i="3"/>
  <c r="C134" i="3"/>
  <c r="F133" i="3"/>
  <c r="D133" i="3"/>
  <c r="B134" i="3"/>
  <c r="I133" i="3"/>
  <c r="J132" i="3" s="1"/>
  <c r="H133" i="3"/>
  <c r="I61" i="3"/>
  <c r="J60" i="3" s="1"/>
  <c r="H61" i="3"/>
  <c r="C63" i="3"/>
  <c r="F62" i="3"/>
  <c r="D62" i="3"/>
  <c r="B63" i="3"/>
  <c r="I62" i="3"/>
  <c r="J61" i="3" s="1"/>
  <c r="H62" i="3"/>
  <c r="I836" i="2"/>
  <c r="J835" i="2" s="1"/>
  <c r="H836" i="2"/>
  <c r="C838" i="2"/>
  <c r="F837" i="2"/>
  <c r="D837" i="2"/>
  <c r="B838" i="2"/>
  <c r="I837" i="2"/>
  <c r="J836" i="2" s="1"/>
  <c r="H837" i="2"/>
  <c r="I763" i="2"/>
  <c r="J762" i="2" s="1"/>
  <c r="H763" i="2"/>
  <c r="C765" i="2"/>
  <c r="F764" i="2"/>
  <c r="B765" i="2"/>
  <c r="I764" i="2"/>
  <c r="J763" i="2" s="1"/>
  <c r="H764" i="2"/>
  <c r="I689" i="2"/>
  <c r="J688" i="2" s="1"/>
  <c r="H689" i="2"/>
  <c r="C691" i="2"/>
  <c r="F690" i="2"/>
  <c r="B691" i="2"/>
  <c r="I690" i="2"/>
  <c r="J689" i="2" s="1"/>
  <c r="H690" i="2"/>
  <c r="I614" i="2"/>
  <c r="J613" i="2" s="1"/>
  <c r="H614" i="2"/>
  <c r="C616" i="2"/>
  <c r="F615" i="2"/>
  <c r="B616" i="2"/>
  <c r="I615" i="2"/>
  <c r="J614" i="2" s="1"/>
  <c r="H615" i="2"/>
  <c r="I538" i="2"/>
  <c r="J537" i="2" s="1"/>
  <c r="H538" i="2"/>
  <c r="C540" i="2"/>
  <c r="F539" i="2"/>
  <c r="D539" i="2"/>
  <c r="B540" i="2"/>
  <c r="I539" i="2"/>
  <c r="J538" i="2" s="1"/>
  <c r="H539" i="2"/>
  <c r="I461" i="2"/>
  <c r="J460" i="2" s="1"/>
  <c r="H461" i="2"/>
  <c r="C463" i="2"/>
  <c r="F462" i="2"/>
  <c r="D462" i="2"/>
  <c r="B463" i="2"/>
  <c r="I462" i="2"/>
  <c r="J461" i="2" s="1"/>
  <c r="H462" i="2"/>
  <c r="I383" i="2"/>
  <c r="J382" i="2" s="1"/>
  <c r="H383" i="2"/>
  <c r="C385" i="2"/>
  <c r="F384" i="2"/>
  <c r="D384" i="2"/>
  <c r="B385" i="2"/>
  <c r="I384" i="2"/>
  <c r="J383" i="2" s="1"/>
  <c r="H384" i="2"/>
  <c r="I304" i="2"/>
  <c r="J303" i="2" s="1"/>
  <c r="H304" i="2"/>
  <c r="C306" i="2"/>
  <c r="F305" i="2"/>
  <c r="D305" i="2"/>
  <c r="B306" i="2"/>
  <c r="I305" i="2"/>
  <c r="J304" i="2" s="1"/>
  <c r="H305" i="2"/>
  <c r="I224" i="2"/>
  <c r="J223" i="2" s="1"/>
  <c r="H224" i="2"/>
  <c r="C226" i="2"/>
  <c r="F225" i="2"/>
  <c r="D225" i="2"/>
  <c r="B226" i="2"/>
  <c r="I225" i="2"/>
  <c r="J224" i="2" s="1"/>
  <c r="H225" i="2"/>
  <c r="I143" i="2"/>
  <c r="J142" i="2" s="1"/>
  <c r="H143" i="2"/>
  <c r="C145" i="2"/>
  <c r="F144" i="2"/>
  <c r="D144" i="2"/>
  <c r="B145" i="2"/>
  <c r="I144" i="2"/>
  <c r="J143" i="2" s="1"/>
  <c r="H144" i="2"/>
  <c r="I61" i="2"/>
  <c r="J60" i="2" s="1"/>
  <c r="H61" i="2"/>
  <c r="C63" i="2"/>
  <c r="F62" i="2"/>
  <c r="D62" i="2"/>
  <c r="B63" i="2"/>
  <c r="I62" i="2"/>
  <c r="J61" i="2" s="1"/>
  <c r="H62" i="2"/>
  <c r="B64" i="2" l="1"/>
  <c r="C64" i="2"/>
  <c r="F63" i="2"/>
  <c r="D63" i="2"/>
  <c r="B146" i="2"/>
  <c r="C146" i="2"/>
  <c r="F145" i="2"/>
  <c r="D145" i="2"/>
  <c r="B227" i="2"/>
  <c r="C227" i="2"/>
  <c r="F226" i="2"/>
  <c r="D226" i="2"/>
  <c r="B307" i="2"/>
  <c r="C307" i="2"/>
  <c r="F306" i="2"/>
  <c r="D306" i="2"/>
  <c r="B386" i="2"/>
  <c r="C386" i="2"/>
  <c r="F385" i="2"/>
  <c r="D385" i="2"/>
  <c r="B464" i="2"/>
  <c r="C464" i="2"/>
  <c r="F463" i="2"/>
  <c r="D463" i="2"/>
  <c r="B541" i="2"/>
  <c r="C541" i="2"/>
  <c r="F540" i="2"/>
  <c r="D540" i="2"/>
  <c r="B617" i="2"/>
  <c r="C617" i="2"/>
  <c r="F616" i="2"/>
  <c r="B692" i="2"/>
  <c r="C692" i="2"/>
  <c r="F691" i="2"/>
  <c r="B766" i="2"/>
  <c r="C766" i="2"/>
  <c r="F765" i="2"/>
  <c r="B839" i="2"/>
  <c r="C839" i="2"/>
  <c r="F838" i="2"/>
  <c r="D838" i="2"/>
  <c r="B64" i="3"/>
  <c r="C64" i="3"/>
  <c r="F63" i="3"/>
  <c r="D63" i="3"/>
  <c r="B135" i="3"/>
  <c r="C135" i="3"/>
  <c r="F134" i="3"/>
  <c r="D134" i="3"/>
  <c r="B205" i="3"/>
  <c r="C205" i="3"/>
  <c r="F204" i="3"/>
  <c r="D204" i="3"/>
  <c r="B274" i="3"/>
  <c r="C274" i="3"/>
  <c r="F273" i="3"/>
  <c r="D273" i="3"/>
  <c r="B342" i="3"/>
  <c r="C342" i="3"/>
  <c r="F341" i="3"/>
  <c r="D341" i="3"/>
  <c r="B409" i="3"/>
  <c r="C409" i="3"/>
  <c r="F408" i="3"/>
  <c r="D408" i="3"/>
  <c r="B475" i="3"/>
  <c r="C475" i="3"/>
  <c r="F474" i="3"/>
  <c r="D474" i="3"/>
  <c r="B540" i="3"/>
  <c r="C540" i="3"/>
  <c r="F539" i="3"/>
  <c r="D539" i="3"/>
  <c r="B604" i="3"/>
  <c r="C604" i="3"/>
  <c r="F603" i="3"/>
  <c r="D603" i="3"/>
  <c r="B667" i="3"/>
  <c r="C667" i="3"/>
  <c r="F666" i="3"/>
  <c r="D666" i="3"/>
  <c r="B729" i="3"/>
  <c r="C729" i="3"/>
  <c r="F728" i="3"/>
  <c r="D728" i="3"/>
  <c r="B790" i="3"/>
  <c r="C790" i="3"/>
  <c r="F789" i="3"/>
  <c r="D789" i="3"/>
  <c r="B850" i="3"/>
  <c r="C850" i="3"/>
  <c r="F849" i="3"/>
  <c r="D849" i="3"/>
  <c r="B909" i="3"/>
  <c r="C909" i="3"/>
  <c r="F908" i="3"/>
  <c r="D908" i="3"/>
  <c r="B967" i="3"/>
  <c r="C967" i="3"/>
  <c r="F966" i="3"/>
  <c r="D966" i="3"/>
  <c r="B64" i="4"/>
  <c r="C64" i="4"/>
  <c r="F63" i="4"/>
  <c r="D63" i="4"/>
  <c r="B120" i="4"/>
  <c r="C120" i="4"/>
  <c r="F119" i="4"/>
  <c r="D119" i="4"/>
  <c r="F173" i="4"/>
  <c r="D173" i="4"/>
  <c r="H173" i="4" s="1"/>
  <c r="I173" i="4"/>
  <c r="J172" i="4" s="1"/>
  <c r="C174" i="4"/>
  <c r="F227" i="4"/>
  <c r="D227" i="4"/>
  <c r="H227" i="4" s="1"/>
  <c r="I227" i="4"/>
  <c r="J226" i="4" s="1"/>
  <c r="F174" i="4" l="1"/>
  <c r="D174" i="4"/>
  <c r="H174" i="4" s="1"/>
  <c r="I174" i="4"/>
  <c r="J173" i="4" s="1"/>
  <c r="I119" i="4"/>
  <c r="J118" i="4" s="1"/>
  <c r="H119" i="4"/>
  <c r="F120" i="4"/>
  <c r="D120" i="4"/>
  <c r="I120" i="4"/>
  <c r="J119" i="4" s="1"/>
  <c r="H120" i="4"/>
  <c r="I63" i="4"/>
  <c r="J62" i="4" s="1"/>
  <c r="H63" i="4"/>
  <c r="C65" i="4"/>
  <c r="F64" i="4"/>
  <c r="D64" i="4"/>
  <c r="B65" i="4"/>
  <c r="I64" i="4"/>
  <c r="J63" i="4" s="1"/>
  <c r="H64" i="4"/>
  <c r="I966" i="3"/>
  <c r="J965" i="3" s="1"/>
  <c r="H966" i="3"/>
  <c r="C968" i="3"/>
  <c r="F967" i="3"/>
  <c r="D967" i="3"/>
  <c r="B968" i="3"/>
  <c r="I967" i="3"/>
  <c r="J966" i="3" s="1"/>
  <c r="H967" i="3"/>
  <c r="I908" i="3"/>
  <c r="J907" i="3" s="1"/>
  <c r="H908" i="3"/>
  <c r="C910" i="3"/>
  <c r="F909" i="3"/>
  <c r="D909" i="3"/>
  <c r="B910" i="3"/>
  <c r="I909" i="3"/>
  <c r="J908" i="3" s="1"/>
  <c r="H909" i="3"/>
  <c r="I849" i="3"/>
  <c r="J848" i="3" s="1"/>
  <c r="H849" i="3"/>
  <c r="C851" i="3"/>
  <c r="F850" i="3"/>
  <c r="D850" i="3"/>
  <c r="B851" i="3"/>
  <c r="I850" i="3"/>
  <c r="J849" i="3" s="1"/>
  <c r="H850" i="3"/>
  <c r="I789" i="3"/>
  <c r="J788" i="3" s="1"/>
  <c r="H789" i="3"/>
  <c r="C791" i="3"/>
  <c r="F790" i="3"/>
  <c r="D790" i="3"/>
  <c r="B791" i="3"/>
  <c r="I790" i="3"/>
  <c r="J789" i="3" s="1"/>
  <c r="H790" i="3"/>
  <c r="I728" i="3"/>
  <c r="J727" i="3" s="1"/>
  <c r="H728" i="3"/>
  <c r="C730" i="3"/>
  <c r="F729" i="3"/>
  <c r="D729" i="3"/>
  <c r="B730" i="3"/>
  <c r="I729" i="3"/>
  <c r="J728" i="3" s="1"/>
  <c r="H729" i="3"/>
  <c r="I666" i="3"/>
  <c r="J665" i="3" s="1"/>
  <c r="H666" i="3"/>
  <c r="C668" i="3"/>
  <c r="F667" i="3"/>
  <c r="D667" i="3"/>
  <c r="B668" i="3"/>
  <c r="I667" i="3"/>
  <c r="J666" i="3" s="1"/>
  <c r="H667" i="3"/>
  <c r="I603" i="3"/>
  <c r="J602" i="3" s="1"/>
  <c r="H603" i="3"/>
  <c r="C605" i="3"/>
  <c r="F604" i="3"/>
  <c r="D604" i="3"/>
  <c r="B605" i="3"/>
  <c r="I604" i="3"/>
  <c r="J603" i="3" s="1"/>
  <c r="H604" i="3"/>
  <c r="I539" i="3"/>
  <c r="J538" i="3" s="1"/>
  <c r="H539" i="3"/>
  <c r="C541" i="3"/>
  <c r="F540" i="3"/>
  <c r="D540" i="3"/>
  <c r="B541" i="3"/>
  <c r="I540" i="3"/>
  <c r="J539" i="3" s="1"/>
  <c r="H540" i="3"/>
  <c r="I474" i="3"/>
  <c r="J473" i="3" s="1"/>
  <c r="H474" i="3"/>
  <c r="C476" i="3"/>
  <c r="F475" i="3"/>
  <c r="D475" i="3"/>
  <c r="B476" i="3"/>
  <c r="I475" i="3"/>
  <c r="J474" i="3" s="1"/>
  <c r="H475" i="3"/>
  <c r="I408" i="3"/>
  <c r="J407" i="3" s="1"/>
  <c r="H408" i="3"/>
  <c r="C410" i="3"/>
  <c r="F409" i="3"/>
  <c r="D409" i="3"/>
  <c r="B410" i="3"/>
  <c r="I409" i="3"/>
  <c r="J408" i="3" s="1"/>
  <c r="H409" i="3"/>
  <c r="I341" i="3"/>
  <c r="J340" i="3" s="1"/>
  <c r="H341" i="3"/>
  <c r="C343" i="3"/>
  <c r="F342" i="3"/>
  <c r="D342" i="3"/>
  <c r="B343" i="3"/>
  <c r="I342" i="3"/>
  <c r="J341" i="3" s="1"/>
  <c r="H342" i="3"/>
  <c r="I273" i="3"/>
  <c r="J272" i="3" s="1"/>
  <c r="H273" i="3"/>
  <c r="C275" i="3"/>
  <c r="F274" i="3"/>
  <c r="D274" i="3"/>
  <c r="B275" i="3"/>
  <c r="I274" i="3"/>
  <c r="J273" i="3" s="1"/>
  <c r="H274" i="3"/>
  <c r="I204" i="3"/>
  <c r="J203" i="3" s="1"/>
  <c r="H204" i="3"/>
  <c r="C206" i="3"/>
  <c r="F205" i="3"/>
  <c r="D205" i="3"/>
  <c r="B206" i="3"/>
  <c r="I205" i="3"/>
  <c r="J204" i="3" s="1"/>
  <c r="H205" i="3"/>
  <c r="I134" i="3"/>
  <c r="J133" i="3" s="1"/>
  <c r="H134" i="3"/>
  <c r="C136" i="3"/>
  <c r="F135" i="3"/>
  <c r="D135" i="3"/>
  <c r="B136" i="3"/>
  <c r="I135" i="3"/>
  <c r="J134" i="3" s="1"/>
  <c r="H135" i="3"/>
  <c r="I63" i="3"/>
  <c r="J62" i="3" s="1"/>
  <c r="H63" i="3"/>
  <c r="C65" i="3"/>
  <c r="F64" i="3"/>
  <c r="D64" i="3"/>
  <c r="B65" i="3"/>
  <c r="I64" i="3"/>
  <c r="J63" i="3" s="1"/>
  <c r="H64" i="3"/>
  <c r="I838" i="2"/>
  <c r="J837" i="2" s="1"/>
  <c r="H838" i="2"/>
  <c r="C840" i="2"/>
  <c r="F839" i="2"/>
  <c r="D839" i="2"/>
  <c r="B840" i="2"/>
  <c r="I839" i="2"/>
  <c r="J838" i="2" s="1"/>
  <c r="H839" i="2"/>
  <c r="I765" i="2"/>
  <c r="J764" i="2" s="1"/>
  <c r="H765" i="2"/>
  <c r="C767" i="2"/>
  <c r="F766" i="2"/>
  <c r="B767" i="2"/>
  <c r="I766" i="2"/>
  <c r="J765" i="2" s="1"/>
  <c r="H766" i="2"/>
  <c r="I691" i="2"/>
  <c r="J690" i="2" s="1"/>
  <c r="H691" i="2"/>
  <c r="C693" i="2"/>
  <c r="F692" i="2"/>
  <c r="B693" i="2"/>
  <c r="I692" i="2"/>
  <c r="J691" i="2" s="1"/>
  <c r="H692" i="2"/>
  <c r="I616" i="2"/>
  <c r="J615" i="2" s="1"/>
  <c r="H616" i="2"/>
  <c r="C618" i="2"/>
  <c r="F617" i="2"/>
  <c r="B618" i="2"/>
  <c r="I617" i="2"/>
  <c r="J616" i="2" s="1"/>
  <c r="H617" i="2"/>
  <c r="I540" i="2"/>
  <c r="J539" i="2" s="1"/>
  <c r="H540" i="2"/>
  <c r="C542" i="2"/>
  <c r="F541" i="2"/>
  <c r="D541" i="2"/>
  <c r="B542" i="2"/>
  <c r="I541" i="2"/>
  <c r="J540" i="2" s="1"/>
  <c r="H541" i="2"/>
  <c r="I463" i="2"/>
  <c r="J462" i="2" s="1"/>
  <c r="H463" i="2"/>
  <c r="C465" i="2"/>
  <c r="F464" i="2"/>
  <c r="D464" i="2"/>
  <c r="B465" i="2"/>
  <c r="I464" i="2"/>
  <c r="J463" i="2" s="1"/>
  <c r="H464" i="2"/>
  <c r="I385" i="2"/>
  <c r="J384" i="2" s="1"/>
  <c r="H385" i="2"/>
  <c r="C387" i="2"/>
  <c r="F386" i="2"/>
  <c r="D386" i="2"/>
  <c r="B387" i="2"/>
  <c r="I386" i="2"/>
  <c r="J385" i="2" s="1"/>
  <c r="H386" i="2"/>
  <c r="I306" i="2"/>
  <c r="J305" i="2" s="1"/>
  <c r="H306" i="2"/>
  <c r="C308" i="2"/>
  <c r="F307" i="2"/>
  <c r="D307" i="2"/>
  <c r="B308" i="2"/>
  <c r="I307" i="2"/>
  <c r="J306" i="2" s="1"/>
  <c r="H307" i="2"/>
  <c r="I226" i="2"/>
  <c r="J225" i="2" s="1"/>
  <c r="H226" i="2"/>
  <c r="C228" i="2"/>
  <c r="F227" i="2"/>
  <c r="D227" i="2"/>
  <c r="B228" i="2"/>
  <c r="I227" i="2"/>
  <c r="J226" i="2" s="1"/>
  <c r="H227" i="2"/>
  <c r="I145" i="2"/>
  <c r="J144" i="2" s="1"/>
  <c r="H145" i="2"/>
  <c r="C147" i="2"/>
  <c r="F146" i="2"/>
  <c r="D146" i="2"/>
  <c r="B147" i="2"/>
  <c r="I146" i="2"/>
  <c r="J145" i="2" s="1"/>
  <c r="H146" i="2"/>
  <c r="I63" i="2"/>
  <c r="J62" i="2" s="1"/>
  <c r="H63" i="2"/>
  <c r="C65" i="2"/>
  <c r="F64" i="2"/>
  <c r="D64" i="2"/>
  <c r="B65" i="2"/>
  <c r="I64" i="2"/>
  <c r="J63" i="2" s="1"/>
  <c r="H64" i="2"/>
  <c r="B66" i="2" l="1"/>
  <c r="C66" i="2"/>
  <c r="F65" i="2"/>
  <c r="D65" i="2"/>
  <c r="B148" i="2"/>
  <c r="C148" i="2"/>
  <c r="F147" i="2"/>
  <c r="D147" i="2"/>
  <c r="B229" i="2"/>
  <c r="C229" i="2"/>
  <c r="F228" i="2"/>
  <c r="D228" i="2"/>
  <c r="B309" i="2"/>
  <c r="C309" i="2"/>
  <c r="F308" i="2"/>
  <c r="D308" i="2"/>
  <c r="B388" i="2"/>
  <c r="C388" i="2"/>
  <c r="F387" i="2"/>
  <c r="D387" i="2"/>
  <c r="B466" i="2"/>
  <c r="C466" i="2"/>
  <c r="F465" i="2"/>
  <c r="D465" i="2"/>
  <c r="B543" i="2"/>
  <c r="C543" i="2"/>
  <c r="F542" i="2"/>
  <c r="D542" i="2"/>
  <c r="B619" i="2"/>
  <c r="C619" i="2"/>
  <c r="F618" i="2"/>
  <c r="B694" i="2"/>
  <c r="C694" i="2"/>
  <c r="F693" i="2"/>
  <c r="B768" i="2"/>
  <c r="C768" i="2"/>
  <c r="F767" i="2"/>
  <c r="B841" i="2"/>
  <c r="C841" i="2"/>
  <c r="F840" i="2"/>
  <c r="D840" i="2"/>
  <c r="B66" i="3"/>
  <c r="C66" i="3"/>
  <c r="F65" i="3"/>
  <c r="D65" i="3"/>
  <c r="B137" i="3"/>
  <c r="C137" i="3"/>
  <c r="F136" i="3"/>
  <c r="D136" i="3"/>
  <c r="B207" i="3"/>
  <c r="C207" i="3"/>
  <c r="F206" i="3"/>
  <c r="D206" i="3"/>
  <c r="B276" i="3"/>
  <c r="C276" i="3"/>
  <c r="F275" i="3"/>
  <c r="D275" i="3"/>
  <c r="B344" i="3"/>
  <c r="C344" i="3"/>
  <c r="F343" i="3"/>
  <c r="D343" i="3"/>
  <c r="B411" i="3"/>
  <c r="C411" i="3"/>
  <c r="F410" i="3"/>
  <c r="D410" i="3"/>
  <c r="B477" i="3"/>
  <c r="C477" i="3"/>
  <c r="F476" i="3"/>
  <c r="D476" i="3"/>
  <c r="B542" i="3"/>
  <c r="C542" i="3"/>
  <c r="F541" i="3"/>
  <c r="D541" i="3"/>
  <c r="B606" i="3"/>
  <c r="C606" i="3"/>
  <c r="F605" i="3"/>
  <c r="D605" i="3"/>
  <c r="B669" i="3"/>
  <c r="C669" i="3"/>
  <c r="F668" i="3"/>
  <c r="D668" i="3"/>
  <c r="B731" i="3"/>
  <c r="C731" i="3"/>
  <c r="F730" i="3"/>
  <c r="D730" i="3"/>
  <c r="B792" i="3"/>
  <c r="C792" i="3"/>
  <c r="F791" i="3"/>
  <c r="D791" i="3"/>
  <c r="B852" i="3"/>
  <c r="C852" i="3"/>
  <c r="F851" i="3"/>
  <c r="D851" i="3"/>
  <c r="B911" i="3"/>
  <c r="C911" i="3"/>
  <c r="F910" i="3"/>
  <c r="D910" i="3"/>
  <c r="B969" i="3"/>
  <c r="C969" i="3"/>
  <c r="F968" i="3"/>
  <c r="D968" i="3"/>
  <c r="F65" i="4"/>
  <c r="D65" i="4"/>
  <c r="I65" i="4" l="1"/>
  <c r="J64" i="4" s="1"/>
  <c r="H65" i="4"/>
  <c r="I968" i="3"/>
  <c r="J967" i="3" s="1"/>
  <c r="H968" i="3"/>
  <c r="F969" i="3"/>
  <c r="D969" i="3"/>
  <c r="I969" i="3"/>
  <c r="J968" i="3" s="1"/>
  <c r="H969" i="3"/>
  <c r="I910" i="3"/>
  <c r="J909" i="3" s="1"/>
  <c r="H910" i="3"/>
  <c r="C912" i="3"/>
  <c r="F911" i="3"/>
  <c r="D911" i="3"/>
  <c r="B912" i="3"/>
  <c r="I911" i="3"/>
  <c r="J910" i="3" s="1"/>
  <c r="H911" i="3"/>
  <c r="I851" i="3"/>
  <c r="J850" i="3" s="1"/>
  <c r="H851" i="3"/>
  <c r="C853" i="3"/>
  <c r="F852" i="3"/>
  <c r="D852" i="3"/>
  <c r="B853" i="3"/>
  <c r="I852" i="3"/>
  <c r="J851" i="3" s="1"/>
  <c r="H852" i="3"/>
  <c r="I791" i="3"/>
  <c r="J790" i="3" s="1"/>
  <c r="H791" i="3"/>
  <c r="C793" i="3"/>
  <c r="F792" i="3"/>
  <c r="D792" i="3"/>
  <c r="B793" i="3"/>
  <c r="I792" i="3"/>
  <c r="J791" i="3" s="1"/>
  <c r="H792" i="3"/>
  <c r="I730" i="3"/>
  <c r="J729" i="3" s="1"/>
  <c r="H730" i="3"/>
  <c r="C732" i="3"/>
  <c r="F731" i="3"/>
  <c r="D731" i="3"/>
  <c r="B732" i="3"/>
  <c r="I731" i="3"/>
  <c r="J730" i="3" s="1"/>
  <c r="H731" i="3"/>
  <c r="I668" i="3"/>
  <c r="J667" i="3" s="1"/>
  <c r="H668" i="3"/>
  <c r="C670" i="3"/>
  <c r="F669" i="3"/>
  <c r="D669" i="3"/>
  <c r="B670" i="3"/>
  <c r="I669" i="3"/>
  <c r="J668" i="3" s="1"/>
  <c r="H669" i="3"/>
  <c r="I605" i="3"/>
  <c r="J604" i="3" s="1"/>
  <c r="H605" i="3"/>
  <c r="C607" i="3"/>
  <c r="F606" i="3"/>
  <c r="D606" i="3"/>
  <c r="B607" i="3"/>
  <c r="I606" i="3"/>
  <c r="J605" i="3" s="1"/>
  <c r="H606" i="3"/>
  <c r="I541" i="3"/>
  <c r="J540" i="3" s="1"/>
  <c r="H541" i="3"/>
  <c r="C543" i="3"/>
  <c r="F542" i="3"/>
  <c r="D542" i="3"/>
  <c r="B543" i="3"/>
  <c r="I542" i="3"/>
  <c r="J541" i="3" s="1"/>
  <c r="H542" i="3"/>
  <c r="I476" i="3"/>
  <c r="J475" i="3" s="1"/>
  <c r="H476" i="3"/>
  <c r="C478" i="3"/>
  <c r="F477" i="3"/>
  <c r="D477" i="3"/>
  <c r="B478" i="3"/>
  <c r="I477" i="3"/>
  <c r="J476" i="3" s="1"/>
  <c r="H477" i="3"/>
  <c r="I410" i="3"/>
  <c r="J409" i="3" s="1"/>
  <c r="H410" i="3"/>
  <c r="C412" i="3"/>
  <c r="F411" i="3"/>
  <c r="D411" i="3"/>
  <c r="B412" i="3"/>
  <c r="I411" i="3"/>
  <c r="J410" i="3" s="1"/>
  <c r="H411" i="3"/>
  <c r="I343" i="3"/>
  <c r="J342" i="3" s="1"/>
  <c r="H343" i="3"/>
  <c r="C345" i="3"/>
  <c r="F344" i="3"/>
  <c r="D344" i="3"/>
  <c r="B345" i="3"/>
  <c r="I344" i="3"/>
  <c r="J343" i="3" s="1"/>
  <c r="H344" i="3"/>
  <c r="I275" i="3"/>
  <c r="J274" i="3" s="1"/>
  <c r="H275" i="3"/>
  <c r="C277" i="3"/>
  <c r="F276" i="3"/>
  <c r="D276" i="3"/>
  <c r="B277" i="3"/>
  <c r="I276" i="3"/>
  <c r="J275" i="3" s="1"/>
  <c r="H276" i="3"/>
  <c r="I206" i="3"/>
  <c r="J205" i="3" s="1"/>
  <c r="H206" i="3"/>
  <c r="C208" i="3"/>
  <c r="F207" i="3"/>
  <c r="D207" i="3"/>
  <c r="B208" i="3"/>
  <c r="I207" i="3"/>
  <c r="J206" i="3" s="1"/>
  <c r="H207" i="3"/>
  <c r="I136" i="3"/>
  <c r="J135" i="3" s="1"/>
  <c r="H136" i="3"/>
  <c r="C138" i="3"/>
  <c r="F137" i="3"/>
  <c r="D137" i="3"/>
  <c r="B138" i="3"/>
  <c r="I137" i="3"/>
  <c r="J136" i="3" s="1"/>
  <c r="H137" i="3"/>
  <c r="I65" i="3"/>
  <c r="J64" i="3" s="1"/>
  <c r="H65" i="3"/>
  <c r="C67" i="3"/>
  <c r="F66" i="3"/>
  <c r="D66" i="3"/>
  <c r="B67" i="3"/>
  <c r="I66" i="3"/>
  <c r="J65" i="3" s="1"/>
  <c r="H66" i="3"/>
  <c r="I840" i="2"/>
  <c r="J839" i="2" s="1"/>
  <c r="H840" i="2"/>
  <c r="C842" i="2"/>
  <c r="F841" i="2"/>
  <c r="D841" i="2"/>
  <c r="B842" i="2"/>
  <c r="I841" i="2"/>
  <c r="J840" i="2" s="1"/>
  <c r="H841" i="2"/>
  <c r="I767" i="2"/>
  <c r="J766" i="2" s="1"/>
  <c r="H767" i="2"/>
  <c r="C769" i="2"/>
  <c r="F768" i="2"/>
  <c r="B769" i="2"/>
  <c r="I768" i="2"/>
  <c r="J767" i="2" s="1"/>
  <c r="H768" i="2"/>
  <c r="I693" i="2"/>
  <c r="J692" i="2" s="1"/>
  <c r="H693" i="2"/>
  <c r="C695" i="2"/>
  <c r="F694" i="2"/>
  <c r="B695" i="2"/>
  <c r="I694" i="2"/>
  <c r="J693" i="2" s="1"/>
  <c r="H694" i="2"/>
  <c r="I618" i="2"/>
  <c r="J617" i="2" s="1"/>
  <c r="H618" i="2"/>
  <c r="C620" i="2"/>
  <c r="F619" i="2"/>
  <c r="B620" i="2"/>
  <c r="I619" i="2"/>
  <c r="J618" i="2" s="1"/>
  <c r="H619" i="2"/>
  <c r="I542" i="2"/>
  <c r="J541" i="2" s="1"/>
  <c r="H542" i="2"/>
  <c r="C544" i="2"/>
  <c r="F543" i="2"/>
  <c r="D543" i="2"/>
  <c r="B544" i="2"/>
  <c r="I543" i="2"/>
  <c r="J542" i="2" s="1"/>
  <c r="H543" i="2"/>
  <c r="I465" i="2"/>
  <c r="J464" i="2" s="1"/>
  <c r="H465" i="2"/>
  <c r="C467" i="2"/>
  <c r="F466" i="2"/>
  <c r="D466" i="2"/>
  <c r="B467" i="2"/>
  <c r="I466" i="2"/>
  <c r="J465" i="2" s="1"/>
  <c r="H466" i="2"/>
  <c r="I387" i="2"/>
  <c r="J386" i="2" s="1"/>
  <c r="H387" i="2"/>
  <c r="C389" i="2"/>
  <c r="F388" i="2"/>
  <c r="D388" i="2"/>
  <c r="B389" i="2"/>
  <c r="I388" i="2"/>
  <c r="J387" i="2" s="1"/>
  <c r="H388" i="2"/>
  <c r="I308" i="2"/>
  <c r="J307" i="2" s="1"/>
  <c r="H308" i="2"/>
  <c r="C310" i="2"/>
  <c r="F309" i="2"/>
  <c r="D309" i="2"/>
  <c r="B310" i="2"/>
  <c r="I309" i="2"/>
  <c r="J308" i="2" s="1"/>
  <c r="H309" i="2"/>
  <c r="I228" i="2"/>
  <c r="J227" i="2" s="1"/>
  <c r="H228" i="2"/>
  <c r="C230" i="2"/>
  <c r="F229" i="2"/>
  <c r="D229" i="2"/>
  <c r="B230" i="2"/>
  <c r="I229" i="2"/>
  <c r="J228" i="2" s="1"/>
  <c r="H229" i="2"/>
  <c r="I147" i="2"/>
  <c r="J146" i="2" s="1"/>
  <c r="H147" i="2"/>
  <c r="C149" i="2"/>
  <c r="F148" i="2"/>
  <c r="D148" i="2"/>
  <c r="B149" i="2"/>
  <c r="I148" i="2"/>
  <c r="J147" i="2" s="1"/>
  <c r="H148" i="2"/>
  <c r="I65" i="2"/>
  <c r="J64" i="2" s="1"/>
  <c r="H65" i="2"/>
  <c r="C67" i="2"/>
  <c r="F66" i="2"/>
  <c r="D66" i="2"/>
  <c r="B67" i="2"/>
  <c r="I66" i="2"/>
  <c r="J65" i="2" s="1"/>
  <c r="H66" i="2"/>
  <c r="B68" i="2" l="1"/>
  <c r="C68" i="2"/>
  <c r="F67" i="2"/>
  <c r="D67" i="2"/>
  <c r="B150" i="2"/>
  <c r="C150" i="2"/>
  <c r="F149" i="2"/>
  <c r="D149" i="2"/>
  <c r="B231" i="2"/>
  <c r="C231" i="2"/>
  <c r="F230" i="2"/>
  <c r="D230" i="2"/>
  <c r="B311" i="2"/>
  <c r="C311" i="2"/>
  <c r="F310" i="2"/>
  <c r="D310" i="2"/>
  <c r="B390" i="2"/>
  <c r="C390" i="2"/>
  <c r="F389" i="2"/>
  <c r="D389" i="2"/>
  <c r="B468" i="2"/>
  <c r="C468" i="2"/>
  <c r="F467" i="2"/>
  <c r="D467" i="2"/>
  <c r="B545" i="2"/>
  <c r="C545" i="2"/>
  <c r="F544" i="2"/>
  <c r="D544" i="2"/>
  <c r="B621" i="2"/>
  <c r="C621" i="2"/>
  <c r="F620" i="2"/>
  <c r="B696" i="2"/>
  <c r="C696" i="2"/>
  <c r="F695" i="2"/>
  <c r="B770" i="2"/>
  <c r="C770" i="2"/>
  <c r="F769" i="2"/>
  <c r="B843" i="2"/>
  <c r="C843" i="2"/>
  <c r="F842" i="2"/>
  <c r="D842" i="2"/>
  <c r="B68" i="3"/>
  <c r="C68" i="3"/>
  <c r="F67" i="3"/>
  <c r="D67" i="3"/>
  <c r="B139" i="3"/>
  <c r="C139" i="3"/>
  <c r="F138" i="3"/>
  <c r="D138" i="3"/>
  <c r="B209" i="3"/>
  <c r="C209" i="3"/>
  <c r="F208" i="3"/>
  <c r="D208" i="3"/>
  <c r="B278" i="3"/>
  <c r="C278" i="3"/>
  <c r="F277" i="3"/>
  <c r="D277" i="3"/>
  <c r="B346" i="3"/>
  <c r="C346" i="3"/>
  <c r="F345" i="3"/>
  <c r="D345" i="3"/>
  <c r="B413" i="3"/>
  <c r="C413" i="3"/>
  <c r="F412" i="3"/>
  <c r="D412" i="3"/>
  <c r="B479" i="3"/>
  <c r="C479" i="3"/>
  <c r="F478" i="3"/>
  <c r="D478" i="3"/>
  <c r="B544" i="3"/>
  <c r="C544" i="3"/>
  <c r="F543" i="3"/>
  <c r="D543" i="3"/>
  <c r="B608" i="3"/>
  <c r="C608" i="3"/>
  <c r="F607" i="3"/>
  <c r="D607" i="3"/>
  <c r="B671" i="3"/>
  <c r="C671" i="3"/>
  <c r="F670" i="3"/>
  <c r="D670" i="3"/>
  <c r="B733" i="3"/>
  <c r="C733" i="3"/>
  <c r="F732" i="3"/>
  <c r="D732" i="3"/>
  <c r="B794" i="3"/>
  <c r="C794" i="3"/>
  <c r="F793" i="3"/>
  <c r="D793" i="3"/>
  <c r="B854" i="3"/>
  <c r="C854" i="3"/>
  <c r="F853" i="3"/>
  <c r="D853" i="3"/>
  <c r="F912" i="3"/>
  <c r="D912" i="3"/>
  <c r="I912" i="3" l="1"/>
  <c r="J911" i="3" s="1"/>
  <c r="H912" i="3"/>
  <c r="I853" i="3"/>
  <c r="J852" i="3" s="1"/>
  <c r="H853" i="3"/>
  <c r="F854" i="3"/>
  <c r="D854" i="3"/>
  <c r="I854" i="3"/>
  <c r="J853" i="3" s="1"/>
  <c r="H854" i="3"/>
  <c r="I793" i="3"/>
  <c r="J792" i="3" s="1"/>
  <c r="H793" i="3"/>
  <c r="C795" i="3"/>
  <c r="F794" i="3"/>
  <c r="D794" i="3"/>
  <c r="B795" i="3"/>
  <c r="I794" i="3"/>
  <c r="J793" i="3" s="1"/>
  <c r="H794" i="3"/>
  <c r="I732" i="3"/>
  <c r="J731" i="3" s="1"/>
  <c r="H732" i="3"/>
  <c r="C734" i="3"/>
  <c r="F733" i="3"/>
  <c r="D733" i="3"/>
  <c r="B734" i="3"/>
  <c r="I733" i="3"/>
  <c r="J732" i="3" s="1"/>
  <c r="H733" i="3"/>
  <c r="I670" i="3"/>
  <c r="J669" i="3" s="1"/>
  <c r="H670" i="3"/>
  <c r="C672" i="3"/>
  <c r="F671" i="3"/>
  <c r="D671" i="3"/>
  <c r="B672" i="3"/>
  <c r="I671" i="3"/>
  <c r="J670" i="3" s="1"/>
  <c r="H671" i="3"/>
  <c r="I607" i="3"/>
  <c r="J606" i="3" s="1"/>
  <c r="H607" i="3"/>
  <c r="C609" i="3"/>
  <c r="F608" i="3"/>
  <c r="D608" i="3"/>
  <c r="B609" i="3"/>
  <c r="I608" i="3"/>
  <c r="J607" i="3" s="1"/>
  <c r="H608" i="3"/>
  <c r="I543" i="3"/>
  <c r="J542" i="3" s="1"/>
  <c r="H543" i="3"/>
  <c r="C545" i="3"/>
  <c r="F544" i="3"/>
  <c r="D544" i="3"/>
  <c r="B545" i="3"/>
  <c r="I544" i="3"/>
  <c r="J543" i="3" s="1"/>
  <c r="H544" i="3"/>
  <c r="I478" i="3"/>
  <c r="J477" i="3" s="1"/>
  <c r="H478" i="3"/>
  <c r="C480" i="3"/>
  <c r="F479" i="3"/>
  <c r="D479" i="3"/>
  <c r="B480" i="3"/>
  <c r="I479" i="3"/>
  <c r="J478" i="3" s="1"/>
  <c r="H479" i="3"/>
  <c r="I412" i="3"/>
  <c r="J411" i="3" s="1"/>
  <c r="H412" i="3"/>
  <c r="C414" i="3"/>
  <c r="F413" i="3"/>
  <c r="D413" i="3"/>
  <c r="B414" i="3"/>
  <c r="I413" i="3"/>
  <c r="J412" i="3" s="1"/>
  <c r="H413" i="3"/>
  <c r="I345" i="3"/>
  <c r="J344" i="3" s="1"/>
  <c r="H345" i="3"/>
  <c r="C347" i="3"/>
  <c r="F346" i="3"/>
  <c r="D346" i="3"/>
  <c r="B347" i="3"/>
  <c r="I346" i="3"/>
  <c r="J345" i="3" s="1"/>
  <c r="H346" i="3"/>
  <c r="I277" i="3"/>
  <c r="J276" i="3" s="1"/>
  <c r="H277" i="3"/>
  <c r="C279" i="3"/>
  <c r="F278" i="3"/>
  <c r="D278" i="3"/>
  <c r="B279" i="3"/>
  <c r="I278" i="3"/>
  <c r="J277" i="3" s="1"/>
  <c r="H278" i="3"/>
  <c r="I208" i="3"/>
  <c r="J207" i="3" s="1"/>
  <c r="H208" i="3"/>
  <c r="C210" i="3"/>
  <c r="F209" i="3"/>
  <c r="D209" i="3"/>
  <c r="B210" i="3"/>
  <c r="I209" i="3"/>
  <c r="J208" i="3" s="1"/>
  <c r="H209" i="3"/>
  <c r="I138" i="3"/>
  <c r="J137" i="3" s="1"/>
  <c r="H138" i="3"/>
  <c r="C140" i="3"/>
  <c r="F139" i="3"/>
  <c r="D139" i="3"/>
  <c r="B140" i="3"/>
  <c r="I139" i="3"/>
  <c r="J138" i="3" s="1"/>
  <c r="H139" i="3"/>
  <c r="I67" i="3"/>
  <c r="J66" i="3" s="1"/>
  <c r="H67" i="3"/>
  <c r="C69" i="3"/>
  <c r="F68" i="3"/>
  <c r="D68" i="3"/>
  <c r="B69" i="3"/>
  <c r="I68" i="3"/>
  <c r="J67" i="3" s="1"/>
  <c r="H68" i="3"/>
  <c r="I842" i="2"/>
  <c r="J841" i="2" s="1"/>
  <c r="H842" i="2"/>
  <c r="C844" i="2"/>
  <c r="F843" i="2"/>
  <c r="D843" i="2"/>
  <c r="B844" i="2"/>
  <c r="I843" i="2"/>
  <c r="J842" i="2" s="1"/>
  <c r="H843" i="2"/>
  <c r="I769" i="2"/>
  <c r="J768" i="2" s="1"/>
  <c r="H769" i="2"/>
  <c r="C771" i="2"/>
  <c r="F770" i="2"/>
  <c r="B771" i="2"/>
  <c r="I770" i="2"/>
  <c r="J769" i="2" s="1"/>
  <c r="H770" i="2"/>
  <c r="I695" i="2"/>
  <c r="J694" i="2" s="1"/>
  <c r="H695" i="2"/>
  <c r="C697" i="2"/>
  <c r="F696" i="2"/>
  <c r="B697" i="2"/>
  <c r="I696" i="2"/>
  <c r="J695" i="2" s="1"/>
  <c r="H696" i="2"/>
  <c r="I620" i="2"/>
  <c r="J619" i="2" s="1"/>
  <c r="H620" i="2"/>
  <c r="C622" i="2"/>
  <c r="F621" i="2"/>
  <c r="B622" i="2"/>
  <c r="I621" i="2"/>
  <c r="J620" i="2" s="1"/>
  <c r="H621" i="2"/>
  <c r="I544" i="2"/>
  <c r="J543" i="2" s="1"/>
  <c r="H544" i="2"/>
  <c r="C546" i="2"/>
  <c r="F545" i="2"/>
  <c r="D545" i="2"/>
  <c r="B546" i="2"/>
  <c r="I545" i="2"/>
  <c r="J544" i="2" s="1"/>
  <c r="H545" i="2"/>
  <c r="I467" i="2"/>
  <c r="J466" i="2" s="1"/>
  <c r="H467" i="2"/>
  <c r="C469" i="2"/>
  <c r="F468" i="2"/>
  <c r="D468" i="2"/>
  <c r="B469" i="2"/>
  <c r="I468" i="2"/>
  <c r="J467" i="2" s="1"/>
  <c r="H468" i="2"/>
  <c r="I389" i="2"/>
  <c r="J388" i="2" s="1"/>
  <c r="H389" i="2"/>
  <c r="C391" i="2"/>
  <c r="F390" i="2"/>
  <c r="D390" i="2"/>
  <c r="B391" i="2"/>
  <c r="I390" i="2"/>
  <c r="J389" i="2" s="1"/>
  <c r="H390" i="2"/>
  <c r="I310" i="2"/>
  <c r="J309" i="2" s="1"/>
  <c r="H310" i="2"/>
  <c r="C312" i="2"/>
  <c r="F311" i="2"/>
  <c r="D311" i="2"/>
  <c r="B312" i="2"/>
  <c r="I311" i="2"/>
  <c r="J310" i="2" s="1"/>
  <c r="H311" i="2"/>
  <c r="I230" i="2"/>
  <c r="J229" i="2" s="1"/>
  <c r="H230" i="2"/>
  <c r="C232" i="2"/>
  <c r="F231" i="2"/>
  <c r="D231" i="2"/>
  <c r="B232" i="2"/>
  <c r="I231" i="2"/>
  <c r="J230" i="2" s="1"/>
  <c r="H231" i="2"/>
  <c r="I149" i="2"/>
  <c r="J148" i="2" s="1"/>
  <c r="H149" i="2"/>
  <c r="C151" i="2"/>
  <c r="F150" i="2"/>
  <c r="D150" i="2"/>
  <c r="B151" i="2"/>
  <c r="I150" i="2"/>
  <c r="J149" i="2" s="1"/>
  <c r="H150" i="2"/>
  <c r="I67" i="2"/>
  <c r="J66" i="2" s="1"/>
  <c r="H67" i="2"/>
  <c r="C69" i="2"/>
  <c r="F68" i="2"/>
  <c r="D68" i="2"/>
  <c r="B69" i="2"/>
  <c r="I68" i="2"/>
  <c r="J67" i="2" s="1"/>
  <c r="H68" i="2"/>
  <c r="B70" i="2" l="1"/>
  <c r="C70" i="2"/>
  <c r="F69" i="2"/>
  <c r="D69" i="2"/>
  <c r="B152" i="2"/>
  <c r="C152" i="2"/>
  <c r="F151" i="2"/>
  <c r="D151" i="2"/>
  <c r="B233" i="2"/>
  <c r="C233" i="2"/>
  <c r="F232" i="2"/>
  <c r="D232" i="2"/>
  <c r="B313" i="2"/>
  <c r="C313" i="2"/>
  <c r="F312" i="2"/>
  <c r="D312" i="2"/>
  <c r="B392" i="2"/>
  <c r="C392" i="2"/>
  <c r="F391" i="2"/>
  <c r="D391" i="2"/>
  <c r="B470" i="2"/>
  <c r="C470" i="2"/>
  <c r="F469" i="2"/>
  <c r="D469" i="2"/>
  <c r="B547" i="2"/>
  <c r="C547" i="2"/>
  <c r="F546" i="2"/>
  <c r="D546" i="2"/>
  <c r="B623" i="2"/>
  <c r="C623" i="2"/>
  <c r="F622" i="2"/>
  <c r="B698" i="2"/>
  <c r="C698" i="2"/>
  <c r="F697" i="2"/>
  <c r="B772" i="2"/>
  <c r="C772" i="2"/>
  <c r="F771" i="2"/>
  <c r="B845" i="2"/>
  <c r="C845" i="2"/>
  <c r="F844" i="2"/>
  <c r="D844" i="2"/>
  <c r="B70" i="3"/>
  <c r="C70" i="3"/>
  <c r="F69" i="3"/>
  <c r="D69" i="3"/>
  <c r="B141" i="3"/>
  <c r="C141" i="3"/>
  <c r="F140" i="3"/>
  <c r="D140" i="3"/>
  <c r="B211" i="3"/>
  <c r="C211" i="3"/>
  <c r="F210" i="3"/>
  <c r="D210" i="3"/>
  <c r="B280" i="3"/>
  <c r="C280" i="3"/>
  <c r="F279" i="3"/>
  <c r="D279" i="3"/>
  <c r="B348" i="3"/>
  <c r="C348" i="3"/>
  <c r="F347" i="3"/>
  <c r="D347" i="3"/>
  <c r="B415" i="3"/>
  <c r="C415" i="3"/>
  <c r="F414" i="3"/>
  <c r="D414" i="3"/>
  <c r="B481" i="3"/>
  <c r="C481" i="3"/>
  <c r="F480" i="3"/>
  <c r="D480" i="3"/>
  <c r="B546" i="3"/>
  <c r="C546" i="3"/>
  <c r="F545" i="3"/>
  <c r="D545" i="3"/>
  <c r="B610" i="3"/>
  <c r="C610" i="3"/>
  <c r="F609" i="3"/>
  <c r="D609" i="3"/>
  <c r="B673" i="3"/>
  <c r="C673" i="3"/>
  <c r="F672" i="3"/>
  <c r="D672" i="3"/>
  <c r="B735" i="3"/>
  <c r="C735" i="3"/>
  <c r="F734" i="3"/>
  <c r="D734" i="3"/>
  <c r="F795" i="3"/>
  <c r="D795" i="3"/>
  <c r="I795" i="3" l="1"/>
  <c r="J794" i="3" s="1"/>
  <c r="H795" i="3"/>
  <c r="I734" i="3"/>
  <c r="J733" i="3" s="1"/>
  <c r="H734" i="3"/>
  <c r="F735" i="3"/>
  <c r="D735" i="3"/>
  <c r="I735" i="3"/>
  <c r="J734" i="3" s="1"/>
  <c r="H735" i="3"/>
  <c r="I672" i="3"/>
  <c r="J671" i="3" s="1"/>
  <c r="H672" i="3"/>
  <c r="C674" i="3"/>
  <c r="F673" i="3"/>
  <c r="D673" i="3"/>
  <c r="B674" i="3"/>
  <c r="I673" i="3"/>
  <c r="J672" i="3" s="1"/>
  <c r="H673" i="3"/>
  <c r="I609" i="3"/>
  <c r="J608" i="3" s="1"/>
  <c r="H609" i="3"/>
  <c r="C611" i="3"/>
  <c r="F610" i="3"/>
  <c r="D610" i="3"/>
  <c r="B611" i="3"/>
  <c r="I610" i="3"/>
  <c r="J609" i="3" s="1"/>
  <c r="H610" i="3"/>
  <c r="I545" i="3"/>
  <c r="J544" i="3" s="1"/>
  <c r="H545" i="3"/>
  <c r="C547" i="3"/>
  <c r="F546" i="3"/>
  <c r="D546" i="3"/>
  <c r="B547" i="3"/>
  <c r="I546" i="3"/>
  <c r="J545" i="3" s="1"/>
  <c r="H546" i="3"/>
  <c r="I480" i="3"/>
  <c r="J479" i="3" s="1"/>
  <c r="H480" i="3"/>
  <c r="C482" i="3"/>
  <c r="F481" i="3"/>
  <c r="D481" i="3"/>
  <c r="B482" i="3"/>
  <c r="I481" i="3"/>
  <c r="J480" i="3" s="1"/>
  <c r="H481" i="3"/>
  <c r="I414" i="3"/>
  <c r="J413" i="3" s="1"/>
  <c r="H414" i="3"/>
  <c r="C416" i="3"/>
  <c r="F415" i="3"/>
  <c r="D415" i="3"/>
  <c r="B416" i="3"/>
  <c r="I415" i="3"/>
  <c r="J414" i="3" s="1"/>
  <c r="H415" i="3"/>
  <c r="I347" i="3"/>
  <c r="J346" i="3" s="1"/>
  <c r="H347" i="3"/>
  <c r="C349" i="3"/>
  <c r="F348" i="3"/>
  <c r="D348" i="3"/>
  <c r="B349" i="3"/>
  <c r="I348" i="3"/>
  <c r="J347" i="3" s="1"/>
  <c r="H348" i="3"/>
  <c r="I279" i="3"/>
  <c r="J278" i="3" s="1"/>
  <c r="H279" i="3"/>
  <c r="C281" i="3"/>
  <c r="F280" i="3"/>
  <c r="D280" i="3"/>
  <c r="B281" i="3"/>
  <c r="I280" i="3"/>
  <c r="J279" i="3" s="1"/>
  <c r="H280" i="3"/>
  <c r="I210" i="3"/>
  <c r="J209" i="3" s="1"/>
  <c r="H210" i="3"/>
  <c r="C212" i="3"/>
  <c r="F211" i="3"/>
  <c r="D211" i="3"/>
  <c r="B212" i="3"/>
  <c r="I211" i="3"/>
  <c r="J210" i="3" s="1"/>
  <c r="H211" i="3"/>
  <c r="I140" i="3"/>
  <c r="J139" i="3" s="1"/>
  <c r="H140" i="3"/>
  <c r="C142" i="3"/>
  <c r="F141" i="3"/>
  <c r="D141" i="3"/>
  <c r="B142" i="3"/>
  <c r="I141" i="3"/>
  <c r="J140" i="3" s="1"/>
  <c r="H141" i="3"/>
  <c r="I69" i="3"/>
  <c r="J68" i="3" s="1"/>
  <c r="H69" i="3"/>
  <c r="C71" i="3"/>
  <c r="F70" i="3"/>
  <c r="D70" i="3"/>
  <c r="B71" i="3"/>
  <c r="I70" i="3"/>
  <c r="J69" i="3" s="1"/>
  <c r="H70" i="3"/>
  <c r="I844" i="2"/>
  <c r="J843" i="2" s="1"/>
  <c r="H844" i="2"/>
  <c r="C846" i="2"/>
  <c r="F845" i="2"/>
  <c r="D845" i="2"/>
  <c r="B846" i="2"/>
  <c r="I845" i="2"/>
  <c r="J844" i="2" s="1"/>
  <c r="H845" i="2"/>
  <c r="I771" i="2"/>
  <c r="J770" i="2" s="1"/>
  <c r="H771" i="2"/>
  <c r="C773" i="2"/>
  <c r="F772" i="2"/>
  <c r="B773" i="2"/>
  <c r="I772" i="2"/>
  <c r="J771" i="2" s="1"/>
  <c r="H772" i="2"/>
  <c r="I697" i="2"/>
  <c r="J696" i="2" s="1"/>
  <c r="H697" i="2"/>
  <c r="C699" i="2"/>
  <c r="F698" i="2"/>
  <c r="B699" i="2"/>
  <c r="I698" i="2"/>
  <c r="J697" i="2" s="1"/>
  <c r="H698" i="2"/>
  <c r="I622" i="2"/>
  <c r="J621" i="2" s="1"/>
  <c r="H622" i="2"/>
  <c r="C624" i="2"/>
  <c r="F623" i="2"/>
  <c r="B624" i="2"/>
  <c r="I623" i="2"/>
  <c r="J622" i="2" s="1"/>
  <c r="H623" i="2"/>
  <c r="I546" i="2"/>
  <c r="J545" i="2" s="1"/>
  <c r="H546" i="2"/>
  <c r="C548" i="2"/>
  <c r="F547" i="2"/>
  <c r="D547" i="2"/>
  <c r="B548" i="2"/>
  <c r="I547" i="2"/>
  <c r="J546" i="2" s="1"/>
  <c r="H547" i="2"/>
  <c r="I469" i="2"/>
  <c r="J468" i="2" s="1"/>
  <c r="H469" i="2"/>
  <c r="C471" i="2"/>
  <c r="F470" i="2"/>
  <c r="D470" i="2"/>
  <c r="B471" i="2"/>
  <c r="I470" i="2"/>
  <c r="J469" i="2" s="1"/>
  <c r="H470" i="2"/>
  <c r="I391" i="2"/>
  <c r="J390" i="2" s="1"/>
  <c r="H391" i="2"/>
  <c r="C393" i="2"/>
  <c r="F392" i="2"/>
  <c r="D392" i="2"/>
  <c r="B393" i="2"/>
  <c r="I392" i="2"/>
  <c r="J391" i="2" s="1"/>
  <c r="H392" i="2"/>
  <c r="I312" i="2"/>
  <c r="J311" i="2" s="1"/>
  <c r="H312" i="2"/>
  <c r="C314" i="2"/>
  <c r="F313" i="2"/>
  <c r="D313" i="2"/>
  <c r="B314" i="2"/>
  <c r="I313" i="2"/>
  <c r="J312" i="2" s="1"/>
  <c r="H313" i="2"/>
  <c r="I232" i="2"/>
  <c r="J231" i="2" s="1"/>
  <c r="H232" i="2"/>
  <c r="C234" i="2"/>
  <c r="F233" i="2"/>
  <c r="D233" i="2"/>
  <c r="B234" i="2"/>
  <c r="I233" i="2"/>
  <c r="J232" i="2" s="1"/>
  <c r="H233" i="2"/>
  <c r="I151" i="2"/>
  <c r="J150" i="2" s="1"/>
  <c r="H151" i="2"/>
  <c r="C153" i="2"/>
  <c r="F152" i="2"/>
  <c r="D152" i="2"/>
  <c r="B153" i="2"/>
  <c r="I152" i="2"/>
  <c r="J151" i="2" s="1"/>
  <c r="H152" i="2"/>
  <c r="I69" i="2"/>
  <c r="J68" i="2" s="1"/>
  <c r="H69" i="2"/>
  <c r="C71" i="2"/>
  <c r="F70" i="2"/>
  <c r="D70" i="2"/>
  <c r="B71" i="2"/>
  <c r="I70" i="2"/>
  <c r="J69" i="2" s="1"/>
  <c r="H70" i="2"/>
  <c r="B72" i="2" l="1"/>
  <c r="C72" i="2"/>
  <c r="F71" i="2"/>
  <c r="D71" i="2"/>
  <c r="B154" i="2"/>
  <c r="C154" i="2"/>
  <c r="F153" i="2"/>
  <c r="D153" i="2"/>
  <c r="B235" i="2"/>
  <c r="C235" i="2"/>
  <c r="F234" i="2"/>
  <c r="D234" i="2"/>
  <c r="B315" i="2"/>
  <c r="C315" i="2"/>
  <c r="F314" i="2"/>
  <c r="D314" i="2"/>
  <c r="B394" i="2"/>
  <c r="C394" i="2"/>
  <c r="F393" i="2"/>
  <c r="D393" i="2"/>
  <c r="B472" i="2"/>
  <c r="C472" i="2"/>
  <c r="F471" i="2"/>
  <c r="D471" i="2"/>
  <c r="B549" i="2"/>
  <c r="C549" i="2"/>
  <c r="F548" i="2"/>
  <c r="D548" i="2"/>
  <c r="B625" i="2"/>
  <c r="C625" i="2"/>
  <c r="F624" i="2"/>
  <c r="B700" i="2"/>
  <c r="C700" i="2"/>
  <c r="F699" i="2"/>
  <c r="B774" i="2"/>
  <c r="C774" i="2"/>
  <c r="F773" i="2"/>
  <c r="B847" i="2"/>
  <c r="C847" i="2"/>
  <c r="F846" i="2"/>
  <c r="D846" i="2"/>
  <c r="B72" i="3"/>
  <c r="C72" i="3"/>
  <c r="F71" i="3"/>
  <c r="D71" i="3"/>
  <c r="B143" i="3"/>
  <c r="C143" i="3"/>
  <c r="F142" i="3"/>
  <c r="D142" i="3"/>
  <c r="B213" i="3"/>
  <c r="C213" i="3"/>
  <c r="F212" i="3"/>
  <c r="D212" i="3"/>
  <c r="B282" i="3"/>
  <c r="C282" i="3"/>
  <c r="F281" i="3"/>
  <c r="D281" i="3"/>
  <c r="B350" i="3"/>
  <c r="C350" i="3"/>
  <c r="F349" i="3"/>
  <c r="D349" i="3"/>
  <c r="B417" i="3"/>
  <c r="C417" i="3"/>
  <c r="F416" i="3"/>
  <c r="D416" i="3"/>
  <c r="B483" i="3"/>
  <c r="C483" i="3"/>
  <c r="F482" i="3"/>
  <c r="D482" i="3"/>
  <c r="B548" i="3"/>
  <c r="C548" i="3"/>
  <c r="F547" i="3"/>
  <c r="D547" i="3"/>
  <c r="B612" i="3"/>
  <c r="C612" i="3"/>
  <c r="F611" i="3"/>
  <c r="D611" i="3"/>
  <c r="F674" i="3"/>
  <c r="D674" i="3"/>
  <c r="I674" i="3" l="1"/>
  <c r="J673" i="3" s="1"/>
  <c r="H674" i="3"/>
  <c r="I611" i="3"/>
  <c r="J610" i="3" s="1"/>
  <c r="H611" i="3"/>
  <c r="F612" i="3"/>
  <c r="D612" i="3"/>
  <c r="I612" i="3"/>
  <c r="J611" i="3" s="1"/>
  <c r="H612" i="3"/>
  <c r="I547" i="3"/>
  <c r="J546" i="3" s="1"/>
  <c r="H547" i="3"/>
  <c r="C549" i="3"/>
  <c r="F548" i="3"/>
  <c r="D548" i="3"/>
  <c r="B549" i="3"/>
  <c r="I548" i="3"/>
  <c r="J547" i="3" s="1"/>
  <c r="H548" i="3"/>
  <c r="I482" i="3"/>
  <c r="J481" i="3" s="1"/>
  <c r="H482" i="3"/>
  <c r="C484" i="3"/>
  <c r="F483" i="3"/>
  <c r="D483" i="3"/>
  <c r="B484" i="3"/>
  <c r="I483" i="3"/>
  <c r="J482" i="3" s="1"/>
  <c r="H483" i="3"/>
  <c r="I416" i="3"/>
  <c r="J415" i="3" s="1"/>
  <c r="H416" i="3"/>
  <c r="C418" i="3"/>
  <c r="F417" i="3"/>
  <c r="D417" i="3"/>
  <c r="B418" i="3"/>
  <c r="I417" i="3"/>
  <c r="J416" i="3" s="1"/>
  <c r="H417" i="3"/>
  <c r="I349" i="3"/>
  <c r="J348" i="3" s="1"/>
  <c r="H349" i="3"/>
  <c r="C351" i="3"/>
  <c r="F350" i="3"/>
  <c r="D350" i="3"/>
  <c r="B351" i="3"/>
  <c r="I350" i="3"/>
  <c r="J349" i="3" s="1"/>
  <c r="H350" i="3"/>
  <c r="I281" i="3"/>
  <c r="J280" i="3" s="1"/>
  <c r="H281" i="3"/>
  <c r="C283" i="3"/>
  <c r="F282" i="3"/>
  <c r="D282" i="3"/>
  <c r="B283" i="3"/>
  <c r="I282" i="3"/>
  <c r="J281" i="3" s="1"/>
  <c r="H282" i="3"/>
  <c r="I212" i="3"/>
  <c r="J211" i="3" s="1"/>
  <c r="H212" i="3"/>
  <c r="C214" i="3"/>
  <c r="F213" i="3"/>
  <c r="D213" i="3"/>
  <c r="B214" i="3"/>
  <c r="I213" i="3"/>
  <c r="J212" i="3" s="1"/>
  <c r="H213" i="3"/>
  <c r="I142" i="3"/>
  <c r="J141" i="3" s="1"/>
  <c r="H142" i="3"/>
  <c r="C144" i="3"/>
  <c r="F143" i="3"/>
  <c r="D143" i="3"/>
  <c r="B144" i="3"/>
  <c r="I143" i="3"/>
  <c r="J142" i="3" s="1"/>
  <c r="H143" i="3"/>
  <c r="I71" i="3"/>
  <c r="J70" i="3" s="1"/>
  <c r="H71" i="3"/>
  <c r="C73" i="3"/>
  <c r="F72" i="3"/>
  <c r="D72" i="3"/>
  <c r="B73" i="3"/>
  <c r="I72" i="3"/>
  <c r="J71" i="3" s="1"/>
  <c r="H72" i="3"/>
  <c r="I846" i="2"/>
  <c r="J845" i="2" s="1"/>
  <c r="H846" i="2"/>
  <c r="C848" i="2"/>
  <c r="F847" i="2"/>
  <c r="D847" i="2"/>
  <c r="B848" i="2"/>
  <c r="I847" i="2"/>
  <c r="J846" i="2" s="1"/>
  <c r="H847" i="2"/>
  <c r="I773" i="2"/>
  <c r="J772" i="2" s="1"/>
  <c r="H773" i="2"/>
  <c r="C775" i="2"/>
  <c r="F774" i="2"/>
  <c r="B775" i="2"/>
  <c r="I774" i="2"/>
  <c r="J773" i="2" s="1"/>
  <c r="H774" i="2"/>
  <c r="I699" i="2"/>
  <c r="J698" i="2" s="1"/>
  <c r="H699" i="2"/>
  <c r="C701" i="2"/>
  <c r="F700" i="2"/>
  <c r="B701" i="2"/>
  <c r="I700" i="2"/>
  <c r="J699" i="2" s="1"/>
  <c r="H700" i="2"/>
  <c r="I624" i="2"/>
  <c r="J623" i="2" s="1"/>
  <c r="H624" i="2"/>
  <c r="C626" i="2"/>
  <c r="F625" i="2"/>
  <c r="B626" i="2"/>
  <c r="I625" i="2"/>
  <c r="J624" i="2" s="1"/>
  <c r="H625" i="2"/>
  <c r="I548" i="2"/>
  <c r="J547" i="2" s="1"/>
  <c r="H548" i="2"/>
  <c r="C550" i="2"/>
  <c r="F549" i="2"/>
  <c r="D549" i="2"/>
  <c r="B550" i="2"/>
  <c r="I549" i="2"/>
  <c r="J548" i="2" s="1"/>
  <c r="H549" i="2"/>
  <c r="I471" i="2"/>
  <c r="J470" i="2" s="1"/>
  <c r="H471" i="2"/>
  <c r="C473" i="2"/>
  <c r="F472" i="2"/>
  <c r="D472" i="2"/>
  <c r="B473" i="2"/>
  <c r="I472" i="2"/>
  <c r="J471" i="2" s="1"/>
  <c r="H472" i="2"/>
  <c r="I393" i="2"/>
  <c r="J392" i="2" s="1"/>
  <c r="H393" i="2"/>
  <c r="C395" i="2"/>
  <c r="F394" i="2"/>
  <c r="D394" i="2"/>
  <c r="B395" i="2"/>
  <c r="I394" i="2"/>
  <c r="J393" i="2" s="1"/>
  <c r="H394" i="2"/>
  <c r="I314" i="2"/>
  <c r="J313" i="2" s="1"/>
  <c r="H314" i="2"/>
  <c r="C316" i="2"/>
  <c r="F315" i="2"/>
  <c r="D315" i="2"/>
  <c r="B316" i="2"/>
  <c r="I315" i="2"/>
  <c r="J314" i="2" s="1"/>
  <c r="H315" i="2"/>
  <c r="I234" i="2"/>
  <c r="J233" i="2" s="1"/>
  <c r="H234" i="2"/>
  <c r="C236" i="2"/>
  <c r="F235" i="2"/>
  <c r="D235" i="2"/>
  <c r="B236" i="2"/>
  <c r="I235" i="2"/>
  <c r="J234" i="2" s="1"/>
  <c r="H235" i="2"/>
  <c r="I153" i="2"/>
  <c r="J152" i="2" s="1"/>
  <c r="H153" i="2"/>
  <c r="C155" i="2"/>
  <c r="F154" i="2"/>
  <c r="D154" i="2"/>
  <c r="B155" i="2"/>
  <c r="I154" i="2"/>
  <c r="J153" i="2" s="1"/>
  <c r="H154" i="2"/>
  <c r="I71" i="2"/>
  <c r="J70" i="2" s="1"/>
  <c r="H71" i="2"/>
  <c r="C73" i="2"/>
  <c r="F72" i="2"/>
  <c r="D72" i="2"/>
  <c r="B73" i="2"/>
  <c r="I72" i="2"/>
  <c r="J71" i="2" s="1"/>
  <c r="H72" i="2"/>
  <c r="B74" i="2" l="1"/>
  <c r="C74" i="2"/>
  <c r="F73" i="2"/>
  <c r="D73" i="2"/>
  <c r="B156" i="2"/>
  <c r="C156" i="2"/>
  <c r="F155" i="2"/>
  <c r="D155" i="2"/>
  <c r="B237" i="2"/>
  <c r="C237" i="2"/>
  <c r="F236" i="2"/>
  <c r="D236" i="2"/>
  <c r="B317" i="2"/>
  <c r="C317" i="2"/>
  <c r="F316" i="2"/>
  <c r="D316" i="2"/>
  <c r="B396" i="2"/>
  <c r="C396" i="2"/>
  <c r="F395" i="2"/>
  <c r="D395" i="2"/>
  <c r="B474" i="2"/>
  <c r="C474" i="2"/>
  <c r="F473" i="2"/>
  <c r="D473" i="2"/>
  <c r="B551" i="2"/>
  <c r="C551" i="2"/>
  <c r="F550" i="2"/>
  <c r="D550" i="2"/>
  <c r="B627" i="2"/>
  <c r="C627" i="2"/>
  <c r="F626" i="2"/>
  <c r="B702" i="2"/>
  <c r="C702" i="2"/>
  <c r="F701" i="2"/>
  <c r="B776" i="2"/>
  <c r="C776" i="2"/>
  <c r="F775" i="2"/>
  <c r="B849" i="2"/>
  <c r="C849" i="2"/>
  <c r="F848" i="2"/>
  <c r="D848" i="2"/>
  <c r="B74" i="3"/>
  <c r="C74" i="3"/>
  <c r="F73" i="3"/>
  <c r="D73" i="3"/>
  <c r="B145" i="3"/>
  <c r="C145" i="3"/>
  <c r="F144" i="3"/>
  <c r="D144" i="3"/>
  <c r="B215" i="3"/>
  <c r="C215" i="3"/>
  <c r="F214" i="3"/>
  <c r="D214" i="3"/>
  <c r="B284" i="3"/>
  <c r="C284" i="3"/>
  <c r="F283" i="3"/>
  <c r="D283" i="3"/>
  <c r="B352" i="3"/>
  <c r="C352" i="3"/>
  <c r="F351" i="3"/>
  <c r="D351" i="3"/>
  <c r="B419" i="3"/>
  <c r="C419" i="3"/>
  <c r="F418" i="3"/>
  <c r="D418" i="3"/>
  <c r="B485" i="3"/>
  <c r="C485" i="3"/>
  <c r="F484" i="3"/>
  <c r="D484" i="3"/>
  <c r="F549" i="3"/>
  <c r="D549" i="3"/>
  <c r="I549" i="3" l="1"/>
  <c r="J548" i="3" s="1"/>
  <c r="H549" i="3"/>
  <c r="I484" i="3"/>
  <c r="J483" i="3" s="1"/>
  <c r="H484" i="3"/>
  <c r="F485" i="3"/>
  <c r="D485" i="3"/>
  <c r="I485" i="3"/>
  <c r="J484" i="3" s="1"/>
  <c r="H485" i="3"/>
  <c r="I418" i="3"/>
  <c r="J417" i="3" s="1"/>
  <c r="H418" i="3"/>
  <c r="C420" i="3"/>
  <c r="F419" i="3"/>
  <c r="D419" i="3"/>
  <c r="B420" i="3"/>
  <c r="I419" i="3"/>
  <c r="J418" i="3" s="1"/>
  <c r="H419" i="3"/>
  <c r="I351" i="3"/>
  <c r="J350" i="3" s="1"/>
  <c r="H351" i="3"/>
  <c r="C353" i="3"/>
  <c r="F352" i="3"/>
  <c r="D352" i="3"/>
  <c r="B353" i="3"/>
  <c r="I352" i="3"/>
  <c r="J351" i="3" s="1"/>
  <c r="H352" i="3"/>
  <c r="I283" i="3"/>
  <c r="J282" i="3" s="1"/>
  <c r="H283" i="3"/>
  <c r="C285" i="3"/>
  <c r="F284" i="3"/>
  <c r="D284" i="3"/>
  <c r="B285" i="3"/>
  <c r="I284" i="3"/>
  <c r="J283" i="3" s="1"/>
  <c r="H284" i="3"/>
  <c r="I214" i="3"/>
  <c r="J213" i="3" s="1"/>
  <c r="H214" i="3"/>
  <c r="C216" i="3"/>
  <c r="F215" i="3"/>
  <c r="D215" i="3"/>
  <c r="B216" i="3"/>
  <c r="I215" i="3"/>
  <c r="J214" i="3" s="1"/>
  <c r="H215" i="3"/>
  <c r="I144" i="3"/>
  <c r="J143" i="3" s="1"/>
  <c r="H144" i="3"/>
  <c r="C146" i="3"/>
  <c r="F145" i="3"/>
  <c r="D145" i="3"/>
  <c r="B146" i="3"/>
  <c r="I145" i="3"/>
  <c r="J144" i="3" s="1"/>
  <c r="H145" i="3"/>
  <c r="I73" i="3"/>
  <c r="J72" i="3" s="1"/>
  <c r="H73" i="3"/>
  <c r="C75" i="3"/>
  <c r="F74" i="3"/>
  <c r="D74" i="3"/>
  <c r="B75" i="3"/>
  <c r="I74" i="3"/>
  <c r="J73" i="3" s="1"/>
  <c r="H74" i="3"/>
  <c r="I848" i="2"/>
  <c r="J847" i="2" s="1"/>
  <c r="H848" i="2"/>
  <c r="C850" i="2"/>
  <c r="F849" i="2"/>
  <c r="D849" i="2"/>
  <c r="B850" i="2"/>
  <c r="I849" i="2"/>
  <c r="J848" i="2" s="1"/>
  <c r="H849" i="2"/>
  <c r="I775" i="2"/>
  <c r="J774" i="2" s="1"/>
  <c r="H775" i="2"/>
  <c r="C777" i="2"/>
  <c r="F776" i="2"/>
  <c r="B777" i="2"/>
  <c r="I776" i="2"/>
  <c r="J775" i="2" s="1"/>
  <c r="H776" i="2"/>
  <c r="I701" i="2"/>
  <c r="J700" i="2" s="1"/>
  <c r="H701" i="2"/>
  <c r="C703" i="2"/>
  <c r="F702" i="2"/>
  <c r="B703" i="2"/>
  <c r="I702" i="2"/>
  <c r="J701" i="2" s="1"/>
  <c r="H702" i="2"/>
  <c r="I626" i="2"/>
  <c r="J625" i="2" s="1"/>
  <c r="H626" i="2"/>
  <c r="C628" i="2"/>
  <c r="F627" i="2"/>
  <c r="B628" i="2"/>
  <c r="I627" i="2"/>
  <c r="J626" i="2" s="1"/>
  <c r="H627" i="2"/>
  <c r="I550" i="2"/>
  <c r="J549" i="2" s="1"/>
  <c r="H550" i="2"/>
  <c r="C552" i="2"/>
  <c r="F551" i="2"/>
  <c r="D551" i="2"/>
  <c r="B552" i="2"/>
  <c r="I551" i="2"/>
  <c r="J550" i="2" s="1"/>
  <c r="H551" i="2"/>
  <c r="I473" i="2"/>
  <c r="J472" i="2" s="1"/>
  <c r="H473" i="2"/>
  <c r="C475" i="2"/>
  <c r="F474" i="2"/>
  <c r="D474" i="2"/>
  <c r="B475" i="2"/>
  <c r="I474" i="2"/>
  <c r="J473" i="2" s="1"/>
  <c r="H474" i="2"/>
  <c r="I395" i="2"/>
  <c r="J394" i="2" s="1"/>
  <c r="H395" i="2"/>
  <c r="C397" i="2"/>
  <c r="F396" i="2"/>
  <c r="D396" i="2"/>
  <c r="B397" i="2"/>
  <c r="I396" i="2"/>
  <c r="J395" i="2" s="1"/>
  <c r="H396" i="2"/>
  <c r="I316" i="2"/>
  <c r="J315" i="2" s="1"/>
  <c r="H316" i="2"/>
  <c r="C318" i="2"/>
  <c r="F317" i="2"/>
  <c r="D317" i="2"/>
  <c r="B318" i="2"/>
  <c r="I317" i="2"/>
  <c r="J316" i="2" s="1"/>
  <c r="H317" i="2"/>
  <c r="I236" i="2"/>
  <c r="J235" i="2" s="1"/>
  <c r="H236" i="2"/>
  <c r="C238" i="2"/>
  <c r="F237" i="2"/>
  <c r="D237" i="2"/>
  <c r="B238" i="2"/>
  <c r="I237" i="2"/>
  <c r="J236" i="2" s="1"/>
  <c r="H237" i="2"/>
  <c r="I155" i="2"/>
  <c r="J154" i="2" s="1"/>
  <c r="H155" i="2"/>
  <c r="C157" i="2"/>
  <c r="F156" i="2"/>
  <c r="D156" i="2"/>
  <c r="B157" i="2"/>
  <c r="I156" i="2"/>
  <c r="J155" i="2" s="1"/>
  <c r="H156" i="2"/>
  <c r="I73" i="2"/>
  <c r="J72" i="2" s="1"/>
  <c r="H73" i="2"/>
  <c r="C75" i="2"/>
  <c r="F74" i="2"/>
  <c r="D74" i="2"/>
  <c r="B75" i="2"/>
  <c r="I74" i="2"/>
  <c r="J73" i="2" s="1"/>
  <c r="H74" i="2"/>
  <c r="B76" i="2" l="1"/>
  <c r="C76" i="2"/>
  <c r="F75" i="2"/>
  <c r="D75" i="2"/>
  <c r="B158" i="2"/>
  <c r="C158" i="2"/>
  <c r="F157" i="2"/>
  <c r="D157" i="2"/>
  <c r="B239" i="2"/>
  <c r="C239" i="2"/>
  <c r="F238" i="2"/>
  <c r="D238" i="2"/>
  <c r="B319" i="2"/>
  <c r="C319" i="2"/>
  <c r="F318" i="2"/>
  <c r="D318" i="2"/>
  <c r="B398" i="2"/>
  <c r="C398" i="2"/>
  <c r="F397" i="2"/>
  <c r="D397" i="2"/>
  <c r="B476" i="2"/>
  <c r="C476" i="2"/>
  <c r="F475" i="2"/>
  <c r="D475" i="2"/>
  <c r="B553" i="2"/>
  <c r="C553" i="2"/>
  <c r="F552" i="2"/>
  <c r="D552" i="2"/>
  <c r="B629" i="2"/>
  <c r="C629" i="2"/>
  <c r="F628" i="2"/>
  <c r="B704" i="2"/>
  <c r="C704" i="2"/>
  <c r="F703" i="2"/>
  <c r="B778" i="2"/>
  <c r="C778" i="2"/>
  <c r="F777" i="2"/>
  <c r="B851" i="2"/>
  <c r="C851" i="2"/>
  <c r="F850" i="2"/>
  <c r="D850" i="2"/>
  <c r="B76" i="3"/>
  <c r="C76" i="3"/>
  <c r="F75" i="3"/>
  <c r="D75" i="3"/>
  <c r="B147" i="3"/>
  <c r="C147" i="3"/>
  <c r="F146" i="3"/>
  <c r="D146" i="3"/>
  <c r="B217" i="3"/>
  <c r="C217" i="3"/>
  <c r="F216" i="3"/>
  <c r="D216" i="3"/>
  <c r="B286" i="3"/>
  <c r="C286" i="3"/>
  <c r="F285" i="3"/>
  <c r="D285" i="3"/>
  <c r="B354" i="3"/>
  <c r="C354" i="3"/>
  <c r="F353" i="3"/>
  <c r="D353" i="3"/>
  <c r="F420" i="3"/>
  <c r="D420" i="3"/>
  <c r="I420" i="3" l="1"/>
  <c r="J419" i="3" s="1"/>
  <c r="H420" i="3"/>
  <c r="I353" i="3"/>
  <c r="J352" i="3" s="1"/>
  <c r="H353" i="3"/>
  <c r="F354" i="3"/>
  <c r="D354" i="3"/>
  <c r="I354" i="3"/>
  <c r="J353" i="3" s="1"/>
  <c r="H354" i="3"/>
  <c r="I285" i="3"/>
  <c r="J284" i="3" s="1"/>
  <c r="H285" i="3"/>
  <c r="C287" i="3"/>
  <c r="F286" i="3"/>
  <c r="D286" i="3"/>
  <c r="B287" i="3"/>
  <c r="I286" i="3"/>
  <c r="J285" i="3" s="1"/>
  <c r="H286" i="3"/>
  <c r="I216" i="3"/>
  <c r="J215" i="3" s="1"/>
  <c r="H216" i="3"/>
  <c r="C218" i="3"/>
  <c r="F217" i="3"/>
  <c r="D217" i="3"/>
  <c r="B218" i="3"/>
  <c r="I217" i="3"/>
  <c r="J216" i="3" s="1"/>
  <c r="H217" i="3"/>
  <c r="I146" i="3"/>
  <c r="J145" i="3" s="1"/>
  <c r="H146" i="3"/>
  <c r="C148" i="3"/>
  <c r="F147" i="3"/>
  <c r="D147" i="3"/>
  <c r="B148" i="3"/>
  <c r="I147" i="3"/>
  <c r="J146" i="3" s="1"/>
  <c r="H147" i="3"/>
  <c r="I75" i="3"/>
  <c r="J74" i="3" s="1"/>
  <c r="H75" i="3"/>
  <c r="C77" i="3"/>
  <c r="F76" i="3"/>
  <c r="D76" i="3"/>
  <c r="B77" i="3"/>
  <c r="I76" i="3"/>
  <c r="J75" i="3" s="1"/>
  <c r="H76" i="3"/>
  <c r="I850" i="2"/>
  <c r="J849" i="2" s="1"/>
  <c r="H850" i="2"/>
  <c r="C852" i="2"/>
  <c r="F851" i="2"/>
  <c r="D851" i="2"/>
  <c r="B852" i="2"/>
  <c r="I851" i="2"/>
  <c r="J850" i="2" s="1"/>
  <c r="H851" i="2"/>
  <c r="I777" i="2"/>
  <c r="J776" i="2" s="1"/>
  <c r="H777" i="2"/>
  <c r="C779" i="2"/>
  <c r="F778" i="2"/>
  <c r="B779" i="2"/>
  <c r="I778" i="2"/>
  <c r="J777" i="2" s="1"/>
  <c r="H778" i="2"/>
  <c r="I703" i="2"/>
  <c r="J702" i="2" s="1"/>
  <c r="H703" i="2"/>
  <c r="C705" i="2"/>
  <c r="F704" i="2"/>
  <c r="B705" i="2"/>
  <c r="I704" i="2"/>
  <c r="J703" i="2" s="1"/>
  <c r="H704" i="2"/>
  <c r="I628" i="2"/>
  <c r="J627" i="2" s="1"/>
  <c r="H628" i="2"/>
  <c r="C630" i="2"/>
  <c r="F629" i="2"/>
  <c r="B630" i="2"/>
  <c r="I629" i="2"/>
  <c r="J628" i="2" s="1"/>
  <c r="H629" i="2"/>
  <c r="I552" i="2"/>
  <c r="J551" i="2" s="1"/>
  <c r="H552" i="2"/>
  <c r="C554" i="2"/>
  <c r="F553" i="2"/>
  <c r="D553" i="2"/>
  <c r="B554" i="2"/>
  <c r="I553" i="2"/>
  <c r="J552" i="2" s="1"/>
  <c r="H553" i="2"/>
  <c r="I475" i="2"/>
  <c r="J474" i="2" s="1"/>
  <c r="H475" i="2"/>
  <c r="C477" i="2"/>
  <c r="F476" i="2"/>
  <c r="D476" i="2"/>
  <c r="B477" i="2"/>
  <c r="I476" i="2"/>
  <c r="J475" i="2" s="1"/>
  <c r="H476" i="2"/>
  <c r="I397" i="2"/>
  <c r="J396" i="2" s="1"/>
  <c r="H397" i="2"/>
  <c r="C399" i="2"/>
  <c r="F398" i="2"/>
  <c r="D398" i="2"/>
  <c r="B399" i="2"/>
  <c r="I398" i="2"/>
  <c r="J397" i="2" s="1"/>
  <c r="H398" i="2"/>
  <c r="I318" i="2"/>
  <c r="J317" i="2" s="1"/>
  <c r="H318" i="2"/>
  <c r="C320" i="2"/>
  <c r="F319" i="2"/>
  <c r="D319" i="2"/>
  <c r="B320" i="2"/>
  <c r="I319" i="2"/>
  <c r="J318" i="2" s="1"/>
  <c r="H319" i="2"/>
  <c r="I238" i="2"/>
  <c r="J237" i="2" s="1"/>
  <c r="H238" i="2"/>
  <c r="C240" i="2"/>
  <c r="F239" i="2"/>
  <c r="D239" i="2"/>
  <c r="B240" i="2"/>
  <c r="I239" i="2"/>
  <c r="J238" i="2" s="1"/>
  <c r="H239" i="2"/>
  <c r="I157" i="2"/>
  <c r="J156" i="2" s="1"/>
  <c r="H157" i="2"/>
  <c r="C159" i="2"/>
  <c r="F158" i="2"/>
  <c r="D158" i="2"/>
  <c r="B159" i="2"/>
  <c r="I158" i="2"/>
  <c r="J157" i="2" s="1"/>
  <c r="H158" i="2"/>
  <c r="I75" i="2"/>
  <c r="J74" i="2" s="1"/>
  <c r="H75" i="2"/>
  <c r="C77" i="2"/>
  <c r="F76" i="2"/>
  <c r="D76" i="2"/>
  <c r="B77" i="2"/>
  <c r="I76" i="2"/>
  <c r="J75" i="2" s="1"/>
  <c r="H76" i="2"/>
  <c r="B78" i="2" l="1"/>
  <c r="C78" i="2"/>
  <c r="F77" i="2"/>
  <c r="D77" i="2"/>
  <c r="B160" i="2"/>
  <c r="C160" i="2"/>
  <c r="F159" i="2"/>
  <c r="D159" i="2"/>
  <c r="B241" i="2"/>
  <c r="C241" i="2"/>
  <c r="F240" i="2"/>
  <c r="D240" i="2"/>
  <c r="B321" i="2"/>
  <c r="C321" i="2"/>
  <c r="F320" i="2"/>
  <c r="D320" i="2"/>
  <c r="B400" i="2"/>
  <c r="C400" i="2"/>
  <c r="F399" i="2"/>
  <c r="D399" i="2"/>
  <c r="B478" i="2"/>
  <c r="C478" i="2"/>
  <c r="F477" i="2"/>
  <c r="D477" i="2"/>
  <c r="B555" i="2"/>
  <c r="C555" i="2"/>
  <c r="F554" i="2"/>
  <c r="D554" i="2"/>
  <c r="B631" i="2"/>
  <c r="C631" i="2"/>
  <c r="F630" i="2"/>
  <c r="B706" i="2"/>
  <c r="C706" i="2"/>
  <c r="F705" i="2"/>
  <c r="B780" i="2"/>
  <c r="C780" i="2"/>
  <c r="F779" i="2"/>
  <c r="B853" i="2"/>
  <c r="C853" i="2"/>
  <c r="F852" i="2"/>
  <c r="D852" i="2"/>
  <c r="B78" i="3"/>
  <c r="C78" i="3"/>
  <c r="F77" i="3"/>
  <c r="D77" i="3"/>
  <c r="B149" i="3"/>
  <c r="C149" i="3"/>
  <c r="F148" i="3"/>
  <c r="D148" i="3"/>
  <c r="B219" i="3"/>
  <c r="C219" i="3"/>
  <c r="F218" i="3"/>
  <c r="D218" i="3"/>
  <c r="F287" i="3"/>
  <c r="D287" i="3"/>
  <c r="I287" i="3" l="1"/>
  <c r="J286" i="3" s="1"/>
  <c r="H287" i="3"/>
  <c r="I218" i="3"/>
  <c r="J217" i="3" s="1"/>
  <c r="H218" i="3"/>
  <c r="F219" i="3"/>
  <c r="D219" i="3"/>
  <c r="I219" i="3"/>
  <c r="J218" i="3" s="1"/>
  <c r="H219" i="3"/>
  <c r="I148" i="3"/>
  <c r="J147" i="3" s="1"/>
  <c r="H148" i="3"/>
  <c r="C150" i="3"/>
  <c r="F149" i="3"/>
  <c r="D149" i="3"/>
  <c r="B150" i="3"/>
  <c r="I149" i="3"/>
  <c r="J148" i="3" s="1"/>
  <c r="H149" i="3"/>
  <c r="I77" i="3"/>
  <c r="J76" i="3" s="1"/>
  <c r="H77" i="3"/>
  <c r="C79" i="3"/>
  <c r="F78" i="3"/>
  <c r="D78" i="3"/>
  <c r="B79" i="3"/>
  <c r="I78" i="3"/>
  <c r="J77" i="3" s="1"/>
  <c r="H78" i="3"/>
  <c r="I852" i="2"/>
  <c r="J851" i="2" s="1"/>
  <c r="H852" i="2"/>
  <c r="C854" i="2"/>
  <c r="F853" i="2"/>
  <c r="D853" i="2"/>
  <c r="B854" i="2"/>
  <c r="I853" i="2"/>
  <c r="J852" i="2" s="1"/>
  <c r="H853" i="2"/>
  <c r="I779" i="2"/>
  <c r="J778" i="2" s="1"/>
  <c r="H779" i="2"/>
  <c r="C781" i="2"/>
  <c r="F780" i="2"/>
  <c r="B781" i="2"/>
  <c r="I780" i="2"/>
  <c r="J779" i="2" s="1"/>
  <c r="H780" i="2"/>
  <c r="I705" i="2"/>
  <c r="J704" i="2" s="1"/>
  <c r="H705" i="2"/>
  <c r="C707" i="2"/>
  <c r="F706" i="2"/>
  <c r="B707" i="2"/>
  <c r="I706" i="2"/>
  <c r="J705" i="2" s="1"/>
  <c r="H706" i="2"/>
  <c r="I630" i="2"/>
  <c r="J629" i="2" s="1"/>
  <c r="H630" i="2"/>
  <c r="C632" i="2"/>
  <c r="F631" i="2"/>
  <c r="B632" i="2"/>
  <c r="I631" i="2"/>
  <c r="J630" i="2" s="1"/>
  <c r="H631" i="2"/>
  <c r="I554" i="2"/>
  <c r="J553" i="2" s="1"/>
  <c r="H554" i="2"/>
  <c r="C556" i="2"/>
  <c r="F555" i="2"/>
  <c r="D555" i="2"/>
  <c r="B556" i="2"/>
  <c r="I555" i="2"/>
  <c r="J554" i="2" s="1"/>
  <c r="H555" i="2"/>
  <c r="I477" i="2"/>
  <c r="J476" i="2" s="1"/>
  <c r="H477" i="2"/>
  <c r="C479" i="2"/>
  <c r="F478" i="2"/>
  <c r="D478" i="2"/>
  <c r="B479" i="2"/>
  <c r="I478" i="2"/>
  <c r="J477" i="2" s="1"/>
  <c r="H478" i="2"/>
  <c r="I399" i="2"/>
  <c r="J398" i="2" s="1"/>
  <c r="H399" i="2"/>
  <c r="C401" i="2"/>
  <c r="F400" i="2"/>
  <c r="D400" i="2"/>
  <c r="B401" i="2"/>
  <c r="I400" i="2"/>
  <c r="J399" i="2" s="1"/>
  <c r="H400" i="2"/>
  <c r="I320" i="2"/>
  <c r="J319" i="2" s="1"/>
  <c r="H320" i="2"/>
  <c r="C322" i="2"/>
  <c r="F321" i="2"/>
  <c r="D321" i="2"/>
  <c r="B322" i="2"/>
  <c r="I321" i="2"/>
  <c r="J320" i="2" s="1"/>
  <c r="H321" i="2"/>
  <c r="I240" i="2"/>
  <c r="J239" i="2" s="1"/>
  <c r="H240" i="2"/>
  <c r="C242" i="2"/>
  <c r="F241" i="2"/>
  <c r="D241" i="2"/>
  <c r="B242" i="2"/>
  <c r="I241" i="2"/>
  <c r="J240" i="2" s="1"/>
  <c r="H241" i="2"/>
  <c r="I159" i="2"/>
  <c r="J158" i="2" s="1"/>
  <c r="H159" i="2"/>
  <c r="C161" i="2"/>
  <c r="F160" i="2"/>
  <c r="D160" i="2"/>
  <c r="B161" i="2"/>
  <c r="I160" i="2"/>
  <c r="J159" i="2" s="1"/>
  <c r="H160" i="2"/>
  <c r="I77" i="2"/>
  <c r="J76" i="2" s="1"/>
  <c r="H77" i="2"/>
  <c r="C79" i="2"/>
  <c r="F78" i="2"/>
  <c r="D78" i="2"/>
  <c r="B79" i="2"/>
  <c r="I78" i="2"/>
  <c r="J77" i="2" s="1"/>
  <c r="H78" i="2"/>
  <c r="B80" i="2" l="1"/>
  <c r="C80" i="2"/>
  <c r="F79" i="2"/>
  <c r="D79" i="2"/>
  <c r="B162" i="2"/>
  <c r="C162" i="2"/>
  <c r="F161" i="2"/>
  <c r="D161" i="2"/>
  <c r="B243" i="2"/>
  <c r="C243" i="2"/>
  <c r="F242" i="2"/>
  <c r="D242" i="2"/>
  <c r="B323" i="2"/>
  <c r="C323" i="2"/>
  <c r="F322" i="2"/>
  <c r="D322" i="2"/>
  <c r="B402" i="2"/>
  <c r="C402" i="2"/>
  <c r="F401" i="2"/>
  <c r="D401" i="2"/>
  <c r="B480" i="2"/>
  <c r="C480" i="2"/>
  <c r="F479" i="2"/>
  <c r="D479" i="2"/>
  <c r="B557" i="2"/>
  <c r="C557" i="2"/>
  <c r="F556" i="2"/>
  <c r="D556" i="2"/>
  <c r="B633" i="2"/>
  <c r="C633" i="2"/>
  <c r="F632" i="2"/>
  <c r="B708" i="2"/>
  <c r="C708" i="2"/>
  <c r="F707" i="2"/>
  <c r="B782" i="2"/>
  <c r="C782" i="2"/>
  <c r="F781" i="2"/>
  <c r="B855" i="2"/>
  <c r="C855" i="2"/>
  <c r="F854" i="2"/>
  <c r="D854" i="2"/>
  <c r="B80" i="3"/>
  <c r="C80" i="3"/>
  <c r="F79" i="3"/>
  <c r="D79" i="3"/>
  <c r="F150" i="3"/>
  <c r="D150" i="3"/>
  <c r="I150" i="3" l="1"/>
  <c r="J149" i="3" s="1"/>
  <c r="H150" i="3"/>
  <c r="I79" i="3"/>
  <c r="J78" i="3" s="1"/>
  <c r="H79" i="3"/>
  <c r="F80" i="3"/>
  <c r="D80" i="3"/>
  <c r="I80" i="3"/>
  <c r="J79" i="3" s="1"/>
  <c r="H80" i="3"/>
  <c r="I854" i="2"/>
  <c r="J853" i="2" s="1"/>
  <c r="H854" i="2"/>
  <c r="C856" i="2"/>
  <c r="F855" i="2"/>
  <c r="D855" i="2"/>
  <c r="B856" i="2"/>
  <c r="I855" i="2"/>
  <c r="J854" i="2" s="1"/>
  <c r="H855" i="2"/>
  <c r="I781" i="2"/>
  <c r="J780" i="2" s="1"/>
  <c r="H781" i="2"/>
  <c r="C783" i="2"/>
  <c r="F782" i="2"/>
  <c r="B783" i="2"/>
  <c r="I782" i="2"/>
  <c r="J781" i="2" s="1"/>
  <c r="H782" i="2"/>
  <c r="I707" i="2"/>
  <c r="J706" i="2" s="1"/>
  <c r="H707" i="2"/>
  <c r="C709" i="2"/>
  <c r="F708" i="2"/>
  <c r="B709" i="2"/>
  <c r="I708" i="2"/>
  <c r="J707" i="2" s="1"/>
  <c r="H708" i="2"/>
  <c r="I632" i="2"/>
  <c r="J631" i="2" s="1"/>
  <c r="H632" i="2"/>
  <c r="C634" i="2"/>
  <c r="F633" i="2"/>
  <c r="B634" i="2"/>
  <c r="I633" i="2"/>
  <c r="J632" i="2" s="1"/>
  <c r="H633" i="2"/>
  <c r="I556" i="2"/>
  <c r="J555" i="2" s="1"/>
  <c r="H556" i="2"/>
  <c r="C558" i="2"/>
  <c r="F557" i="2"/>
  <c r="D557" i="2"/>
  <c r="B558" i="2"/>
  <c r="I557" i="2"/>
  <c r="J556" i="2" s="1"/>
  <c r="H557" i="2"/>
  <c r="I479" i="2"/>
  <c r="J478" i="2" s="1"/>
  <c r="H479" i="2"/>
  <c r="C481" i="2"/>
  <c r="F480" i="2"/>
  <c r="D480" i="2"/>
  <c r="B481" i="2"/>
  <c r="I480" i="2"/>
  <c r="J479" i="2" s="1"/>
  <c r="H480" i="2"/>
  <c r="I401" i="2"/>
  <c r="J400" i="2" s="1"/>
  <c r="H401" i="2"/>
  <c r="C403" i="2"/>
  <c r="F402" i="2"/>
  <c r="D402" i="2"/>
  <c r="B403" i="2"/>
  <c r="I402" i="2"/>
  <c r="J401" i="2" s="1"/>
  <c r="H402" i="2"/>
  <c r="I322" i="2"/>
  <c r="J321" i="2" s="1"/>
  <c r="H322" i="2"/>
  <c r="C324" i="2"/>
  <c r="F323" i="2"/>
  <c r="D323" i="2"/>
  <c r="B324" i="2"/>
  <c r="I323" i="2"/>
  <c r="J322" i="2" s="1"/>
  <c r="H323" i="2"/>
  <c r="I242" i="2"/>
  <c r="J241" i="2" s="1"/>
  <c r="H242" i="2"/>
  <c r="C244" i="2"/>
  <c r="F243" i="2"/>
  <c r="D243" i="2"/>
  <c r="B244" i="2"/>
  <c r="I243" i="2"/>
  <c r="J242" i="2" s="1"/>
  <c r="H243" i="2"/>
  <c r="I161" i="2"/>
  <c r="J160" i="2" s="1"/>
  <c r="H161" i="2"/>
  <c r="C163" i="2"/>
  <c r="F162" i="2"/>
  <c r="D162" i="2"/>
  <c r="B163" i="2"/>
  <c r="I162" i="2"/>
  <c r="J161" i="2" s="1"/>
  <c r="H162" i="2"/>
  <c r="I79" i="2"/>
  <c r="J78" i="2" s="1"/>
  <c r="H79" i="2"/>
  <c r="C81" i="2"/>
  <c r="F80" i="2"/>
  <c r="D80" i="2"/>
  <c r="B81" i="2"/>
  <c r="I80" i="2"/>
  <c r="J79" i="2" s="1"/>
  <c r="H80" i="2"/>
  <c r="B82" i="2" l="1"/>
  <c r="C82" i="2"/>
  <c r="F81" i="2"/>
  <c r="D81" i="2"/>
  <c r="B164" i="2"/>
  <c r="C164" i="2"/>
  <c r="F163" i="2"/>
  <c r="D163" i="2"/>
  <c r="B245" i="2"/>
  <c r="C245" i="2"/>
  <c r="F244" i="2"/>
  <c r="D244" i="2"/>
  <c r="B325" i="2"/>
  <c r="C325" i="2"/>
  <c r="F324" i="2"/>
  <c r="D324" i="2"/>
  <c r="B404" i="2"/>
  <c r="C404" i="2"/>
  <c r="F403" i="2"/>
  <c r="D403" i="2"/>
  <c r="B482" i="2"/>
  <c r="C482" i="2"/>
  <c r="F481" i="2"/>
  <c r="D481" i="2"/>
  <c r="B559" i="2"/>
  <c r="C559" i="2"/>
  <c r="F558" i="2"/>
  <c r="D558" i="2"/>
  <c r="B635" i="2"/>
  <c r="C635" i="2"/>
  <c r="F634" i="2"/>
  <c r="B710" i="2"/>
  <c r="C710" i="2"/>
  <c r="F709" i="2"/>
  <c r="B784" i="2"/>
  <c r="C784" i="2"/>
  <c r="F784" i="2" s="1"/>
  <c r="F783" i="2"/>
  <c r="F856" i="2"/>
  <c r="D856" i="2"/>
  <c r="I856" i="2" l="1"/>
  <c r="J855" i="2" s="1"/>
  <c r="H856" i="2"/>
  <c r="I783" i="2"/>
  <c r="J782" i="2" s="1"/>
  <c r="H783" i="2"/>
  <c r="I784" i="2"/>
  <c r="J783" i="2" s="1"/>
  <c r="H784" i="2"/>
  <c r="I709" i="2"/>
  <c r="J708" i="2" s="1"/>
  <c r="H709" i="2"/>
  <c r="C711" i="2"/>
  <c r="F711" i="2" s="1"/>
  <c r="F710" i="2"/>
  <c r="B711" i="2"/>
  <c r="I710" i="2"/>
  <c r="J709" i="2" s="1"/>
  <c r="H710" i="2"/>
  <c r="I634" i="2"/>
  <c r="J633" i="2" s="1"/>
  <c r="H634" i="2"/>
  <c r="C636" i="2"/>
  <c r="F635" i="2"/>
  <c r="B636" i="2"/>
  <c r="I635" i="2"/>
  <c r="J634" i="2" s="1"/>
  <c r="H635" i="2"/>
  <c r="I558" i="2"/>
  <c r="J557" i="2" s="1"/>
  <c r="H558" i="2"/>
  <c r="C560" i="2"/>
  <c r="F559" i="2"/>
  <c r="D559" i="2"/>
  <c r="B560" i="2"/>
  <c r="I559" i="2"/>
  <c r="J558" i="2" s="1"/>
  <c r="H559" i="2"/>
  <c r="I481" i="2"/>
  <c r="J480" i="2" s="1"/>
  <c r="H481" i="2"/>
  <c r="C483" i="2"/>
  <c r="F482" i="2"/>
  <c r="D482" i="2"/>
  <c r="B483" i="2"/>
  <c r="I482" i="2"/>
  <c r="J481" i="2" s="1"/>
  <c r="H482" i="2"/>
  <c r="I403" i="2"/>
  <c r="J402" i="2" s="1"/>
  <c r="H403" i="2"/>
  <c r="C405" i="2"/>
  <c r="F404" i="2"/>
  <c r="D404" i="2"/>
  <c r="B405" i="2"/>
  <c r="I404" i="2"/>
  <c r="J403" i="2" s="1"/>
  <c r="H404" i="2"/>
  <c r="I324" i="2"/>
  <c r="J323" i="2" s="1"/>
  <c r="H324" i="2"/>
  <c r="C326" i="2"/>
  <c r="F325" i="2"/>
  <c r="D325" i="2"/>
  <c r="B326" i="2"/>
  <c r="I325" i="2"/>
  <c r="J324" i="2" s="1"/>
  <c r="H325" i="2"/>
  <c r="I244" i="2"/>
  <c r="J243" i="2" s="1"/>
  <c r="H244" i="2"/>
  <c r="C246" i="2"/>
  <c r="F245" i="2"/>
  <c r="D245" i="2"/>
  <c r="B246" i="2"/>
  <c r="I245" i="2"/>
  <c r="J244" i="2" s="1"/>
  <c r="H245" i="2"/>
  <c r="I163" i="2"/>
  <c r="J162" i="2" s="1"/>
  <c r="H163" i="2"/>
  <c r="C165" i="2"/>
  <c r="F164" i="2"/>
  <c r="D164" i="2"/>
  <c r="B165" i="2"/>
  <c r="I164" i="2"/>
  <c r="J163" i="2" s="1"/>
  <c r="H164" i="2"/>
  <c r="I81" i="2"/>
  <c r="J80" i="2" s="1"/>
  <c r="H81" i="2"/>
  <c r="C83" i="2"/>
  <c r="F82" i="2"/>
  <c r="D82" i="2"/>
  <c r="B83" i="2"/>
  <c r="I82" i="2"/>
  <c r="J81" i="2" s="1"/>
  <c r="H82" i="2"/>
  <c r="B84" i="2" l="1"/>
  <c r="C84" i="2"/>
  <c r="F83" i="2"/>
  <c r="D83" i="2"/>
  <c r="B166" i="2"/>
  <c r="C166" i="2"/>
  <c r="F165" i="2"/>
  <c r="D165" i="2"/>
  <c r="B247" i="2"/>
  <c r="C247" i="2"/>
  <c r="F246" i="2"/>
  <c r="D246" i="2"/>
  <c r="B327" i="2"/>
  <c r="C327" i="2"/>
  <c r="F326" i="2"/>
  <c r="D326" i="2"/>
  <c r="B406" i="2"/>
  <c r="C406" i="2"/>
  <c r="F405" i="2"/>
  <c r="D405" i="2"/>
  <c r="B484" i="2"/>
  <c r="C484" i="2"/>
  <c r="F483" i="2"/>
  <c r="D483" i="2"/>
  <c r="B561" i="2"/>
  <c r="C561" i="2"/>
  <c r="F560" i="2"/>
  <c r="D560" i="2"/>
  <c r="B637" i="2"/>
  <c r="C637" i="2"/>
  <c r="F637" i="2" s="1"/>
  <c r="F636" i="2"/>
  <c r="I711" i="2"/>
  <c r="J710" i="2" s="1"/>
  <c r="H711" i="2"/>
  <c r="I636" i="2" l="1"/>
  <c r="J635" i="2" s="1"/>
  <c r="H636" i="2"/>
  <c r="I637" i="2"/>
  <c r="J636" i="2" s="1"/>
  <c r="H637" i="2"/>
  <c r="I560" i="2"/>
  <c r="J559" i="2" s="1"/>
  <c r="H560" i="2"/>
  <c r="C562" i="2"/>
  <c r="F561" i="2"/>
  <c r="D561" i="2"/>
  <c r="B562" i="2"/>
  <c r="I561" i="2"/>
  <c r="J560" i="2" s="1"/>
  <c r="H561" i="2"/>
  <c r="I483" i="2"/>
  <c r="J482" i="2" s="1"/>
  <c r="H483" i="2"/>
  <c r="C485" i="2"/>
  <c r="F484" i="2"/>
  <c r="D484" i="2"/>
  <c r="B485" i="2"/>
  <c r="I484" i="2"/>
  <c r="J483" i="2" s="1"/>
  <c r="H484" i="2"/>
  <c r="I405" i="2"/>
  <c r="J404" i="2" s="1"/>
  <c r="H405" i="2"/>
  <c r="C407" i="2"/>
  <c r="F406" i="2"/>
  <c r="D406" i="2"/>
  <c r="B407" i="2"/>
  <c r="I406" i="2"/>
  <c r="J405" i="2" s="1"/>
  <c r="H406" i="2"/>
  <c r="I326" i="2"/>
  <c r="J325" i="2" s="1"/>
  <c r="H326" i="2"/>
  <c r="C328" i="2"/>
  <c r="F327" i="2"/>
  <c r="D327" i="2"/>
  <c r="B328" i="2"/>
  <c r="I327" i="2"/>
  <c r="J326" i="2" s="1"/>
  <c r="H327" i="2"/>
  <c r="I246" i="2"/>
  <c r="J245" i="2" s="1"/>
  <c r="H246" i="2"/>
  <c r="C248" i="2"/>
  <c r="F247" i="2"/>
  <c r="D247" i="2"/>
  <c r="B248" i="2"/>
  <c r="I247" i="2"/>
  <c r="J246" i="2" s="1"/>
  <c r="H247" i="2"/>
  <c r="I165" i="2"/>
  <c r="J164" i="2" s="1"/>
  <c r="H165" i="2"/>
  <c r="C167" i="2"/>
  <c r="F166" i="2"/>
  <c r="D166" i="2"/>
  <c r="B167" i="2"/>
  <c r="I166" i="2"/>
  <c r="J165" i="2" s="1"/>
  <c r="H166" i="2"/>
  <c r="I83" i="2"/>
  <c r="J82" i="2" s="1"/>
  <c r="H83" i="2"/>
  <c r="C85" i="2"/>
  <c r="F84" i="2"/>
  <c r="D84" i="2"/>
  <c r="B85" i="2"/>
  <c r="I84" i="2"/>
  <c r="J83" i="2" s="1"/>
  <c r="H84" i="2"/>
  <c r="B86" i="2" l="1"/>
  <c r="C86" i="2"/>
  <c r="F85" i="2"/>
  <c r="D85" i="2"/>
  <c r="B168" i="2"/>
  <c r="C168" i="2"/>
  <c r="F167" i="2"/>
  <c r="D167" i="2"/>
  <c r="B249" i="2"/>
  <c r="C249" i="2"/>
  <c r="F248" i="2"/>
  <c r="D248" i="2"/>
  <c r="B329" i="2"/>
  <c r="C329" i="2"/>
  <c r="F328" i="2"/>
  <c r="D328" i="2"/>
  <c r="B408" i="2"/>
  <c r="C408" i="2"/>
  <c r="F407" i="2"/>
  <c r="D407" i="2"/>
  <c r="B486" i="2"/>
  <c r="C486" i="2"/>
  <c r="F485" i="2"/>
  <c r="D485" i="2"/>
  <c r="F562" i="2"/>
  <c r="D562" i="2"/>
  <c r="I562" i="2" l="1"/>
  <c r="J561" i="2" s="1"/>
  <c r="H562" i="2"/>
  <c r="I485" i="2"/>
  <c r="J484" i="2" s="1"/>
  <c r="H485" i="2"/>
  <c r="F486" i="2"/>
  <c r="D486" i="2"/>
  <c r="I486" i="2"/>
  <c r="J485" i="2" s="1"/>
  <c r="H486" i="2"/>
  <c r="I407" i="2"/>
  <c r="J406" i="2" s="1"/>
  <c r="H407" i="2"/>
  <c r="C409" i="2"/>
  <c r="F408" i="2"/>
  <c r="D408" i="2"/>
  <c r="B409" i="2"/>
  <c r="I408" i="2"/>
  <c r="J407" i="2" s="1"/>
  <c r="H408" i="2"/>
  <c r="I328" i="2"/>
  <c r="J327" i="2" s="1"/>
  <c r="H328" i="2"/>
  <c r="C330" i="2"/>
  <c r="F329" i="2"/>
  <c r="D329" i="2"/>
  <c r="B330" i="2"/>
  <c r="I329" i="2"/>
  <c r="J328" i="2" s="1"/>
  <c r="H329" i="2"/>
  <c r="I248" i="2"/>
  <c r="J247" i="2" s="1"/>
  <c r="H248" i="2"/>
  <c r="C250" i="2"/>
  <c r="F249" i="2"/>
  <c r="D249" i="2"/>
  <c r="B250" i="2"/>
  <c r="I249" i="2"/>
  <c r="J248" i="2" s="1"/>
  <c r="H249" i="2"/>
  <c r="I167" i="2"/>
  <c r="J166" i="2" s="1"/>
  <c r="H167" i="2"/>
  <c r="C169" i="2"/>
  <c r="F168" i="2"/>
  <c r="D168" i="2"/>
  <c r="B169" i="2"/>
  <c r="I168" i="2"/>
  <c r="J167" i="2" s="1"/>
  <c r="H168" i="2"/>
  <c r="I85" i="2"/>
  <c r="J84" i="2" s="1"/>
  <c r="H85" i="2"/>
  <c r="C87" i="2"/>
  <c r="F86" i="2"/>
  <c r="D86" i="2"/>
  <c r="B87" i="2"/>
  <c r="I86" i="2"/>
  <c r="J85" i="2" s="1"/>
  <c r="H86" i="2"/>
  <c r="B88" i="2" l="1"/>
  <c r="C88" i="2"/>
  <c r="F87" i="2"/>
  <c r="D87" i="2"/>
  <c r="B170" i="2"/>
  <c r="C170" i="2"/>
  <c r="F169" i="2"/>
  <c r="D169" i="2"/>
  <c r="B251" i="2"/>
  <c r="C251" i="2"/>
  <c r="F250" i="2"/>
  <c r="D250" i="2"/>
  <c r="B331" i="2"/>
  <c r="C331" i="2"/>
  <c r="F330" i="2"/>
  <c r="D330" i="2"/>
  <c r="F409" i="2"/>
  <c r="D409" i="2"/>
  <c r="I409" i="2" l="1"/>
  <c r="J408" i="2" s="1"/>
  <c r="H409" i="2"/>
  <c r="I330" i="2"/>
  <c r="J329" i="2" s="1"/>
  <c r="H330" i="2"/>
  <c r="F331" i="2"/>
  <c r="D331" i="2"/>
  <c r="I331" i="2"/>
  <c r="J330" i="2" s="1"/>
  <c r="H331" i="2"/>
  <c r="I250" i="2"/>
  <c r="J249" i="2" s="1"/>
  <c r="H250" i="2"/>
  <c r="C252" i="2"/>
  <c r="F251" i="2"/>
  <c r="D251" i="2"/>
  <c r="B252" i="2"/>
  <c r="I251" i="2"/>
  <c r="J250" i="2" s="1"/>
  <c r="H251" i="2"/>
  <c r="I169" i="2"/>
  <c r="J168" i="2" s="1"/>
  <c r="H169" i="2"/>
  <c r="C171" i="2"/>
  <c r="F170" i="2"/>
  <c r="D170" i="2"/>
  <c r="B171" i="2"/>
  <c r="I170" i="2"/>
  <c r="J169" i="2" s="1"/>
  <c r="H170" i="2"/>
  <c r="I87" i="2"/>
  <c r="J86" i="2" s="1"/>
  <c r="H87" i="2"/>
  <c r="C89" i="2"/>
  <c r="F88" i="2"/>
  <c r="D88" i="2"/>
  <c r="B89" i="2"/>
  <c r="I88" i="2"/>
  <c r="J87" i="2" s="1"/>
  <c r="H88" i="2"/>
  <c r="B90" i="2" l="1"/>
  <c r="C90" i="2"/>
  <c r="F89" i="2"/>
  <c r="D89" i="2"/>
  <c r="B172" i="2"/>
  <c r="C172" i="2"/>
  <c r="F171" i="2"/>
  <c r="D171" i="2"/>
  <c r="F252" i="2"/>
  <c r="D252" i="2"/>
  <c r="I252" i="2" l="1"/>
  <c r="J251" i="2" s="1"/>
  <c r="H252" i="2"/>
  <c r="I171" i="2"/>
  <c r="J170" i="2" s="1"/>
  <c r="H171" i="2"/>
  <c r="F172" i="2"/>
  <c r="D172" i="2"/>
  <c r="I172" i="2"/>
  <c r="J171" i="2" s="1"/>
  <c r="H172" i="2"/>
  <c r="I89" i="2"/>
  <c r="J88" i="2" s="1"/>
  <c r="H89" i="2"/>
  <c r="C91" i="2"/>
  <c r="F90" i="2"/>
  <c r="D90" i="2"/>
  <c r="B91" i="2"/>
  <c r="I90" i="2"/>
  <c r="J89" i="2" s="1"/>
  <c r="H90" i="2"/>
  <c r="F91" i="2" l="1"/>
  <c r="D91" i="2"/>
  <c r="I91" i="2" l="1"/>
  <c r="H91" i="2"/>
  <c r="J91" i="2" l="1"/>
  <c r="J90" i="2"/>
</calcChain>
</file>

<file path=xl/sharedStrings.xml><?xml version="1.0" encoding="utf-8"?>
<sst xmlns="http://schemas.openxmlformats.org/spreadsheetml/2006/main" count="3844" uniqueCount="30">
  <si>
    <t>MatureTable</t>
  </si>
  <si>
    <t>1.005 ครบสัญญา</t>
  </si>
  <si>
    <t>plancode</t>
  </si>
  <si>
    <t>maturerate</t>
  </si>
  <si>
    <t>premiumrate</t>
  </si>
  <si>
    <t>1.005 มรณกรรม</t>
  </si>
  <si>
    <t>EN60</t>
  </si>
  <si>
    <t>coupontable</t>
  </si>
  <si>
    <t>benefittype</t>
  </si>
  <si>
    <t>id</t>
  </si>
  <si>
    <t>returncash</t>
  </si>
  <si>
    <t>ytable</t>
  </si>
  <si>
    <t>ไม่มีเงินปันผล</t>
  </si>
  <si>
    <t>V = เอาเงินเวรคืนมาเป็นผลประโยชน์กรณีเสียชีวิต</t>
  </si>
  <si>
    <t>Y</t>
  </si>
  <si>
    <t>มีเงินปันผล</t>
  </si>
  <si>
    <t>S = Max(เวรคืน, ผลประโยชน์กรณีเสียชีวิต)</t>
  </si>
  <si>
    <t>N</t>
  </si>
  <si>
    <t>fix ปี ไม่ search ด้วยอายุ</t>
  </si>
  <si>
    <t>A = Max(เวรคืน, ผลประโยชน์กรณีเสียชีวิต, 1.005เท่าของเบี้ยที่จ่าย)</t>
  </si>
  <si>
    <t>ต้องส่งอายุไป search ด้วย</t>
  </si>
  <si>
    <t>อื่นๆ = แสดงผลประโยชน์กรณีเสียชีวิต</t>
  </si>
  <si>
    <t>coupon</t>
  </si>
  <si>
    <t>age</t>
  </si>
  <si>
    <t>year</t>
  </si>
  <si>
    <t>couponrate</t>
  </si>
  <si>
    <t>benefitrate</t>
  </si>
  <si>
    <t>A</t>
  </si>
  <si>
    <t>]}]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</si>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</sst>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FF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"/>
  <sheetViews>
    <sheetView workbookViewId="0">
      <selection activeCell="H15" sqref="H15"/>
    </sheetView>
  </sheetViews>
  <sheetFormatPr defaultColWidth="12.5703125" defaultRowHeight="15.75" customHeight="1"/>
  <cols>
    <col min="8" max="8" width="22.7109375" customWidth="1"/>
  </cols>
  <sheetData>
    <row r="1" spans="1:9" ht="12.75">
      <c r="A1" s="1" t="s">
        <v>0</v>
      </c>
      <c r="E1" s="2" t="s">
        <v>1</v>
      </c>
    </row>
    <row r="2" spans="1:9" ht="12.75">
      <c r="A2" s="3" t="s">
        <v>2</v>
      </c>
      <c r="B2" s="3" t="s">
        <v>3</v>
      </c>
      <c r="C2" s="3" t="s">
        <v>4</v>
      </c>
      <c r="E2" s="2" t="s">
        <v>5</v>
      </c>
    </row>
    <row r="3" spans="1:9" ht="12.75">
      <c r="A3" s="4" t="s">
        <v>6</v>
      </c>
      <c r="B3" s="4">
        <v>808</v>
      </c>
      <c r="C3" s="5">
        <v>1.01</v>
      </c>
      <c r="E3" s="6" t="str">
        <f>"INSERT INTO public.maturetable (plancode, maturerate, premiumrate) VALUES('"&amp;A3&amp;"', "&amp;B3&amp;", "&amp;C3&amp;");"</f>
        <v>INSERT INTO public.maturetable (plancode, maturerate, premiumrate) VALUES('EN60', 808, 1.01);</v>
      </c>
    </row>
    <row r="5" spans="1:9" ht="12.75">
      <c r="A5" s="1" t="s">
        <v>7</v>
      </c>
      <c r="E5" s="6" t="str">
        <f>"INSERT INTO public.coupontable (id, returncash, ytable) VALUES('"&amp;A7&amp;"', "&amp;B7&amp;", '"&amp;C7&amp;"');"</f>
        <v>INSERT INTO public.coupontable (id, returncash, ytable) VALUES('EN60', 1, 'Y');</v>
      </c>
      <c r="I5" s="6" t="s">
        <v>8</v>
      </c>
    </row>
    <row r="6" spans="1:9" ht="12.75">
      <c r="A6" s="3" t="s">
        <v>9</v>
      </c>
      <c r="B6" s="3" t="s">
        <v>10</v>
      </c>
      <c r="C6" s="3" t="s">
        <v>11</v>
      </c>
      <c r="E6" s="1" t="s">
        <v>10</v>
      </c>
      <c r="F6" s="7">
        <v>0</v>
      </c>
      <c r="G6" s="6"/>
      <c r="H6" s="6" t="s">
        <v>12</v>
      </c>
      <c r="I6" s="6" t="s">
        <v>13</v>
      </c>
    </row>
    <row r="7" spans="1:9" ht="12.75">
      <c r="A7" s="4" t="str">
        <f>A$3</f>
        <v>EN60</v>
      </c>
      <c r="B7" s="4">
        <v>1</v>
      </c>
      <c r="C7" s="4" t="s">
        <v>14</v>
      </c>
      <c r="F7" s="7">
        <v>1</v>
      </c>
      <c r="G7" s="6"/>
      <c r="H7" s="6" t="s">
        <v>15</v>
      </c>
      <c r="I7" s="6" t="s">
        <v>16</v>
      </c>
    </row>
    <row r="8" spans="1:9" ht="12.75">
      <c r="E8" s="1" t="s">
        <v>11</v>
      </c>
      <c r="F8" s="6" t="s">
        <v>17</v>
      </c>
      <c r="G8" s="6"/>
      <c r="H8" s="6" t="s">
        <v>18</v>
      </c>
      <c r="I8" s="6" t="s">
        <v>19</v>
      </c>
    </row>
    <row r="9" spans="1:9" ht="12.75">
      <c r="F9" s="6" t="s">
        <v>14</v>
      </c>
      <c r="G9" s="6"/>
      <c r="H9" s="6" t="s">
        <v>20</v>
      </c>
      <c r="I9" s="6" t="s">
        <v>21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858"/>
  <sheetViews>
    <sheetView tabSelected="1" workbookViewId="0">
      <selection activeCell="D26" sqref="D26"/>
    </sheetView>
  </sheetViews>
  <sheetFormatPr defaultColWidth="12.5703125" defaultRowHeight="15.75" customHeight="1"/>
  <cols>
    <col min="1" max="7" width="10.140625" customWidth="1"/>
    <col min="8" max="8" width="32.5703125" customWidth="1"/>
    <col min="9" max="9" width="76.42578125" customWidth="1"/>
  </cols>
  <sheetData>
    <row r="1" spans="1:10">
      <c r="A1" s="1" t="s">
        <v>0</v>
      </c>
      <c r="E1" s="2" t="s">
        <v>1</v>
      </c>
    </row>
    <row r="2" spans="1:10">
      <c r="A2" s="3" t="s">
        <v>2</v>
      </c>
      <c r="B2" s="3" t="s">
        <v>3</v>
      </c>
      <c r="C2" s="3" t="s">
        <v>4</v>
      </c>
      <c r="E2" s="2" t="s">
        <v>5</v>
      </c>
    </row>
    <row r="3" spans="1:10">
      <c r="A3" s="4" t="str">
        <f>'EN60'!A$3</f>
        <v>EN60</v>
      </c>
      <c r="B3" s="4">
        <f>'EN60'!B$3</f>
        <v>808</v>
      </c>
      <c r="C3" s="5">
        <f>'EN60'!C$3</f>
        <v>1.01</v>
      </c>
      <c r="E3" s="6" t="str">
        <f>"INSERT INTO public.maturetable (plancode, maturerate, premiumrate) VALUES('"&amp;A3&amp;"', "&amp;B3&amp;", "&amp;C3&amp;");"</f>
        <v>INSERT INTO public.maturetable (plancode, maturerate, premiumrate) VALUES('EN60', 808, 1.01);</v>
      </c>
    </row>
    <row r="5" spans="1:10">
      <c r="A5" s="1" t="s">
        <v>7</v>
      </c>
      <c r="E5" s="6" t="str">
        <f>"INSERT INTO public.coupontable (id, returncash, ytable) VALUES('"&amp;A7&amp;"', "&amp;B7&amp;", '"&amp;C7&amp;"');"</f>
        <v>INSERT INTO public.coupontable (id, returncash, ytable) VALUES('EN60', 1, 'Y');</v>
      </c>
      <c r="I5" s="6" t="s">
        <v>8</v>
      </c>
    </row>
    <row r="6" spans="1:10">
      <c r="A6" s="3" t="s">
        <v>9</v>
      </c>
      <c r="B6" s="3" t="s">
        <v>10</v>
      </c>
      <c r="C6" s="3" t="s">
        <v>11</v>
      </c>
      <c r="E6" s="1" t="s">
        <v>10</v>
      </c>
      <c r="F6" s="7">
        <v>0</v>
      </c>
      <c r="G6" s="6" t="s">
        <v>12</v>
      </c>
      <c r="H6" s="6"/>
      <c r="I6" s="6" t="s">
        <v>13</v>
      </c>
    </row>
    <row r="7" spans="1:10">
      <c r="A7" s="4" t="str">
        <f>A$3</f>
        <v>EN60</v>
      </c>
      <c r="B7" s="4">
        <f>'EN60'!B$7</f>
        <v>1</v>
      </c>
      <c r="C7" s="4" t="str">
        <f>'EN60'!C$7</f>
        <v>Y</v>
      </c>
      <c r="F7" s="7">
        <v>1</v>
      </c>
      <c r="G7" s="6" t="s">
        <v>15</v>
      </c>
      <c r="H7" s="6"/>
      <c r="I7" s="6" t="s">
        <v>16</v>
      </c>
    </row>
    <row r="8" spans="1:10">
      <c r="E8" s="1" t="s">
        <v>11</v>
      </c>
      <c r="F8" s="6" t="s">
        <v>17</v>
      </c>
      <c r="G8" s="6" t="s">
        <v>18</v>
      </c>
      <c r="H8" s="6"/>
      <c r="I8" s="6" t="s">
        <v>19</v>
      </c>
    </row>
    <row r="9" spans="1:10">
      <c r="F9" s="6" t="s">
        <v>14</v>
      </c>
      <c r="G9" s="6" t="s">
        <v>20</v>
      </c>
      <c r="H9" s="6"/>
      <c r="I9" s="6" t="s">
        <v>21</v>
      </c>
    </row>
    <row r="10" spans="1:10">
      <c r="A10" s="1" t="s">
        <v>22</v>
      </c>
    </row>
    <row r="11" spans="1:10">
      <c r="A11" s="3" t="s">
        <v>2</v>
      </c>
      <c r="B11" s="3" t="s">
        <v>23</v>
      </c>
      <c r="C11" s="3" t="s">
        <v>24</v>
      </c>
      <c r="D11" s="3" t="s">
        <v>25</v>
      </c>
      <c r="E11" s="3" t="s">
        <v>8</v>
      </c>
      <c r="F11" s="3" t="s">
        <v>26</v>
      </c>
      <c r="G11" s="3" t="s">
        <v>4</v>
      </c>
      <c r="I11" s="6" t="str">
        <f>"[{""plancode"":"""&amp;A12&amp;""",""returncash"":"""&amp;B$7&amp;""",""ytable"":"""&amp;C$7&amp;""",""maturerate"":"""&amp;B$3&amp;""",""maturepmrate"":"""&amp;C$3&amp;""",""coupon"":["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12" spans="1:10">
      <c r="A12" s="4" t="str">
        <f>'EN60'!A$3</f>
        <v>EN60</v>
      </c>
      <c r="B12" s="8">
        <v>0</v>
      </c>
      <c r="C12" s="4">
        <v>1</v>
      </c>
      <c r="D12" s="4">
        <f t="shared" ref="D12:D91" si="0">IF(C12+B12=80,0,8)</f>
        <v>8</v>
      </c>
      <c r="E12" s="4" t="s">
        <v>27</v>
      </c>
      <c r="F12" s="4">
        <f t="shared" ref="F12:F91" si="1">IF(C12&gt;7, 800, C12*100)</f>
        <v>100</v>
      </c>
      <c r="G12" s="5">
        <f>'EN60'!C$3</f>
        <v>1.01</v>
      </c>
      <c r="H12" s="6" t="str">
        <f t="shared" ref="H12:H91" si="2">"INSERT INTO public.coupon ("&amp;A$11&amp;", "&amp;B$11&amp;", """&amp;C$11&amp;""", "&amp;D$11&amp;", "&amp;E$11&amp;", "&amp;F$11&amp;", "&amp;G$11&amp;") VALUES('"&amp;A12&amp;"', "&amp;B12&amp;", "&amp;C12&amp;", "&amp;D12&amp;", '"&amp;E12&amp;"',"&amp;F12&amp;", "&amp;G12&amp;");"</f>
        <v>INSERT INTO public.coupon (plancode, age, "year", couponrate, benefittype, benefitrate, premiumrate) VALUES('EN60', 0, 1, 8, 'A',100, 1.01);</v>
      </c>
      <c r="I12" s="6" t="str">
        <f t="shared" ref="I12:I91" si="3">"{""age"":"""&amp;B12&amp;""", ""year"":"""&amp;C12&amp;""", ""couponrate"":"""&amp;D12&amp;""", ""benefittype"":"""&amp;E12&amp;""", ""benefitrate"":"""&amp;F12&amp;""", """&amp;G$11&amp;""":"""&amp;G12&amp;"""}"</f>
        <v>{"age":"0", "year":"1", "couponrate":"8", "benefittype":"A", "benefitrate":"100", "premiumrate":"1.01"}</v>
      </c>
      <c r="J12" s="6" t="str">
        <f t="shared" ref="J12:J91" si="4">IF(OR(I13="]", I12="[", I12="]"), "", ",")</f>
        <v>,</v>
      </c>
    </row>
    <row r="13" spans="1:10">
      <c r="A13" s="4" t="str">
        <f>'EN60'!A$3</f>
        <v>EN60</v>
      </c>
      <c r="B13" s="4">
        <f t="shared" ref="B13:B91" si="5">B12</f>
        <v>0</v>
      </c>
      <c r="C13" s="4">
        <f t="shared" ref="C13:C91" si="6">C12+1</f>
        <v>2</v>
      </c>
      <c r="D13" s="4">
        <f t="shared" si="0"/>
        <v>8</v>
      </c>
      <c r="E13" s="4" t="s">
        <v>27</v>
      </c>
      <c r="F13" s="4">
        <f t="shared" si="1"/>
        <v>200</v>
      </c>
      <c r="G13" s="5">
        <f t="shared" ref="G13:G91" si="7">G12</f>
        <v>1.01</v>
      </c>
      <c r="H13" s="6" t="str">
        <f t="shared" si="2"/>
        <v>INSERT INTO public.coupon (plancode, age, "year", couponrate, benefittype, benefitrate, premiumrate) VALUES('EN60', 0, 2, 8, 'A',200, 1.01);</v>
      </c>
      <c r="I13" s="6" t="str">
        <f t="shared" si="3"/>
        <v>{"age":"0", "year":"2", "couponrate":"8", "benefittype":"A", "benefitrate":"200", "premiumrate":"1.01"}</v>
      </c>
      <c r="J13" s="6" t="str">
        <f t="shared" si="4"/>
        <v>,</v>
      </c>
    </row>
    <row r="14" spans="1:10">
      <c r="A14" s="4" t="str">
        <f>'EN60'!A$3</f>
        <v>EN60</v>
      </c>
      <c r="B14" s="4">
        <f t="shared" si="5"/>
        <v>0</v>
      </c>
      <c r="C14" s="4">
        <f t="shared" si="6"/>
        <v>3</v>
      </c>
      <c r="D14" s="4">
        <f t="shared" si="0"/>
        <v>8</v>
      </c>
      <c r="E14" s="4" t="s">
        <v>27</v>
      </c>
      <c r="F14" s="4">
        <f t="shared" si="1"/>
        <v>300</v>
      </c>
      <c r="G14" s="5">
        <f t="shared" si="7"/>
        <v>1.01</v>
      </c>
      <c r="H14" s="6" t="str">
        <f t="shared" si="2"/>
        <v>INSERT INTO public.coupon (plancode, age, "year", couponrate, benefittype, benefitrate, premiumrate) VALUES('EN60', 0, 3, 8, 'A',300, 1.01);</v>
      </c>
      <c r="I14" s="6" t="str">
        <f t="shared" si="3"/>
        <v>{"age":"0", "year":"3", "couponrate":"8", "benefittype":"A", "benefitrate":"300", "premiumrate":"1.01"}</v>
      </c>
      <c r="J14" s="6" t="str">
        <f t="shared" si="4"/>
        <v>,</v>
      </c>
    </row>
    <row r="15" spans="1:10">
      <c r="A15" s="4" t="str">
        <f>'EN60'!A$3</f>
        <v>EN60</v>
      </c>
      <c r="B15" s="4">
        <f t="shared" si="5"/>
        <v>0</v>
      </c>
      <c r="C15" s="4">
        <f t="shared" si="6"/>
        <v>4</v>
      </c>
      <c r="D15" s="4">
        <f t="shared" si="0"/>
        <v>8</v>
      </c>
      <c r="E15" s="4" t="s">
        <v>27</v>
      </c>
      <c r="F15" s="4">
        <f t="shared" si="1"/>
        <v>400</v>
      </c>
      <c r="G15" s="5">
        <f t="shared" si="7"/>
        <v>1.01</v>
      </c>
      <c r="H15" s="6" t="str">
        <f t="shared" si="2"/>
        <v>INSERT INTO public.coupon (plancode, age, "year", couponrate, benefittype, benefitrate, premiumrate) VALUES('EN60', 0, 4, 8, 'A',400, 1.01);</v>
      </c>
      <c r="I15" s="6" t="str">
        <f t="shared" si="3"/>
        <v>{"age":"0", "year":"4", "couponrate":"8", "benefittype":"A", "benefitrate":"400", "premiumrate":"1.01"}</v>
      </c>
      <c r="J15" s="6" t="str">
        <f t="shared" si="4"/>
        <v>,</v>
      </c>
    </row>
    <row r="16" spans="1:10">
      <c r="A16" s="4" t="str">
        <f>'EN60'!A$3</f>
        <v>EN60</v>
      </c>
      <c r="B16" s="4">
        <f t="shared" si="5"/>
        <v>0</v>
      </c>
      <c r="C16" s="4">
        <f t="shared" si="6"/>
        <v>5</v>
      </c>
      <c r="D16" s="4">
        <f t="shared" si="0"/>
        <v>8</v>
      </c>
      <c r="E16" s="4" t="s">
        <v>27</v>
      </c>
      <c r="F16" s="4">
        <f t="shared" si="1"/>
        <v>500</v>
      </c>
      <c r="G16" s="5">
        <f t="shared" si="7"/>
        <v>1.01</v>
      </c>
      <c r="H16" s="6" t="str">
        <f t="shared" si="2"/>
        <v>INSERT INTO public.coupon (plancode, age, "year", couponrate, benefittype, benefitrate, premiumrate) VALUES('EN60', 0, 5, 8, 'A',500, 1.01);</v>
      </c>
      <c r="I16" s="6" t="str">
        <f t="shared" si="3"/>
        <v>{"age":"0", "year":"5", "couponrate":"8", "benefittype":"A", "benefitrate":"500", "premiumrate":"1.01"}</v>
      </c>
      <c r="J16" s="6" t="str">
        <f t="shared" si="4"/>
        <v>,</v>
      </c>
    </row>
    <row r="17" spans="1:10">
      <c r="A17" s="4" t="str">
        <f>'EN60'!A$3</f>
        <v>EN60</v>
      </c>
      <c r="B17" s="4">
        <f t="shared" si="5"/>
        <v>0</v>
      </c>
      <c r="C17" s="4">
        <f t="shared" si="6"/>
        <v>6</v>
      </c>
      <c r="D17" s="4">
        <f t="shared" si="0"/>
        <v>8</v>
      </c>
      <c r="E17" s="4" t="s">
        <v>27</v>
      </c>
      <c r="F17" s="4">
        <f t="shared" si="1"/>
        <v>600</v>
      </c>
      <c r="G17" s="5">
        <f t="shared" si="7"/>
        <v>1.01</v>
      </c>
      <c r="H17" s="6" t="str">
        <f t="shared" si="2"/>
        <v>INSERT INTO public.coupon (plancode, age, "year", couponrate, benefittype, benefitrate, premiumrate) VALUES('EN60', 0, 6, 8, 'A',600, 1.01);</v>
      </c>
      <c r="I17" s="6" t="str">
        <f t="shared" si="3"/>
        <v>{"age":"0", "year":"6", "couponrate":"8", "benefittype":"A", "benefitrate":"600", "premiumrate":"1.01"}</v>
      </c>
      <c r="J17" s="6" t="str">
        <f t="shared" si="4"/>
        <v>,</v>
      </c>
    </row>
    <row r="18" spans="1:10">
      <c r="A18" s="4" t="str">
        <f>'EN60'!A$3</f>
        <v>EN60</v>
      </c>
      <c r="B18" s="4">
        <f t="shared" si="5"/>
        <v>0</v>
      </c>
      <c r="C18" s="4">
        <f t="shared" si="6"/>
        <v>7</v>
      </c>
      <c r="D18" s="4">
        <f t="shared" si="0"/>
        <v>8</v>
      </c>
      <c r="E18" s="4" t="s">
        <v>27</v>
      </c>
      <c r="F18" s="4">
        <f t="shared" si="1"/>
        <v>700</v>
      </c>
      <c r="G18" s="5">
        <f t="shared" si="7"/>
        <v>1.01</v>
      </c>
      <c r="H18" s="6" t="str">
        <f t="shared" si="2"/>
        <v>INSERT INTO public.coupon (plancode, age, "year", couponrate, benefittype, benefitrate, premiumrate) VALUES('EN60', 0, 7, 8, 'A',700, 1.01);</v>
      </c>
      <c r="I18" s="6" t="str">
        <f t="shared" si="3"/>
        <v>{"age":"0", "year":"7", "couponrate":"8", "benefittype":"A", "benefitrate":"700", "premiumrate":"1.01"}</v>
      </c>
      <c r="J18" s="6" t="str">
        <f t="shared" si="4"/>
        <v>,</v>
      </c>
    </row>
    <row r="19" spans="1:10">
      <c r="A19" s="4" t="str">
        <f>'EN60'!A$3</f>
        <v>EN60</v>
      </c>
      <c r="B19" s="4">
        <f t="shared" si="5"/>
        <v>0</v>
      </c>
      <c r="C19" s="4">
        <f t="shared" si="6"/>
        <v>8</v>
      </c>
      <c r="D19" s="4">
        <f t="shared" si="0"/>
        <v>8</v>
      </c>
      <c r="E19" s="4" t="s">
        <v>27</v>
      </c>
      <c r="F19" s="4">
        <f t="shared" si="1"/>
        <v>800</v>
      </c>
      <c r="G19" s="5">
        <f t="shared" si="7"/>
        <v>1.01</v>
      </c>
      <c r="H19" s="6" t="str">
        <f t="shared" si="2"/>
        <v>INSERT INTO public.coupon (plancode, age, "year", couponrate, benefittype, benefitrate, premiumrate) VALUES('EN60', 0, 8, 8, 'A',800, 1.01);</v>
      </c>
      <c r="I19" s="6" t="str">
        <f t="shared" si="3"/>
        <v>{"age":"0", "year":"8", "couponrate":"8", "benefittype":"A", "benefitrate":"800", "premiumrate":"1.01"}</v>
      </c>
      <c r="J19" s="6" t="str">
        <f t="shared" si="4"/>
        <v>,</v>
      </c>
    </row>
    <row r="20" spans="1:10">
      <c r="A20" s="4" t="str">
        <f>'EN60'!A$3</f>
        <v>EN60</v>
      </c>
      <c r="B20" s="4">
        <f t="shared" si="5"/>
        <v>0</v>
      </c>
      <c r="C20" s="4">
        <f t="shared" si="6"/>
        <v>9</v>
      </c>
      <c r="D20" s="4">
        <f t="shared" si="0"/>
        <v>8</v>
      </c>
      <c r="E20" s="4" t="s">
        <v>27</v>
      </c>
      <c r="F20" s="4">
        <f t="shared" si="1"/>
        <v>800</v>
      </c>
      <c r="G20" s="5">
        <f t="shared" si="7"/>
        <v>1.01</v>
      </c>
      <c r="H20" s="6" t="str">
        <f t="shared" si="2"/>
        <v>INSERT INTO public.coupon (plancode, age, "year", couponrate, benefittype, benefitrate, premiumrate) VALUES('EN60', 0, 9, 8, 'A',800, 1.01);</v>
      </c>
      <c r="I20" s="6" t="str">
        <f t="shared" si="3"/>
        <v>{"age":"0", "year":"9", "couponrate":"8", "benefittype":"A", "benefitrate":"800", "premiumrate":"1.01"}</v>
      </c>
      <c r="J20" s="6" t="str">
        <f t="shared" si="4"/>
        <v>,</v>
      </c>
    </row>
    <row r="21" spans="1:10">
      <c r="A21" s="4" t="str">
        <f>'EN60'!A$3</f>
        <v>EN60</v>
      </c>
      <c r="B21" s="4">
        <f t="shared" si="5"/>
        <v>0</v>
      </c>
      <c r="C21" s="4">
        <f t="shared" si="6"/>
        <v>10</v>
      </c>
      <c r="D21" s="4">
        <f t="shared" si="0"/>
        <v>8</v>
      </c>
      <c r="E21" s="4" t="s">
        <v>27</v>
      </c>
      <c r="F21" s="4">
        <f t="shared" si="1"/>
        <v>800</v>
      </c>
      <c r="G21" s="5">
        <f t="shared" si="7"/>
        <v>1.01</v>
      </c>
      <c r="H21" s="6" t="str">
        <f t="shared" si="2"/>
        <v>INSERT INTO public.coupon (plancode, age, "year", couponrate, benefittype, benefitrate, premiumrate) VALUES('EN60', 0, 10, 8, 'A',800, 1.01);</v>
      </c>
      <c r="I21" s="6" t="str">
        <f t="shared" si="3"/>
        <v>{"age":"0", "year":"10", "couponrate":"8", "benefittype":"A", "benefitrate":"800", "premiumrate":"1.01"}</v>
      </c>
      <c r="J21" s="6" t="str">
        <f t="shared" si="4"/>
        <v>,</v>
      </c>
    </row>
    <row r="22" spans="1:10">
      <c r="A22" s="4" t="str">
        <f>'EN60'!A$3</f>
        <v>EN60</v>
      </c>
      <c r="B22" s="4">
        <f t="shared" si="5"/>
        <v>0</v>
      </c>
      <c r="C22" s="4">
        <f t="shared" si="6"/>
        <v>11</v>
      </c>
      <c r="D22" s="4">
        <f t="shared" si="0"/>
        <v>8</v>
      </c>
      <c r="E22" s="4" t="s">
        <v>27</v>
      </c>
      <c r="F22" s="4">
        <f t="shared" si="1"/>
        <v>800</v>
      </c>
      <c r="G22" s="5">
        <f t="shared" si="7"/>
        <v>1.01</v>
      </c>
      <c r="H22" s="6" t="str">
        <f t="shared" si="2"/>
        <v>INSERT INTO public.coupon (plancode, age, "year", couponrate, benefittype, benefitrate, premiumrate) VALUES('EN60', 0, 11, 8, 'A',800, 1.01);</v>
      </c>
      <c r="I22" s="6" t="str">
        <f t="shared" si="3"/>
        <v>{"age":"0", "year":"11", "couponrate":"8", "benefittype":"A", "benefitrate":"800", "premiumrate":"1.01"}</v>
      </c>
      <c r="J22" s="6" t="str">
        <f t="shared" si="4"/>
        <v>,</v>
      </c>
    </row>
    <row r="23" spans="1:10">
      <c r="A23" s="4" t="str">
        <f>'EN60'!A$3</f>
        <v>EN60</v>
      </c>
      <c r="B23" s="4">
        <f t="shared" si="5"/>
        <v>0</v>
      </c>
      <c r="C23" s="4">
        <f t="shared" si="6"/>
        <v>12</v>
      </c>
      <c r="D23" s="4">
        <f t="shared" si="0"/>
        <v>8</v>
      </c>
      <c r="E23" s="4" t="s">
        <v>27</v>
      </c>
      <c r="F23" s="4">
        <f t="shared" si="1"/>
        <v>800</v>
      </c>
      <c r="G23" s="5">
        <f t="shared" si="7"/>
        <v>1.01</v>
      </c>
      <c r="H23" s="6" t="str">
        <f t="shared" si="2"/>
        <v>INSERT INTO public.coupon (plancode, age, "year", couponrate, benefittype, benefitrate, premiumrate) VALUES('EN60', 0, 12, 8, 'A',800, 1.01);</v>
      </c>
      <c r="I23" s="6" t="str">
        <f t="shared" si="3"/>
        <v>{"age":"0", "year":"12", "couponrate":"8", "benefittype":"A", "benefitrate":"800", "premiumrate":"1.01"}</v>
      </c>
      <c r="J23" s="6" t="str">
        <f t="shared" si="4"/>
        <v>,</v>
      </c>
    </row>
    <row r="24" spans="1:10">
      <c r="A24" s="4" t="str">
        <f>'EN60'!A$3</f>
        <v>EN60</v>
      </c>
      <c r="B24" s="4">
        <f t="shared" si="5"/>
        <v>0</v>
      </c>
      <c r="C24" s="4">
        <f t="shared" si="6"/>
        <v>13</v>
      </c>
      <c r="D24" s="4">
        <f t="shared" si="0"/>
        <v>8</v>
      </c>
      <c r="E24" s="4" t="s">
        <v>27</v>
      </c>
      <c r="F24" s="4">
        <f t="shared" si="1"/>
        <v>800</v>
      </c>
      <c r="G24" s="5">
        <f t="shared" si="7"/>
        <v>1.01</v>
      </c>
      <c r="H24" s="6" t="str">
        <f t="shared" si="2"/>
        <v>INSERT INTO public.coupon (plancode, age, "year", couponrate, benefittype, benefitrate, premiumrate) VALUES('EN60', 0, 13, 8, 'A',800, 1.01);</v>
      </c>
      <c r="I24" s="6" t="str">
        <f t="shared" si="3"/>
        <v>{"age":"0", "year":"13", "couponrate":"8", "benefittype":"A", "benefitrate":"800", "premiumrate":"1.01"}</v>
      </c>
      <c r="J24" s="6" t="str">
        <f t="shared" si="4"/>
        <v>,</v>
      </c>
    </row>
    <row r="25" spans="1:10">
      <c r="A25" s="4" t="str">
        <f>'EN60'!A$3</f>
        <v>EN60</v>
      </c>
      <c r="B25" s="4">
        <f t="shared" si="5"/>
        <v>0</v>
      </c>
      <c r="C25" s="4">
        <f t="shared" si="6"/>
        <v>14</v>
      </c>
      <c r="D25" s="4">
        <f t="shared" si="0"/>
        <v>8</v>
      </c>
      <c r="E25" s="4" t="s">
        <v>27</v>
      </c>
      <c r="F25" s="4">
        <f t="shared" si="1"/>
        <v>800</v>
      </c>
      <c r="G25" s="5">
        <f t="shared" si="7"/>
        <v>1.01</v>
      </c>
      <c r="H25" s="6" t="str">
        <f t="shared" si="2"/>
        <v>INSERT INTO public.coupon (plancode, age, "year", couponrate, benefittype, benefitrate, premiumrate) VALUES('EN60', 0, 14, 8, 'A',800, 1.01);</v>
      </c>
      <c r="I25" s="6" t="str">
        <f t="shared" si="3"/>
        <v>{"age":"0", "year":"14", "couponrate":"8", "benefittype":"A", "benefitrate":"800", "premiumrate":"1.01"}</v>
      </c>
      <c r="J25" s="6" t="str">
        <f t="shared" si="4"/>
        <v>,</v>
      </c>
    </row>
    <row r="26" spans="1:10">
      <c r="A26" s="4" t="str">
        <f>'EN60'!A$3</f>
        <v>EN60</v>
      </c>
      <c r="B26" s="4">
        <f t="shared" si="5"/>
        <v>0</v>
      </c>
      <c r="C26" s="4">
        <f t="shared" si="6"/>
        <v>15</v>
      </c>
      <c r="D26" s="4">
        <f t="shared" si="0"/>
        <v>8</v>
      </c>
      <c r="E26" s="4" t="s">
        <v>27</v>
      </c>
      <c r="F26" s="4">
        <f t="shared" si="1"/>
        <v>800</v>
      </c>
      <c r="G26" s="5">
        <f t="shared" si="7"/>
        <v>1.01</v>
      </c>
      <c r="H26" s="6" t="str">
        <f t="shared" si="2"/>
        <v>INSERT INTO public.coupon (plancode, age, "year", couponrate, benefittype, benefitrate, premiumrate) VALUES('EN60', 0, 15, 8, 'A',800, 1.01);</v>
      </c>
      <c r="I26" s="6" t="str">
        <f t="shared" si="3"/>
        <v>{"age":"0", "year":"15", "couponrate":"8", "benefittype":"A", "benefitrate":"800", "premiumrate":"1.01"}</v>
      </c>
      <c r="J26" s="6" t="str">
        <f t="shared" si="4"/>
        <v>,</v>
      </c>
    </row>
    <row r="27" spans="1:10">
      <c r="A27" s="4" t="str">
        <f>'EN60'!A$3</f>
        <v>EN60</v>
      </c>
      <c r="B27" s="4">
        <f t="shared" si="5"/>
        <v>0</v>
      </c>
      <c r="C27" s="4">
        <f t="shared" si="6"/>
        <v>16</v>
      </c>
      <c r="D27" s="4">
        <f t="shared" si="0"/>
        <v>8</v>
      </c>
      <c r="E27" s="4" t="s">
        <v>27</v>
      </c>
      <c r="F27" s="4">
        <f t="shared" si="1"/>
        <v>800</v>
      </c>
      <c r="G27" s="5">
        <f t="shared" si="7"/>
        <v>1.01</v>
      </c>
      <c r="H27" s="6" t="str">
        <f t="shared" si="2"/>
        <v>INSERT INTO public.coupon (plancode, age, "year", couponrate, benefittype, benefitrate, premiumrate) VALUES('EN60', 0, 16, 8, 'A',800, 1.01);</v>
      </c>
      <c r="I27" s="6" t="str">
        <f t="shared" si="3"/>
        <v>{"age":"0", "year":"16", "couponrate":"8", "benefittype":"A", "benefitrate":"800", "premiumrate":"1.01"}</v>
      </c>
      <c r="J27" s="6" t="str">
        <f t="shared" si="4"/>
        <v>,</v>
      </c>
    </row>
    <row r="28" spans="1:10">
      <c r="A28" s="4" t="str">
        <f>'EN60'!A$3</f>
        <v>EN60</v>
      </c>
      <c r="B28" s="4">
        <f t="shared" si="5"/>
        <v>0</v>
      </c>
      <c r="C28" s="4">
        <f t="shared" si="6"/>
        <v>17</v>
      </c>
      <c r="D28" s="4">
        <f t="shared" si="0"/>
        <v>8</v>
      </c>
      <c r="E28" s="4" t="s">
        <v>27</v>
      </c>
      <c r="F28" s="4">
        <f t="shared" si="1"/>
        <v>800</v>
      </c>
      <c r="G28" s="5">
        <f t="shared" si="7"/>
        <v>1.01</v>
      </c>
      <c r="H28" s="6" t="str">
        <f t="shared" si="2"/>
        <v>INSERT INTO public.coupon (plancode, age, "year", couponrate, benefittype, benefitrate, premiumrate) VALUES('EN60', 0, 17, 8, 'A',800, 1.01);</v>
      </c>
      <c r="I28" s="6" t="str">
        <f t="shared" si="3"/>
        <v>{"age":"0", "year":"17", "couponrate":"8", "benefittype":"A", "benefitrate":"800", "premiumrate":"1.01"}</v>
      </c>
      <c r="J28" s="6" t="str">
        <f t="shared" si="4"/>
        <v>,</v>
      </c>
    </row>
    <row r="29" spans="1:10">
      <c r="A29" s="4" t="str">
        <f>'EN60'!A$3</f>
        <v>EN60</v>
      </c>
      <c r="B29" s="4">
        <f t="shared" si="5"/>
        <v>0</v>
      </c>
      <c r="C29" s="4">
        <f t="shared" si="6"/>
        <v>18</v>
      </c>
      <c r="D29" s="4">
        <f t="shared" si="0"/>
        <v>8</v>
      </c>
      <c r="E29" s="4" t="s">
        <v>27</v>
      </c>
      <c r="F29" s="4">
        <f t="shared" si="1"/>
        <v>800</v>
      </c>
      <c r="G29" s="5">
        <f t="shared" si="7"/>
        <v>1.01</v>
      </c>
      <c r="H29" s="6" t="str">
        <f t="shared" si="2"/>
        <v>INSERT INTO public.coupon (plancode, age, "year", couponrate, benefittype, benefitrate, premiumrate) VALUES('EN60', 0, 18, 8, 'A',800, 1.01);</v>
      </c>
      <c r="I29" s="6" t="str">
        <f t="shared" si="3"/>
        <v>{"age":"0", "year":"18", "couponrate":"8", "benefittype":"A", "benefitrate":"800", "premiumrate":"1.01"}</v>
      </c>
      <c r="J29" s="6" t="str">
        <f t="shared" si="4"/>
        <v>,</v>
      </c>
    </row>
    <row r="30" spans="1:10">
      <c r="A30" s="4" t="str">
        <f>'EN60'!A$3</f>
        <v>EN60</v>
      </c>
      <c r="B30" s="4">
        <f t="shared" si="5"/>
        <v>0</v>
      </c>
      <c r="C30" s="4">
        <f t="shared" si="6"/>
        <v>19</v>
      </c>
      <c r="D30" s="4">
        <f t="shared" si="0"/>
        <v>8</v>
      </c>
      <c r="E30" s="4" t="s">
        <v>27</v>
      </c>
      <c r="F30" s="4">
        <f t="shared" si="1"/>
        <v>800</v>
      </c>
      <c r="G30" s="5">
        <f t="shared" si="7"/>
        <v>1.01</v>
      </c>
      <c r="H30" s="6" t="str">
        <f t="shared" si="2"/>
        <v>INSERT INTO public.coupon (plancode, age, "year", couponrate, benefittype, benefitrate, premiumrate) VALUES('EN60', 0, 19, 8, 'A',800, 1.01);</v>
      </c>
      <c r="I30" s="6" t="str">
        <f t="shared" si="3"/>
        <v>{"age":"0", "year":"19", "couponrate":"8", "benefittype":"A", "benefitrate":"800", "premiumrate":"1.01"}</v>
      </c>
      <c r="J30" s="6" t="str">
        <f t="shared" si="4"/>
        <v>,</v>
      </c>
    </row>
    <row r="31" spans="1:10">
      <c r="A31" s="4" t="str">
        <f>'EN60'!A$3</f>
        <v>EN60</v>
      </c>
      <c r="B31" s="4">
        <f t="shared" si="5"/>
        <v>0</v>
      </c>
      <c r="C31" s="4">
        <f t="shared" si="6"/>
        <v>20</v>
      </c>
      <c r="D31" s="4">
        <f t="shared" si="0"/>
        <v>8</v>
      </c>
      <c r="E31" s="4" t="s">
        <v>27</v>
      </c>
      <c r="F31" s="4">
        <f t="shared" si="1"/>
        <v>800</v>
      </c>
      <c r="G31" s="5">
        <f t="shared" si="7"/>
        <v>1.01</v>
      </c>
      <c r="H31" s="6" t="str">
        <f t="shared" si="2"/>
        <v>INSERT INTO public.coupon (plancode, age, "year", couponrate, benefittype, benefitrate, premiumrate) VALUES('EN60', 0, 20, 8, 'A',800, 1.01);</v>
      </c>
      <c r="I31" s="6" t="str">
        <f t="shared" si="3"/>
        <v>{"age":"0", "year":"20", "couponrate":"8", "benefittype":"A", "benefitrate":"800", "premiumrate":"1.01"}</v>
      </c>
      <c r="J31" s="6" t="str">
        <f t="shared" si="4"/>
        <v>,</v>
      </c>
    </row>
    <row r="32" spans="1:10">
      <c r="A32" s="4" t="str">
        <f>'EN60'!A$3</f>
        <v>EN60</v>
      </c>
      <c r="B32" s="4">
        <f t="shared" si="5"/>
        <v>0</v>
      </c>
      <c r="C32" s="4">
        <f t="shared" si="6"/>
        <v>21</v>
      </c>
      <c r="D32" s="4">
        <f t="shared" si="0"/>
        <v>8</v>
      </c>
      <c r="E32" s="4" t="s">
        <v>27</v>
      </c>
      <c r="F32" s="4">
        <f t="shared" si="1"/>
        <v>800</v>
      </c>
      <c r="G32" s="5">
        <f t="shared" si="7"/>
        <v>1.01</v>
      </c>
      <c r="H32" s="6" t="str">
        <f t="shared" si="2"/>
        <v>INSERT INTO public.coupon (plancode, age, "year", couponrate, benefittype, benefitrate, premiumrate) VALUES('EN60', 0, 21, 8, 'A',800, 1.01);</v>
      </c>
      <c r="I32" s="6" t="str">
        <f t="shared" si="3"/>
        <v>{"age":"0", "year":"21", "couponrate":"8", "benefittype":"A", "benefitrate":"800", "premiumrate":"1.01"}</v>
      </c>
      <c r="J32" s="6" t="str">
        <f t="shared" si="4"/>
        <v>,</v>
      </c>
    </row>
    <row r="33" spans="1:10">
      <c r="A33" s="4" t="str">
        <f>'EN60'!A$3</f>
        <v>EN60</v>
      </c>
      <c r="B33" s="4">
        <f t="shared" si="5"/>
        <v>0</v>
      </c>
      <c r="C33" s="4">
        <f t="shared" si="6"/>
        <v>22</v>
      </c>
      <c r="D33" s="4">
        <f t="shared" si="0"/>
        <v>8</v>
      </c>
      <c r="E33" s="4" t="s">
        <v>27</v>
      </c>
      <c r="F33" s="4">
        <f t="shared" si="1"/>
        <v>800</v>
      </c>
      <c r="G33" s="5">
        <f t="shared" si="7"/>
        <v>1.01</v>
      </c>
      <c r="H33" s="6" t="str">
        <f t="shared" si="2"/>
        <v>INSERT INTO public.coupon (plancode, age, "year", couponrate, benefittype, benefitrate, premiumrate) VALUES('EN60', 0, 22, 8, 'A',800, 1.01);</v>
      </c>
      <c r="I33" s="6" t="str">
        <f t="shared" si="3"/>
        <v>{"age":"0", "year":"22", "couponrate":"8", "benefittype":"A", "benefitrate":"800", "premiumrate":"1.01"}</v>
      </c>
      <c r="J33" s="6" t="str">
        <f t="shared" si="4"/>
        <v>,</v>
      </c>
    </row>
    <row r="34" spans="1:10">
      <c r="A34" s="4" t="str">
        <f>'EN60'!A$3</f>
        <v>EN60</v>
      </c>
      <c r="B34" s="4">
        <f t="shared" si="5"/>
        <v>0</v>
      </c>
      <c r="C34" s="4">
        <f t="shared" si="6"/>
        <v>23</v>
      </c>
      <c r="D34" s="4">
        <f t="shared" si="0"/>
        <v>8</v>
      </c>
      <c r="E34" s="4" t="s">
        <v>27</v>
      </c>
      <c r="F34" s="4">
        <f t="shared" si="1"/>
        <v>800</v>
      </c>
      <c r="G34" s="5">
        <f t="shared" si="7"/>
        <v>1.01</v>
      </c>
      <c r="H34" s="6" t="str">
        <f t="shared" si="2"/>
        <v>INSERT INTO public.coupon (plancode, age, "year", couponrate, benefittype, benefitrate, premiumrate) VALUES('EN60', 0, 23, 8, 'A',800, 1.01);</v>
      </c>
      <c r="I34" s="6" t="str">
        <f t="shared" si="3"/>
        <v>{"age":"0", "year":"23", "couponrate":"8", "benefittype":"A", "benefitrate":"800", "premiumrate":"1.01"}</v>
      </c>
      <c r="J34" s="6" t="str">
        <f t="shared" si="4"/>
        <v>,</v>
      </c>
    </row>
    <row r="35" spans="1:10">
      <c r="A35" s="4" t="str">
        <f>'EN60'!A$3</f>
        <v>EN60</v>
      </c>
      <c r="B35" s="4">
        <f t="shared" si="5"/>
        <v>0</v>
      </c>
      <c r="C35" s="4">
        <f t="shared" si="6"/>
        <v>24</v>
      </c>
      <c r="D35" s="4">
        <f t="shared" si="0"/>
        <v>8</v>
      </c>
      <c r="E35" s="4" t="s">
        <v>27</v>
      </c>
      <c r="F35" s="4">
        <f t="shared" si="1"/>
        <v>800</v>
      </c>
      <c r="G35" s="5">
        <f t="shared" si="7"/>
        <v>1.01</v>
      </c>
      <c r="H35" s="6" t="str">
        <f t="shared" si="2"/>
        <v>INSERT INTO public.coupon (plancode, age, "year", couponrate, benefittype, benefitrate, premiumrate) VALUES('EN60', 0, 24, 8, 'A',800, 1.01);</v>
      </c>
      <c r="I35" s="6" t="str">
        <f t="shared" si="3"/>
        <v>{"age":"0", "year":"24", "couponrate":"8", "benefittype":"A", "benefitrate":"800", "premiumrate":"1.01"}</v>
      </c>
      <c r="J35" s="6" t="str">
        <f t="shared" si="4"/>
        <v>,</v>
      </c>
    </row>
    <row r="36" spans="1:10">
      <c r="A36" s="4" t="str">
        <f>'EN60'!A$3</f>
        <v>EN60</v>
      </c>
      <c r="B36" s="4">
        <f t="shared" si="5"/>
        <v>0</v>
      </c>
      <c r="C36" s="4">
        <f t="shared" si="6"/>
        <v>25</v>
      </c>
      <c r="D36" s="4">
        <f t="shared" si="0"/>
        <v>8</v>
      </c>
      <c r="E36" s="4" t="s">
        <v>27</v>
      </c>
      <c r="F36" s="4">
        <f t="shared" si="1"/>
        <v>800</v>
      </c>
      <c r="G36" s="5">
        <f t="shared" si="7"/>
        <v>1.01</v>
      </c>
      <c r="H36" s="6" t="str">
        <f t="shared" si="2"/>
        <v>INSERT INTO public.coupon (plancode, age, "year", couponrate, benefittype, benefitrate, premiumrate) VALUES('EN60', 0, 25, 8, 'A',800, 1.01);</v>
      </c>
      <c r="I36" s="6" t="str">
        <f t="shared" si="3"/>
        <v>{"age":"0", "year":"25", "couponrate":"8", "benefittype":"A", "benefitrate":"800", "premiumrate":"1.01"}</v>
      </c>
      <c r="J36" s="6" t="str">
        <f t="shared" si="4"/>
        <v>,</v>
      </c>
    </row>
    <row r="37" spans="1:10">
      <c r="A37" s="4" t="str">
        <f>'EN60'!A$3</f>
        <v>EN60</v>
      </c>
      <c r="B37" s="4">
        <f t="shared" si="5"/>
        <v>0</v>
      </c>
      <c r="C37" s="4">
        <f t="shared" si="6"/>
        <v>26</v>
      </c>
      <c r="D37" s="4">
        <f t="shared" si="0"/>
        <v>8</v>
      </c>
      <c r="E37" s="4" t="s">
        <v>27</v>
      </c>
      <c r="F37" s="4">
        <f t="shared" si="1"/>
        <v>800</v>
      </c>
      <c r="G37" s="5">
        <f t="shared" si="7"/>
        <v>1.01</v>
      </c>
      <c r="H37" s="6" t="str">
        <f t="shared" si="2"/>
        <v>INSERT INTO public.coupon (plancode, age, "year", couponrate, benefittype, benefitrate, premiumrate) VALUES('EN60', 0, 26, 8, 'A',800, 1.01);</v>
      </c>
      <c r="I37" s="6" t="str">
        <f t="shared" si="3"/>
        <v>{"age":"0", "year":"26", "couponrate":"8", "benefittype":"A", "benefitrate":"800", "premiumrate":"1.01"}</v>
      </c>
      <c r="J37" s="6" t="str">
        <f t="shared" si="4"/>
        <v>,</v>
      </c>
    </row>
    <row r="38" spans="1:10">
      <c r="A38" s="4" t="str">
        <f>'EN60'!A$3</f>
        <v>EN60</v>
      </c>
      <c r="B38" s="4">
        <f t="shared" si="5"/>
        <v>0</v>
      </c>
      <c r="C38" s="4">
        <f t="shared" si="6"/>
        <v>27</v>
      </c>
      <c r="D38" s="4">
        <f t="shared" si="0"/>
        <v>8</v>
      </c>
      <c r="E38" s="4" t="s">
        <v>27</v>
      </c>
      <c r="F38" s="4">
        <f t="shared" si="1"/>
        <v>800</v>
      </c>
      <c r="G38" s="5">
        <f t="shared" si="7"/>
        <v>1.01</v>
      </c>
      <c r="H38" s="6" t="str">
        <f t="shared" si="2"/>
        <v>INSERT INTO public.coupon (plancode, age, "year", couponrate, benefittype, benefitrate, premiumrate) VALUES('EN60', 0, 27, 8, 'A',800, 1.01);</v>
      </c>
      <c r="I38" s="6" t="str">
        <f t="shared" si="3"/>
        <v>{"age":"0", "year":"27", "couponrate":"8", "benefittype":"A", "benefitrate":"800", "premiumrate":"1.01"}</v>
      </c>
      <c r="J38" s="6" t="str">
        <f t="shared" si="4"/>
        <v>,</v>
      </c>
    </row>
    <row r="39" spans="1:10">
      <c r="A39" s="4" t="str">
        <f>'EN60'!A$3</f>
        <v>EN60</v>
      </c>
      <c r="B39" s="4">
        <f t="shared" si="5"/>
        <v>0</v>
      </c>
      <c r="C39" s="4">
        <f t="shared" si="6"/>
        <v>28</v>
      </c>
      <c r="D39" s="4">
        <f t="shared" si="0"/>
        <v>8</v>
      </c>
      <c r="E39" s="4" t="s">
        <v>27</v>
      </c>
      <c r="F39" s="4">
        <f t="shared" si="1"/>
        <v>800</v>
      </c>
      <c r="G39" s="5">
        <f t="shared" si="7"/>
        <v>1.01</v>
      </c>
      <c r="H39" s="6" t="str">
        <f t="shared" si="2"/>
        <v>INSERT INTO public.coupon (plancode, age, "year", couponrate, benefittype, benefitrate, premiumrate) VALUES('EN60', 0, 28, 8, 'A',800, 1.01);</v>
      </c>
      <c r="I39" s="6" t="str">
        <f t="shared" si="3"/>
        <v>{"age":"0", "year":"28", "couponrate":"8", "benefittype":"A", "benefitrate":"800", "premiumrate":"1.01"}</v>
      </c>
      <c r="J39" s="6" t="str">
        <f t="shared" si="4"/>
        <v>,</v>
      </c>
    </row>
    <row r="40" spans="1:10">
      <c r="A40" s="4" t="str">
        <f>'EN60'!A$3</f>
        <v>EN60</v>
      </c>
      <c r="B40" s="4">
        <f t="shared" si="5"/>
        <v>0</v>
      </c>
      <c r="C40" s="4">
        <f t="shared" si="6"/>
        <v>29</v>
      </c>
      <c r="D40" s="4">
        <f t="shared" si="0"/>
        <v>8</v>
      </c>
      <c r="E40" s="4" t="s">
        <v>27</v>
      </c>
      <c r="F40" s="4">
        <f t="shared" si="1"/>
        <v>800</v>
      </c>
      <c r="G40" s="5">
        <f t="shared" si="7"/>
        <v>1.01</v>
      </c>
      <c r="H40" s="6" t="str">
        <f t="shared" si="2"/>
        <v>INSERT INTO public.coupon (plancode, age, "year", couponrate, benefittype, benefitrate, premiumrate) VALUES('EN60', 0, 29, 8, 'A',800, 1.01);</v>
      </c>
      <c r="I40" s="6" t="str">
        <f t="shared" si="3"/>
        <v>{"age":"0", "year":"29", "couponrate":"8", "benefittype":"A", "benefitrate":"800", "premiumrate":"1.01"}</v>
      </c>
      <c r="J40" s="6" t="str">
        <f t="shared" si="4"/>
        <v>,</v>
      </c>
    </row>
    <row r="41" spans="1:10">
      <c r="A41" s="4" t="str">
        <f>'EN60'!A$3</f>
        <v>EN60</v>
      </c>
      <c r="B41" s="4">
        <f t="shared" si="5"/>
        <v>0</v>
      </c>
      <c r="C41" s="4">
        <f t="shared" si="6"/>
        <v>30</v>
      </c>
      <c r="D41" s="4">
        <f t="shared" si="0"/>
        <v>8</v>
      </c>
      <c r="E41" s="4" t="s">
        <v>27</v>
      </c>
      <c r="F41" s="4">
        <f t="shared" si="1"/>
        <v>800</v>
      </c>
      <c r="G41" s="5">
        <f t="shared" si="7"/>
        <v>1.01</v>
      </c>
      <c r="H41" s="6" t="str">
        <f t="shared" si="2"/>
        <v>INSERT INTO public.coupon (plancode, age, "year", couponrate, benefittype, benefitrate, premiumrate) VALUES('EN60', 0, 30, 8, 'A',800, 1.01);</v>
      </c>
      <c r="I41" s="6" t="str">
        <f t="shared" si="3"/>
        <v>{"age":"0", "year":"30", "couponrate":"8", "benefittype":"A", "benefitrate":"800", "premiumrate":"1.01"}</v>
      </c>
      <c r="J41" s="6" t="str">
        <f t="shared" si="4"/>
        <v>,</v>
      </c>
    </row>
    <row r="42" spans="1:10">
      <c r="A42" s="4" t="str">
        <f>'EN60'!A$3</f>
        <v>EN60</v>
      </c>
      <c r="B42" s="4">
        <f t="shared" si="5"/>
        <v>0</v>
      </c>
      <c r="C42" s="4">
        <f t="shared" si="6"/>
        <v>31</v>
      </c>
      <c r="D42" s="4">
        <f t="shared" si="0"/>
        <v>8</v>
      </c>
      <c r="E42" s="4" t="s">
        <v>27</v>
      </c>
      <c r="F42" s="4">
        <f t="shared" si="1"/>
        <v>800</v>
      </c>
      <c r="G42" s="5">
        <f t="shared" si="7"/>
        <v>1.01</v>
      </c>
      <c r="H42" s="6" t="str">
        <f t="shared" si="2"/>
        <v>INSERT INTO public.coupon (plancode, age, "year", couponrate, benefittype, benefitrate, premiumrate) VALUES('EN60', 0, 31, 8, 'A',800, 1.01);</v>
      </c>
      <c r="I42" s="6" t="str">
        <f t="shared" si="3"/>
        <v>{"age":"0", "year":"31", "couponrate":"8", "benefittype":"A", "benefitrate":"800", "premiumrate":"1.01"}</v>
      </c>
      <c r="J42" s="6" t="str">
        <f t="shared" si="4"/>
        <v>,</v>
      </c>
    </row>
    <row r="43" spans="1:10">
      <c r="A43" s="4" t="str">
        <f>'EN60'!A$3</f>
        <v>EN60</v>
      </c>
      <c r="B43" s="4">
        <f t="shared" si="5"/>
        <v>0</v>
      </c>
      <c r="C43" s="4">
        <f t="shared" si="6"/>
        <v>32</v>
      </c>
      <c r="D43" s="4">
        <f t="shared" si="0"/>
        <v>8</v>
      </c>
      <c r="E43" s="4" t="s">
        <v>27</v>
      </c>
      <c r="F43" s="4">
        <f t="shared" si="1"/>
        <v>800</v>
      </c>
      <c r="G43" s="5">
        <f t="shared" si="7"/>
        <v>1.01</v>
      </c>
      <c r="H43" s="6" t="str">
        <f t="shared" si="2"/>
        <v>INSERT INTO public.coupon (plancode, age, "year", couponrate, benefittype, benefitrate, premiumrate) VALUES('EN60', 0, 32, 8, 'A',800, 1.01);</v>
      </c>
      <c r="I43" s="6" t="str">
        <f t="shared" si="3"/>
        <v>{"age":"0", "year":"32", "couponrate":"8", "benefittype":"A", "benefitrate":"800", "premiumrate":"1.01"}</v>
      </c>
      <c r="J43" s="6" t="str">
        <f t="shared" si="4"/>
        <v>,</v>
      </c>
    </row>
    <row r="44" spans="1:10">
      <c r="A44" s="4" t="str">
        <f>'EN60'!A$3</f>
        <v>EN60</v>
      </c>
      <c r="B44" s="4">
        <f t="shared" si="5"/>
        <v>0</v>
      </c>
      <c r="C44" s="4">
        <f t="shared" si="6"/>
        <v>33</v>
      </c>
      <c r="D44" s="4">
        <f t="shared" si="0"/>
        <v>8</v>
      </c>
      <c r="E44" s="4" t="s">
        <v>27</v>
      </c>
      <c r="F44" s="4">
        <f t="shared" si="1"/>
        <v>800</v>
      </c>
      <c r="G44" s="5">
        <f t="shared" si="7"/>
        <v>1.01</v>
      </c>
      <c r="H44" s="6" t="str">
        <f t="shared" si="2"/>
        <v>INSERT INTO public.coupon (plancode, age, "year", couponrate, benefittype, benefitrate, premiumrate) VALUES('EN60', 0, 33, 8, 'A',800, 1.01);</v>
      </c>
      <c r="I44" s="6" t="str">
        <f t="shared" si="3"/>
        <v>{"age":"0", "year":"33", "couponrate":"8", "benefittype":"A", "benefitrate":"800", "premiumrate":"1.01"}</v>
      </c>
      <c r="J44" s="6" t="str">
        <f t="shared" si="4"/>
        <v>,</v>
      </c>
    </row>
    <row r="45" spans="1:10">
      <c r="A45" s="4" t="str">
        <f>'EN60'!A$3</f>
        <v>EN60</v>
      </c>
      <c r="B45" s="4">
        <f t="shared" si="5"/>
        <v>0</v>
      </c>
      <c r="C45" s="4">
        <f t="shared" si="6"/>
        <v>34</v>
      </c>
      <c r="D45" s="4">
        <f t="shared" si="0"/>
        <v>8</v>
      </c>
      <c r="E45" s="4" t="s">
        <v>27</v>
      </c>
      <c r="F45" s="4">
        <f t="shared" si="1"/>
        <v>800</v>
      </c>
      <c r="G45" s="5">
        <f t="shared" si="7"/>
        <v>1.01</v>
      </c>
      <c r="H45" s="6" t="str">
        <f t="shared" si="2"/>
        <v>INSERT INTO public.coupon (plancode, age, "year", couponrate, benefittype, benefitrate, premiumrate) VALUES('EN60', 0, 34, 8, 'A',800, 1.01);</v>
      </c>
      <c r="I45" s="6" t="str">
        <f t="shared" si="3"/>
        <v>{"age":"0", "year":"34", "couponrate":"8", "benefittype":"A", "benefitrate":"800", "premiumrate":"1.01"}</v>
      </c>
      <c r="J45" s="6" t="str">
        <f t="shared" si="4"/>
        <v>,</v>
      </c>
    </row>
    <row r="46" spans="1:10">
      <c r="A46" s="4" t="str">
        <f>'EN60'!A$3</f>
        <v>EN60</v>
      </c>
      <c r="B46" s="4">
        <f t="shared" si="5"/>
        <v>0</v>
      </c>
      <c r="C46" s="4">
        <f t="shared" si="6"/>
        <v>35</v>
      </c>
      <c r="D46" s="4">
        <f t="shared" si="0"/>
        <v>8</v>
      </c>
      <c r="E46" s="4" t="s">
        <v>27</v>
      </c>
      <c r="F46" s="4">
        <f t="shared" si="1"/>
        <v>800</v>
      </c>
      <c r="G46" s="5">
        <f t="shared" si="7"/>
        <v>1.01</v>
      </c>
      <c r="H46" s="6" t="str">
        <f t="shared" si="2"/>
        <v>INSERT INTO public.coupon (plancode, age, "year", couponrate, benefittype, benefitrate, premiumrate) VALUES('EN60', 0, 35, 8, 'A',800, 1.01);</v>
      </c>
      <c r="I46" s="6" t="str">
        <f t="shared" si="3"/>
        <v>{"age":"0", "year":"35", "couponrate":"8", "benefittype":"A", "benefitrate":"800", "premiumrate":"1.01"}</v>
      </c>
      <c r="J46" s="6" t="str">
        <f t="shared" si="4"/>
        <v>,</v>
      </c>
    </row>
    <row r="47" spans="1:10">
      <c r="A47" s="4" t="str">
        <f>'EN60'!A$3</f>
        <v>EN60</v>
      </c>
      <c r="B47" s="4">
        <f t="shared" si="5"/>
        <v>0</v>
      </c>
      <c r="C47" s="4">
        <f t="shared" si="6"/>
        <v>36</v>
      </c>
      <c r="D47" s="4">
        <f t="shared" si="0"/>
        <v>8</v>
      </c>
      <c r="E47" s="4" t="s">
        <v>27</v>
      </c>
      <c r="F47" s="4">
        <f t="shared" si="1"/>
        <v>800</v>
      </c>
      <c r="G47" s="5">
        <f t="shared" si="7"/>
        <v>1.01</v>
      </c>
      <c r="H47" s="6" t="str">
        <f t="shared" si="2"/>
        <v>INSERT INTO public.coupon (plancode, age, "year", couponrate, benefittype, benefitrate, premiumrate) VALUES('EN60', 0, 36, 8, 'A',800, 1.01);</v>
      </c>
      <c r="I47" s="6" t="str">
        <f t="shared" si="3"/>
        <v>{"age":"0", "year":"36", "couponrate":"8", "benefittype":"A", "benefitrate":"800", "premiumrate":"1.01"}</v>
      </c>
      <c r="J47" s="6" t="str">
        <f t="shared" si="4"/>
        <v>,</v>
      </c>
    </row>
    <row r="48" spans="1:10">
      <c r="A48" s="4" t="str">
        <f>'EN60'!A$3</f>
        <v>EN60</v>
      </c>
      <c r="B48" s="4">
        <f t="shared" si="5"/>
        <v>0</v>
      </c>
      <c r="C48" s="4">
        <f t="shared" si="6"/>
        <v>37</v>
      </c>
      <c r="D48" s="4">
        <f t="shared" si="0"/>
        <v>8</v>
      </c>
      <c r="E48" s="4" t="s">
        <v>27</v>
      </c>
      <c r="F48" s="4">
        <f t="shared" si="1"/>
        <v>800</v>
      </c>
      <c r="G48" s="5">
        <f t="shared" si="7"/>
        <v>1.01</v>
      </c>
      <c r="H48" s="6" t="str">
        <f t="shared" si="2"/>
        <v>INSERT INTO public.coupon (plancode, age, "year", couponrate, benefittype, benefitrate, premiumrate) VALUES('EN60', 0, 37, 8, 'A',800, 1.01);</v>
      </c>
      <c r="I48" s="6" t="str">
        <f t="shared" si="3"/>
        <v>{"age":"0", "year":"37", "couponrate":"8", "benefittype":"A", "benefitrate":"800", "premiumrate":"1.01"}</v>
      </c>
      <c r="J48" s="6" t="str">
        <f t="shared" si="4"/>
        <v>,</v>
      </c>
    </row>
    <row r="49" spans="1:10">
      <c r="A49" s="4" t="str">
        <f>'EN60'!A$3</f>
        <v>EN60</v>
      </c>
      <c r="B49" s="4">
        <f t="shared" si="5"/>
        <v>0</v>
      </c>
      <c r="C49" s="4">
        <f t="shared" si="6"/>
        <v>38</v>
      </c>
      <c r="D49" s="4">
        <f t="shared" si="0"/>
        <v>8</v>
      </c>
      <c r="E49" s="4" t="s">
        <v>27</v>
      </c>
      <c r="F49" s="4">
        <f t="shared" si="1"/>
        <v>800</v>
      </c>
      <c r="G49" s="5">
        <f t="shared" si="7"/>
        <v>1.01</v>
      </c>
      <c r="H49" s="6" t="str">
        <f t="shared" si="2"/>
        <v>INSERT INTO public.coupon (plancode, age, "year", couponrate, benefittype, benefitrate, premiumrate) VALUES('EN60', 0, 38, 8, 'A',800, 1.01);</v>
      </c>
      <c r="I49" s="6" t="str">
        <f t="shared" si="3"/>
        <v>{"age":"0", "year":"38", "couponrate":"8", "benefittype":"A", "benefitrate":"800", "premiumrate":"1.01"}</v>
      </c>
      <c r="J49" s="6" t="str">
        <f t="shared" si="4"/>
        <v>,</v>
      </c>
    </row>
    <row r="50" spans="1:10">
      <c r="A50" s="4" t="str">
        <f>'EN60'!A$3</f>
        <v>EN60</v>
      </c>
      <c r="B50" s="4">
        <f t="shared" si="5"/>
        <v>0</v>
      </c>
      <c r="C50" s="4">
        <f t="shared" si="6"/>
        <v>39</v>
      </c>
      <c r="D50" s="4">
        <f t="shared" si="0"/>
        <v>8</v>
      </c>
      <c r="E50" s="4" t="s">
        <v>27</v>
      </c>
      <c r="F50" s="4">
        <f t="shared" si="1"/>
        <v>800</v>
      </c>
      <c r="G50" s="5">
        <f t="shared" si="7"/>
        <v>1.01</v>
      </c>
      <c r="H50" s="6" t="str">
        <f t="shared" si="2"/>
        <v>INSERT INTO public.coupon (plancode, age, "year", couponrate, benefittype, benefitrate, premiumrate) VALUES('EN60', 0, 39, 8, 'A',800, 1.01);</v>
      </c>
      <c r="I50" s="6" t="str">
        <f t="shared" si="3"/>
        <v>{"age":"0", "year":"39", "couponrate":"8", "benefittype":"A", "benefitrate":"800", "premiumrate":"1.01"}</v>
      </c>
      <c r="J50" s="6" t="str">
        <f t="shared" si="4"/>
        <v>,</v>
      </c>
    </row>
    <row r="51" spans="1:10">
      <c r="A51" s="4" t="str">
        <f>'EN60'!A$3</f>
        <v>EN60</v>
      </c>
      <c r="B51" s="4">
        <f t="shared" si="5"/>
        <v>0</v>
      </c>
      <c r="C51" s="4">
        <f t="shared" si="6"/>
        <v>40</v>
      </c>
      <c r="D51" s="4">
        <f t="shared" si="0"/>
        <v>8</v>
      </c>
      <c r="E51" s="4" t="s">
        <v>27</v>
      </c>
      <c r="F51" s="4">
        <f t="shared" si="1"/>
        <v>800</v>
      </c>
      <c r="G51" s="5">
        <f t="shared" si="7"/>
        <v>1.01</v>
      </c>
      <c r="H51" s="6" t="str">
        <f t="shared" si="2"/>
        <v>INSERT INTO public.coupon (plancode, age, "year", couponrate, benefittype, benefitrate, premiumrate) VALUES('EN60', 0, 40, 8, 'A',800, 1.01);</v>
      </c>
      <c r="I51" s="6" t="str">
        <f t="shared" si="3"/>
        <v>{"age":"0", "year":"40", "couponrate":"8", "benefittype":"A", "benefitrate":"800", "premiumrate":"1.01"}</v>
      </c>
      <c r="J51" s="6" t="str">
        <f t="shared" si="4"/>
        <v>,</v>
      </c>
    </row>
    <row r="52" spans="1:10">
      <c r="A52" s="4" t="str">
        <f>'EN60'!A$3</f>
        <v>EN60</v>
      </c>
      <c r="B52" s="4">
        <f t="shared" si="5"/>
        <v>0</v>
      </c>
      <c r="C52" s="4">
        <f t="shared" si="6"/>
        <v>41</v>
      </c>
      <c r="D52" s="4">
        <f t="shared" si="0"/>
        <v>8</v>
      </c>
      <c r="E52" s="4" t="s">
        <v>27</v>
      </c>
      <c r="F52" s="4">
        <f t="shared" si="1"/>
        <v>800</v>
      </c>
      <c r="G52" s="5">
        <f t="shared" si="7"/>
        <v>1.01</v>
      </c>
      <c r="H52" s="6" t="str">
        <f t="shared" si="2"/>
        <v>INSERT INTO public.coupon (plancode, age, "year", couponrate, benefittype, benefitrate, premiumrate) VALUES('EN60', 0, 41, 8, 'A',800, 1.01);</v>
      </c>
      <c r="I52" s="6" t="str">
        <f t="shared" si="3"/>
        <v>{"age":"0", "year":"41", "couponrate":"8", "benefittype":"A", "benefitrate":"800", "premiumrate":"1.01"}</v>
      </c>
      <c r="J52" s="6" t="str">
        <f t="shared" si="4"/>
        <v>,</v>
      </c>
    </row>
    <row r="53" spans="1:10">
      <c r="A53" s="4" t="str">
        <f>'EN60'!A$3</f>
        <v>EN60</v>
      </c>
      <c r="B53" s="4">
        <f t="shared" si="5"/>
        <v>0</v>
      </c>
      <c r="C53" s="4">
        <f t="shared" si="6"/>
        <v>42</v>
      </c>
      <c r="D53" s="4">
        <f t="shared" si="0"/>
        <v>8</v>
      </c>
      <c r="E53" s="4" t="s">
        <v>27</v>
      </c>
      <c r="F53" s="4">
        <f t="shared" si="1"/>
        <v>800</v>
      </c>
      <c r="G53" s="5">
        <f t="shared" si="7"/>
        <v>1.01</v>
      </c>
      <c r="H53" s="6" t="str">
        <f t="shared" si="2"/>
        <v>INSERT INTO public.coupon (plancode, age, "year", couponrate, benefittype, benefitrate, premiumrate) VALUES('EN60', 0, 42, 8, 'A',800, 1.01);</v>
      </c>
      <c r="I53" s="6" t="str">
        <f t="shared" si="3"/>
        <v>{"age":"0", "year":"42", "couponrate":"8", "benefittype":"A", "benefitrate":"800", "premiumrate":"1.01"}</v>
      </c>
      <c r="J53" s="6" t="str">
        <f t="shared" si="4"/>
        <v>,</v>
      </c>
    </row>
    <row r="54" spans="1:10">
      <c r="A54" s="4" t="str">
        <f>'EN60'!A$3</f>
        <v>EN60</v>
      </c>
      <c r="B54" s="4">
        <f t="shared" si="5"/>
        <v>0</v>
      </c>
      <c r="C54" s="4">
        <f t="shared" si="6"/>
        <v>43</v>
      </c>
      <c r="D54" s="4">
        <f t="shared" si="0"/>
        <v>8</v>
      </c>
      <c r="E54" s="4" t="s">
        <v>27</v>
      </c>
      <c r="F54" s="4">
        <f t="shared" si="1"/>
        <v>800</v>
      </c>
      <c r="G54" s="5">
        <f t="shared" si="7"/>
        <v>1.01</v>
      </c>
      <c r="H54" s="6" t="str">
        <f t="shared" si="2"/>
        <v>INSERT INTO public.coupon (plancode, age, "year", couponrate, benefittype, benefitrate, premiumrate) VALUES('EN60', 0, 43, 8, 'A',800, 1.01);</v>
      </c>
      <c r="I54" s="6" t="str">
        <f t="shared" si="3"/>
        <v>{"age":"0", "year":"43", "couponrate":"8", "benefittype":"A", "benefitrate":"800", "premiumrate":"1.01"}</v>
      </c>
      <c r="J54" s="6" t="str">
        <f t="shared" si="4"/>
        <v>,</v>
      </c>
    </row>
    <row r="55" spans="1:10">
      <c r="A55" s="4" t="str">
        <f>'EN60'!A$3</f>
        <v>EN60</v>
      </c>
      <c r="B55" s="4">
        <f t="shared" si="5"/>
        <v>0</v>
      </c>
      <c r="C55" s="4">
        <f t="shared" si="6"/>
        <v>44</v>
      </c>
      <c r="D55" s="4">
        <f t="shared" si="0"/>
        <v>8</v>
      </c>
      <c r="E55" s="4" t="s">
        <v>27</v>
      </c>
      <c r="F55" s="4">
        <f t="shared" si="1"/>
        <v>800</v>
      </c>
      <c r="G55" s="5">
        <f t="shared" si="7"/>
        <v>1.01</v>
      </c>
      <c r="H55" s="6" t="str">
        <f t="shared" si="2"/>
        <v>INSERT INTO public.coupon (plancode, age, "year", couponrate, benefittype, benefitrate, premiumrate) VALUES('EN60', 0, 44, 8, 'A',800, 1.01);</v>
      </c>
      <c r="I55" s="6" t="str">
        <f t="shared" si="3"/>
        <v>{"age":"0", "year":"44", "couponrate":"8", "benefittype":"A", "benefitrate":"800", "premiumrate":"1.01"}</v>
      </c>
      <c r="J55" s="6" t="str">
        <f t="shared" si="4"/>
        <v>,</v>
      </c>
    </row>
    <row r="56" spans="1:10">
      <c r="A56" s="4" t="str">
        <f>'EN60'!A$3</f>
        <v>EN60</v>
      </c>
      <c r="B56" s="4">
        <f t="shared" si="5"/>
        <v>0</v>
      </c>
      <c r="C56" s="4">
        <f t="shared" si="6"/>
        <v>45</v>
      </c>
      <c r="D56" s="4">
        <f t="shared" si="0"/>
        <v>8</v>
      </c>
      <c r="E56" s="4" t="s">
        <v>27</v>
      </c>
      <c r="F56" s="4">
        <f t="shared" si="1"/>
        <v>800</v>
      </c>
      <c r="G56" s="5">
        <f t="shared" si="7"/>
        <v>1.01</v>
      </c>
      <c r="H56" s="6" t="str">
        <f t="shared" si="2"/>
        <v>INSERT INTO public.coupon (plancode, age, "year", couponrate, benefittype, benefitrate, premiumrate) VALUES('EN60', 0, 45, 8, 'A',800, 1.01);</v>
      </c>
      <c r="I56" s="6" t="str">
        <f t="shared" si="3"/>
        <v>{"age":"0", "year":"45", "couponrate":"8", "benefittype":"A", "benefitrate":"800", "premiumrate":"1.01"}</v>
      </c>
      <c r="J56" s="6" t="str">
        <f t="shared" si="4"/>
        <v>,</v>
      </c>
    </row>
    <row r="57" spans="1:10">
      <c r="A57" s="4" t="str">
        <f>'EN60'!A$3</f>
        <v>EN60</v>
      </c>
      <c r="B57" s="4">
        <f t="shared" si="5"/>
        <v>0</v>
      </c>
      <c r="C57" s="4">
        <f t="shared" si="6"/>
        <v>46</v>
      </c>
      <c r="D57" s="4">
        <f t="shared" si="0"/>
        <v>8</v>
      </c>
      <c r="E57" s="4" t="s">
        <v>27</v>
      </c>
      <c r="F57" s="4">
        <f t="shared" si="1"/>
        <v>800</v>
      </c>
      <c r="G57" s="5">
        <f t="shared" si="7"/>
        <v>1.01</v>
      </c>
      <c r="H57" s="6" t="str">
        <f t="shared" si="2"/>
        <v>INSERT INTO public.coupon (plancode, age, "year", couponrate, benefittype, benefitrate, premiumrate) VALUES('EN60', 0, 46, 8, 'A',800, 1.01);</v>
      </c>
      <c r="I57" s="6" t="str">
        <f t="shared" si="3"/>
        <v>{"age":"0", "year":"46", "couponrate":"8", "benefittype":"A", "benefitrate":"800", "premiumrate":"1.01"}</v>
      </c>
      <c r="J57" s="6" t="str">
        <f t="shared" si="4"/>
        <v>,</v>
      </c>
    </row>
    <row r="58" spans="1:10">
      <c r="A58" s="4" t="str">
        <f>'EN60'!A$3</f>
        <v>EN60</v>
      </c>
      <c r="B58" s="4">
        <f t="shared" si="5"/>
        <v>0</v>
      </c>
      <c r="C58" s="4">
        <f t="shared" si="6"/>
        <v>47</v>
      </c>
      <c r="D58" s="4">
        <f t="shared" si="0"/>
        <v>8</v>
      </c>
      <c r="E58" s="4" t="s">
        <v>27</v>
      </c>
      <c r="F58" s="4">
        <f t="shared" si="1"/>
        <v>800</v>
      </c>
      <c r="G58" s="5">
        <f t="shared" si="7"/>
        <v>1.01</v>
      </c>
      <c r="H58" s="6" t="str">
        <f t="shared" si="2"/>
        <v>INSERT INTO public.coupon (plancode, age, "year", couponrate, benefittype, benefitrate, premiumrate) VALUES('EN60', 0, 47, 8, 'A',800, 1.01);</v>
      </c>
      <c r="I58" s="6" t="str">
        <f t="shared" si="3"/>
        <v>{"age":"0", "year":"47", "couponrate":"8", "benefittype":"A", "benefitrate":"800", "premiumrate":"1.01"}</v>
      </c>
      <c r="J58" s="6" t="str">
        <f t="shared" si="4"/>
        <v>,</v>
      </c>
    </row>
    <row r="59" spans="1:10">
      <c r="A59" s="4" t="str">
        <f>'EN60'!A$3</f>
        <v>EN60</v>
      </c>
      <c r="B59" s="4">
        <f t="shared" si="5"/>
        <v>0</v>
      </c>
      <c r="C59" s="4">
        <f t="shared" si="6"/>
        <v>48</v>
      </c>
      <c r="D59" s="4">
        <f t="shared" si="0"/>
        <v>8</v>
      </c>
      <c r="E59" s="4" t="s">
        <v>27</v>
      </c>
      <c r="F59" s="4">
        <f t="shared" si="1"/>
        <v>800</v>
      </c>
      <c r="G59" s="5">
        <f t="shared" si="7"/>
        <v>1.01</v>
      </c>
      <c r="H59" s="6" t="str">
        <f t="shared" si="2"/>
        <v>INSERT INTO public.coupon (plancode, age, "year", couponrate, benefittype, benefitrate, premiumrate) VALUES('EN60', 0, 48, 8, 'A',800, 1.01);</v>
      </c>
      <c r="I59" s="6" t="str">
        <f t="shared" si="3"/>
        <v>{"age":"0", "year":"48", "couponrate":"8", "benefittype":"A", "benefitrate":"800", "premiumrate":"1.01"}</v>
      </c>
      <c r="J59" s="6" t="str">
        <f t="shared" si="4"/>
        <v>,</v>
      </c>
    </row>
    <row r="60" spans="1:10">
      <c r="A60" s="4" t="str">
        <f>'EN60'!A$3</f>
        <v>EN60</v>
      </c>
      <c r="B60" s="4">
        <f t="shared" si="5"/>
        <v>0</v>
      </c>
      <c r="C60" s="4">
        <f t="shared" si="6"/>
        <v>49</v>
      </c>
      <c r="D60" s="4">
        <f t="shared" si="0"/>
        <v>8</v>
      </c>
      <c r="E60" s="4" t="s">
        <v>27</v>
      </c>
      <c r="F60" s="4">
        <f t="shared" si="1"/>
        <v>800</v>
      </c>
      <c r="G60" s="5">
        <f t="shared" si="7"/>
        <v>1.01</v>
      </c>
      <c r="H60" s="6" t="str">
        <f t="shared" si="2"/>
        <v>INSERT INTO public.coupon (plancode, age, "year", couponrate, benefittype, benefitrate, premiumrate) VALUES('EN60', 0, 49, 8, 'A',800, 1.01);</v>
      </c>
      <c r="I60" s="6" t="str">
        <f t="shared" si="3"/>
        <v>{"age":"0", "year":"49", "couponrate":"8", "benefittype":"A", "benefitrate":"800", "premiumrate":"1.01"}</v>
      </c>
      <c r="J60" s="6" t="str">
        <f t="shared" si="4"/>
        <v>,</v>
      </c>
    </row>
    <row r="61" spans="1:10">
      <c r="A61" s="4" t="str">
        <f>'EN60'!A$3</f>
        <v>EN60</v>
      </c>
      <c r="B61" s="4">
        <f t="shared" si="5"/>
        <v>0</v>
      </c>
      <c r="C61" s="4">
        <f t="shared" si="6"/>
        <v>50</v>
      </c>
      <c r="D61" s="4">
        <f t="shared" si="0"/>
        <v>8</v>
      </c>
      <c r="E61" s="4" t="s">
        <v>27</v>
      </c>
      <c r="F61" s="4">
        <f t="shared" si="1"/>
        <v>800</v>
      </c>
      <c r="G61" s="5">
        <f t="shared" si="7"/>
        <v>1.01</v>
      </c>
      <c r="H61" s="6" t="str">
        <f t="shared" si="2"/>
        <v>INSERT INTO public.coupon (plancode, age, "year", couponrate, benefittype, benefitrate, premiumrate) VALUES('EN60', 0, 50, 8, 'A',800, 1.01);</v>
      </c>
      <c r="I61" s="6" t="str">
        <f t="shared" si="3"/>
        <v>{"age":"0", "year":"50", "couponrate":"8", "benefittype":"A", "benefitrate":"800", "premiumrate":"1.01"}</v>
      </c>
      <c r="J61" s="6" t="str">
        <f t="shared" si="4"/>
        <v>,</v>
      </c>
    </row>
    <row r="62" spans="1:10">
      <c r="A62" s="4" t="str">
        <f>'EN60'!A$3</f>
        <v>EN60</v>
      </c>
      <c r="B62" s="4">
        <f t="shared" si="5"/>
        <v>0</v>
      </c>
      <c r="C62" s="4">
        <f t="shared" si="6"/>
        <v>51</v>
      </c>
      <c r="D62" s="4">
        <f t="shared" si="0"/>
        <v>8</v>
      </c>
      <c r="E62" s="4" t="s">
        <v>27</v>
      </c>
      <c r="F62" s="4">
        <f t="shared" si="1"/>
        <v>800</v>
      </c>
      <c r="G62" s="5">
        <f t="shared" si="7"/>
        <v>1.01</v>
      </c>
      <c r="H62" s="6" t="str">
        <f t="shared" si="2"/>
        <v>INSERT INTO public.coupon (plancode, age, "year", couponrate, benefittype, benefitrate, premiumrate) VALUES('EN60', 0, 51, 8, 'A',800, 1.01);</v>
      </c>
      <c r="I62" s="6" t="str">
        <f t="shared" si="3"/>
        <v>{"age":"0", "year":"51", "couponrate":"8", "benefittype":"A", "benefitrate":"800", "premiumrate":"1.01"}</v>
      </c>
      <c r="J62" s="6" t="str">
        <f t="shared" si="4"/>
        <v>,</v>
      </c>
    </row>
    <row r="63" spans="1:10">
      <c r="A63" s="4" t="str">
        <f>'EN60'!A$3</f>
        <v>EN60</v>
      </c>
      <c r="B63" s="4">
        <f t="shared" si="5"/>
        <v>0</v>
      </c>
      <c r="C63" s="4">
        <f t="shared" si="6"/>
        <v>52</v>
      </c>
      <c r="D63" s="4">
        <f t="shared" si="0"/>
        <v>8</v>
      </c>
      <c r="E63" s="4" t="s">
        <v>27</v>
      </c>
      <c r="F63" s="4">
        <f t="shared" si="1"/>
        <v>800</v>
      </c>
      <c r="G63" s="5">
        <f t="shared" si="7"/>
        <v>1.01</v>
      </c>
      <c r="H63" s="6" t="str">
        <f t="shared" si="2"/>
        <v>INSERT INTO public.coupon (plancode, age, "year", couponrate, benefittype, benefitrate, premiumrate) VALUES('EN60', 0, 52, 8, 'A',800, 1.01);</v>
      </c>
      <c r="I63" s="6" t="str">
        <f t="shared" si="3"/>
        <v>{"age":"0", "year":"52", "couponrate":"8", "benefittype":"A", "benefitrate":"800", "premiumrate":"1.01"}</v>
      </c>
      <c r="J63" s="6" t="str">
        <f t="shared" si="4"/>
        <v>,</v>
      </c>
    </row>
    <row r="64" spans="1:10">
      <c r="A64" s="4" t="str">
        <f>'EN60'!A$3</f>
        <v>EN60</v>
      </c>
      <c r="B64" s="4">
        <f t="shared" si="5"/>
        <v>0</v>
      </c>
      <c r="C64" s="4">
        <f t="shared" si="6"/>
        <v>53</v>
      </c>
      <c r="D64" s="4">
        <f t="shared" si="0"/>
        <v>8</v>
      </c>
      <c r="E64" s="4" t="s">
        <v>27</v>
      </c>
      <c r="F64" s="4">
        <f t="shared" si="1"/>
        <v>800</v>
      </c>
      <c r="G64" s="5">
        <f t="shared" si="7"/>
        <v>1.01</v>
      </c>
      <c r="H64" s="6" t="str">
        <f t="shared" si="2"/>
        <v>INSERT INTO public.coupon (plancode, age, "year", couponrate, benefittype, benefitrate, premiumrate) VALUES('EN60', 0, 53, 8, 'A',800, 1.01);</v>
      </c>
      <c r="I64" s="6" t="str">
        <f t="shared" si="3"/>
        <v>{"age":"0", "year":"53", "couponrate":"8", "benefittype":"A", "benefitrate":"800", "premiumrate":"1.01"}</v>
      </c>
      <c r="J64" s="6" t="str">
        <f t="shared" si="4"/>
        <v>,</v>
      </c>
    </row>
    <row r="65" spans="1:10">
      <c r="A65" s="4" t="str">
        <f>'EN60'!A$3</f>
        <v>EN60</v>
      </c>
      <c r="B65" s="4">
        <f t="shared" si="5"/>
        <v>0</v>
      </c>
      <c r="C65" s="4">
        <f t="shared" si="6"/>
        <v>54</v>
      </c>
      <c r="D65" s="4">
        <f t="shared" si="0"/>
        <v>8</v>
      </c>
      <c r="E65" s="4" t="s">
        <v>27</v>
      </c>
      <c r="F65" s="4">
        <f t="shared" si="1"/>
        <v>800</v>
      </c>
      <c r="G65" s="5">
        <f t="shared" si="7"/>
        <v>1.01</v>
      </c>
      <c r="H65" s="6" t="str">
        <f t="shared" si="2"/>
        <v>INSERT INTO public.coupon (plancode, age, "year", couponrate, benefittype, benefitrate, premiumrate) VALUES('EN60', 0, 54, 8, 'A',800, 1.01);</v>
      </c>
      <c r="I65" s="6" t="str">
        <f t="shared" si="3"/>
        <v>{"age":"0", "year":"54", "couponrate":"8", "benefittype":"A", "benefitrate":"800", "premiumrate":"1.01"}</v>
      </c>
      <c r="J65" s="6" t="str">
        <f t="shared" si="4"/>
        <v>,</v>
      </c>
    </row>
    <row r="66" spans="1:10">
      <c r="A66" s="4" t="str">
        <f>'EN60'!A$3</f>
        <v>EN60</v>
      </c>
      <c r="B66" s="4">
        <f t="shared" si="5"/>
        <v>0</v>
      </c>
      <c r="C66" s="4">
        <f t="shared" si="6"/>
        <v>55</v>
      </c>
      <c r="D66" s="4">
        <f t="shared" si="0"/>
        <v>8</v>
      </c>
      <c r="E66" s="4" t="s">
        <v>27</v>
      </c>
      <c r="F66" s="4">
        <f t="shared" si="1"/>
        <v>800</v>
      </c>
      <c r="G66" s="5">
        <f t="shared" si="7"/>
        <v>1.01</v>
      </c>
      <c r="H66" s="6" t="str">
        <f t="shared" si="2"/>
        <v>INSERT INTO public.coupon (plancode, age, "year", couponrate, benefittype, benefitrate, premiumrate) VALUES('EN60', 0, 55, 8, 'A',800, 1.01);</v>
      </c>
      <c r="I66" s="6" t="str">
        <f t="shared" si="3"/>
        <v>{"age":"0", "year":"55", "couponrate":"8", "benefittype":"A", "benefitrate":"800", "premiumrate":"1.01"}</v>
      </c>
      <c r="J66" s="6" t="str">
        <f t="shared" si="4"/>
        <v>,</v>
      </c>
    </row>
    <row r="67" spans="1:10">
      <c r="A67" s="4" t="str">
        <f>'EN60'!A$3</f>
        <v>EN60</v>
      </c>
      <c r="B67" s="4">
        <f t="shared" si="5"/>
        <v>0</v>
      </c>
      <c r="C67" s="4">
        <f t="shared" si="6"/>
        <v>56</v>
      </c>
      <c r="D67" s="4">
        <f t="shared" si="0"/>
        <v>8</v>
      </c>
      <c r="E67" s="4" t="s">
        <v>27</v>
      </c>
      <c r="F67" s="4">
        <f t="shared" si="1"/>
        <v>800</v>
      </c>
      <c r="G67" s="5">
        <f t="shared" si="7"/>
        <v>1.01</v>
      </c>
      <c r="H67" s="6" t="str">
        <f t="shared" si="2"/>
        <v>INSERT INTO public.coupon (plancode, age, "year", couponrate, benefittype, benefitrate, premiumrate) VALUES('EN60', 0, 56, 8, 'A',800, 1.01);</v>
      </c>
      <c r="I67" s="6" t="str">
        <f t="shared" si="3"/>
        <v>{"age":"0", "year":"56", "couponrate":"8", "benefittype":"A", "benefitrate":"800", "premiumrate":"1.01"}</v>
      </c>
      <c r="J67" s="6" t="str">
        <f t="shared" si="4"/>
        <v>,</v>
      </c>
    </row>
    <row r="68" spans="1:10">
      <c r="A68" s="4" t="str">
        <f>'EN60'!A$3</f>
        <v>EN60</v>
      </c>
      <c r="B68" s="4">
        <f t="shared" si="5"/>
        <v>0</v>
      </c>
      <c r="C68" s="4">
        <f t="shared" si="6"/>
        <v>57</v>
      </c>
      <c r="D68" s="4">
        <f t="shared" si="0"/>
        <v>8</v>
      </c>
      <c r="E68" s="4" t="s">
        <v>27</v>
      </c>
      <c r="F68" s="4">
        <f t="shared" si="1"/>
        <v>800</v>
      </c>
      <c r="G68" s="5">
        <f t="shared" si="7"/>
        <v>1.01</v>
      </c>
      <c r="H68" s="6" t="str">
        <f t="shared" si="2"/>
        <v>INSERT INTO public.coupon (plancode, age, "year", couponrate, benefittype, benefitrate, premiumrate) VALUES('EN60', 0, 57, 8, 'A',800, 1.01);</v>
      </c>
      <c r="I68" s="6" t="str">
        <f t="shared" si="3"/>
        <v>{"age":"0", "year":"57", "couponrate":"8", "benefittype":"A", "benefitrate":"800", "premiumrate":"1.01"}</v>
      </c>
      <c r="J68" s="6" t="str">
        <f t="shared" si="4"/>
        <v>,</v>
      </c>
    </row>
    <row r="69" spans="1:10">
      <c r="A69" s="4" t="str">
        <f>'EN60'!A$3</f>
        <v>EN60</v>
      </c>
      <c r="B69" s="4">
        <f t="shared" si="5"/>
        <v>0</v>
      </c>
      <c r="C69" s="4">
        <f t="shared" si="6"/>
        <v>58</v>
      </c>
      <c r="D69" s="4">
        <f t="shared" si="0"/>
        <v>8</v>
      </c>
      <c r="E69" s="4" t="s">
        <v>27</v>
      </c>
      <c r="F69" s="4">
        <f t="shared" si="1"/>
        <v>800</v>
      </c>
      <c r="G69" s="5">
        <f t="shared" si="7"/>
        <v>1.01</v>
      </c>
      <c r="H69" s="6" t="str">
        <f t="shared" si="2"/>
        <v>INSERT INTO public.coupon (plancode, age, "year", couponrate, benefittype, benefitrate, premiumrate) VALUES('EN60', 0, 58, 8, 'A',800, 1.01);</v>
      </c>
      <c r="I69" s="6" t="str">
        <f t="shared" si="3"/>
        <v>{"age":"0", "year":"58", "couponrate":"8", "benefittype":"A", "benefitrate":"800", "premiumrate":"1.01"}</v>
      </c>
      <c r="J69" s="6" t="str">
        <f t="shared" si="4"/>
        <v>,</v>
      </c>
    </row>
    <row r="70" spans="1:10">
      <c r="A70" s="4" t="str">
        <f>'EN60'!A$3</f>
        <v>EN60</v>
      </c>
      <c r="B70" s="4">
        <f t="shared" si="5"/>
        <v>0</v>
      </c>
      <c r="C70" s="4">
        <f t="shared" si="6"/>
        <v>59</v>
      </c>
      <c r="D70" s="4">
        <f t="shared" si="0"/>
        <v>8</v>
      </c>
      <c r="E70" s="4" t="s">
        <v>27</v>
      </c>
      <c r="F70" s="4">
        <f t="shared" si="1"/>
        <v>800</v>
      </c>
      <c r="G70" s="5">
        <f t="shared" si="7"/>
        <v>1.01</v>
      </c>
      <c r="H70" s="6" t="str">
        <f t="shared" si="2"/>
        <v>INSERT INTO public.coupon (plancode, age, "year", couponrate, benefittype, benefitrate, premiumrate) VALUES('EN60', 0, 59, 8, 'A',800, 1.01);</v>
      </c>
      <c r="I70" s="6" t="str">
        <f t="shared" si="3"/>
        <v>{"age":"0", "year":"59", "couponrate":"8", "benefittype":"A", "benefitrate":"800", "premiumrate":"1.01"}</v>
      </c>
      <c r="J70" s="6" t="str">
        <f t="shared" si="4"/>
        <v>,</v>
      </c>
    </row>
    <row r="71" spans="1:10">
      <c r="A71" s="4" t="str">
        <f>'EN60'!A$3</f>
        <v>EN60</v>
      </c>
      <c r="B71" s="4">
        <f t="shared" si="5"/>
        <v>0</v>
      </c>
      <c r="C71" s="4">
        <f t="shared" si="6"/>
        <v>60</v>
      </c>
      <c r="D71" s="4">
        <f t="shared" si="0"/>
        <v>8</v>
      </c>
      <c r="E71" s="4" t="s">
        <v>27</v>
      </c>
      <c r="F71" s="4">
        <f t="shared" si="1"/>
        <v>800</v>
      </c>
      <c r="G71" s="5">
        <f t="shared" si="7"/>
        <v>1.01</v>
      </c>
      <c r="H71" s="6" t="str">
        <f t="shared" si="2"/>
        <v>INSERT INTO public.coupon (plancode, age, "year", couponrate, benefittype, benefitrate, premiumrate) VALUES('EN60', 0, 60, 8, 'A',800, 1.01);</v>
      </c>
      <c r="I71" s="6" t="str">
        <f t="shared" si="3"/>
        <v>{"age":"0", "year":"60", "couponrate":"8", "benefittype":"A", "benefitrate":"800", "premiumrate":"1.01"}</v>
      </c>
      <c r="J71" s="6" t="str">
        <f t="shared" si="4"/>
        <v>,</v>
      </c>
    </row>
    <row r="72" spans="1:10">
      <c r="A72" s="4" t="str">
        <f>'EN60'!A$3</f>
        <v>EN60</v>
      </c>
      <c r="B72" s="4">
        <f t="shared" si="5"/>
        <v>0</v>
      </c>
      <c r="C72" s="4">
        <f t="shared" si="6"/>
        <v>61</v>
      </c>
      <c r="D72" s="4">
        <f t="shared" si="0"/>
        <v>8</v>
      </c>
      <c r="E72" s="4" t="s">
        <v>27</v>
      </c>
      <c r="F72" s="4">
        <f t="shared" si="1"/>
        <v>800</v>
      </c>
      <c r="G72" s="5">
        <f t="shared" si="7"/>
        <v>1.01</v>
      </c>
      <c r="H72" s="6" t="str">
        <f t="shared" si="2"/>
        <v>INSERT INTO public.coupon (plancode, age, "year", couponrate, benefittype, benefitrate, premiumrate) VALUES('EN60', 0, 61, 8, 'A',800, 1.01);</v>
      </c>
      <c r="I72" s="6" t="str">
        <f t="shared" si="3"/>
        <v>{"age":"0", "year":"61", "couponrate":"8", "benefittype":"A", "benefitrate":"800", "premiumrate":"1.01"}</v>
      </c>
      <c r="J72" s="6" t="str">
        <f t="shared" si="4"/>
        <v>,</v>
      </c>
    </row>
    <row r="73" spans="1:10">
      <c r="A73" s="4" t="str">
        <f>'EN60'!A$3</f>
        <v>EN60</v>
      </c>
      <c r="B73" s="4">
        <f t="shared" si="5"/>
        <v>0</v>
      </c>
      <c r="C73" s="4">
        <f t="shared" si="6"/>
        <v>62</v>
      </c>
      <c r="D73" s="4">
        <f t="shared" si="0"/>
        <v>8</v>
      </c>
      <c r="E73" s="4" t="s">
        <v>27</v>
      </c>
      <c r="F73" s="4">
        <f t="shared" si="1"/>
        <v>800</v>
      </c>
      <c r="G73" s="5">
        <f t="shared" si="7"/>
        <v>1.01</v>
      </c>
      <c r="H73" s="6" t="str">
        <f t="shared" si="2"/>
        <v>INSERT INTO public.coupon (plancode, age, "year", couponrate, benefittype, benefitrate, premiumrate) VALUES('EN60', 0, 62, 8, 'A',800, 1.01);</v>
      </c>
      <c r="I73" s="6" t="str">
        <f t="shared" si="3"/>
        <v>{"age":"0", "year":"62", "couponrate":"8", "benefittype":"A", "benefitrate":"800", "premiumrate":"1.01"}</v>
      </c>
      <c r="J73" s="6" t="str">
        <f t="shared" si="4"/>
        <v>,</v>
      </c>
    </row>
    <row r="74" spans="1:10">
      <c r="A74" s="4" t="str">
        <f>'EN60'!A$3</f>
        <v>EN60</v>
      </c>
      <c r="B74" s="4">
        <f t="shared" si="5"/>
        <v>0</v>
      </c>
      <c r="C74" s="4">
        <f t="shared" si="6"/>
        <v>63</v>
      </c>
      <c r="D74" s="4">
        <f t="shared" si="0"/>
        <v>8</v>
      </c>
      <c r="E74" s="4" t="s">
        <v>27</v>
      </c>
      <c r="F74" s="4">
        <f t="shared" si="1"/>
        <v>800</v>
      </c>
      <c r="G74" s="5">
        <f t="shared" si="7"/>
        <v>1.01</v>
      </c>
      <c r="H74" s="6" t="str">
        <f t="shared" si="2"/>
        <v>INSERT INTO public.coupon (plancode, age, "year", couponrate, benefittype, benefitrate, premiumrate) VALUES('EN60', 0, 63, 8, 'A',800, 1.01);</v>
      </c>
      <c r="I74" s="6" t="str">
        <f t="shared" si="3"/>
        <v>{"age":"0", "year":"63", "couponrate":"8", "benefittype":"A", "benefitrate":"800", "premiumrate":"1.01"}</v>
      </c>
      <c r="J74" s="6" t="str">
        <f t="shared" si="4"/>
        <v>,</v>
      </c>
    </row>
    <row r="75" spans="1:10">
      <c r="A75" s="4" t="str">
        <f>'EN60'!A$3</f>
        <v>EN60</v>
      </c>
      <c r="B75" s="4">
        <f t="shared" si="5"/>
        <v>0</v>
      </c>
      <c r="C75" s="4">
        <f t="shared" si="6"/>
        <v>64</v>
      </c>
      <c r="D75" s="4">
        <f t="shared" si="0"/>
        <v>8</v>
      </c>
      <c r="E75" s="4" t="s">
        <v>27</v>
      </c>
      <c r="F75" s="4">
        <f t="shared" si="1"/>
        <v>800</v>
      </c>
      <c r="G75" s="5">
        <f t="shared" si="7"/>
        <v>1.01</v>
      </c>
      <c r="H75" s="6" t="str">
        <f t="shared" si="2"/>
        <v>INSERT INTO public.coupon (plancode, age, "year", couponrate, benefittype, benefitrate, premiumrate) VALUES('EN60', 0, 64, 8, 'A',800, 1.01);</v>
      </c>
      <c r="I75" s="6" t="str">
        <f t="shared" si="3"/>
        <v>{"age":"0", "year":"64", "couponrate":"8", "benefittype":"A", "benefitrate":"800", "premiumrate":"1.01"}</v>
      </c>
      <c r="J75" s="6" t="str">
        <f t="shared" si="4"/>
        <v>,</v>
      </c>
    </row>
    <row r="76" spans="1:10">
      <c r="A76" s="4" t="str">
        <f>'EN60'!A$3</f>
        <v>EN60</v>
      </c>
      <c r="B76" s="4">
        <f t="shared" si="5"/>
        <v>0</v>
      </c>
      <c r="C76" s="4">
        <f t="shared" si="6"/>
        <v>65</v>
      </c>
      <c r="D76" s="4">
        <f t="shared" si="0"/>
        <v>8</v>
      </c>
      <c r="E76" s="4" t="s">
        <v>27</v>
      </c>
      <c r="F76" s="4">
        <f t="shared" si="1"/>
        <v>800</v>
      </c>
      <c r="G76" s="5">
        <f t="shared" si="7"/>
        <v>1.01</v>
      </c>
      <c r="H76" s="6" t="str">
        <f t="shared" si="2"/>
        <v>INSERT INTO public.coupon (plancode, age, "year", couponrate, benefittype, benefitrate, premiumrate) VALUES('EN60', 0, 65, 8, 'A',800, 1.01);</v>
      </c>
      <c r="I76" s="6" t="str">
        <f t="shared" si="3"/>
        <v>{"age":"0", "year":"65", "couponrate":"8", "benefittype":"A", "benefitrate":"800", "premiumrate":"1.01"}</v>
      </c>
      <c r="J76" s="6" t="str">
        <f t="shared" si="4"/>
        <v>,</v>
      </c>
    </row>
    <row r="77" spans="1:10">
      <c r="A77" s="4" t="str">
        <f>'EN60'!A$3</f>
        <v>EN60</v>
      </c>
      <c r="B77" s="4">
        <f t="shared" si="5"/>
        <v>0</v>
      </c>
      <c r="C77" s="4">
        <f t="shared" si="6"/>
        <v>66</v>
      </c>
      <c r="D77" s="4">
        <f t="shared" si="0"/>
        <v>8</v>
      </c>
      <c r="E77" s="4" t="s">
        <v>27</v>
      </c>
      <c r="F77" s="4">
        <f t="shared" si="1"/>
        <v>800</v>
      </c>
      <c r="G77" s="5">
        <f t="shared" si="7"/>
        <v>1.01</v>
      </c>
      <c r="H77" s="6" t="str">
        <f t="shared" si="2"/>
        <v>INSERT INTO public.coupon (plancode, age, "year", couponrate, benefittype, benefitrate, premiumrate) VALUES('EN60', 0, 66, 8, 'A',800, 1.01);</v>
      </c>
      <c r="I77" s="6" t="str">
        <f t="shared" si="3"/>
        <v>{"age":"0", "year":"66", "couponrate":"8", "benefittype":"A", "benefitrate":"800", "premiumrate":"1.01"}</v>
      </c>
      <c r="J77" s="6" t="str">
        <f t="shared" si="4"/>
        <v>,</v>
      </c>
    </row>
    <row r="78" spans="1:10">
      <c r="A78" s="4" t="str">
        <f>'EN60'!A$3</f>
        <v>EN60</v>
      </c>
      <c r="B78" s="4">
        <f t="shared" si="5"/>
        <v>0</v>
      </c>
      <c r="C78" s="4">
        <f t="shared" si="6"/>
        <v>67</v>
      </c>
      <c r="D78" s="4">
        <f t="shared" si="0"/>
        <v>8</v>
      </c>
      <c r="E78" s="4" t="s">
        <v>27</v>
      </c>
      <c r="F78" s="4">
        <f t="shared" si="1"/>
        <v>800</v>
      </c>
      <c r="G78" s="5">
        <f t="shared" si="7"/>
        <v>1.01</v>
      </c>
      <c r="H78" s="6" t="str">
        <f t="shared" si="2"/>
        <v>INSERT INTO public.coupon (plancode, age, "year", couponrate, benefittype, benefitrate, premiumrate) VALUES('EN60', 0, 67, 8, 'A',800, 1.01);</v>
      </c>
      <c r="I78" s="6" t="str">
        <f t="shared" si="3"/>
        <v>{"age":"0", "year":"67", "couponrate":"8", "benefittype":"A", "benefitrate":"800", "premiumrate":"1.01"}</v>
      </c>
      <c r="J78" s="6" t="str">
        <f t="shared" si="4"/>
        <v>,</v>
      </c>
    </row>
    <row r="79" spans="1:10">
      <c r="A79" s="4" t="str">
        <f>'EN60'!A$3</f>
        <v>EN60</v>
      </c>
      <c r="B79" s="4">
        <f t="shared" si="5"/>
        <v>0</v>
      </c>
      <c r="C79" s="4">
        <f t="shared" si="6"/>
        <v>68</v>
      </c>
      <c r="D79" s="4">
        <f t="shared" si="0"/>
        <v>8</v>
      </c>
      <c r="E79" s="4" t="s">
        <v>27</v>
      </c>
      <c r="F79" s="4">
        <f t="shared" si="1"/>
        <v>800</v>
      </c>
      <c r="G79" s="5">
        <f t="shared" si="7"/>
        <v>1.01</v>
      </c>
      <c r="H79" s="6" t="str">
        <f t="shared" si="2"/>
        <v>INSERT INTO public.coupon (plancode, age, "year", couponrate, benefittype, benefitrate, premiumrate) VALUES('EN60', 0, 68, 8, 'A',800, 1.01);</v>
      </c>
      <c r="I79" s="6" t="str">
        <f t="shared" si="3"/>
        <v>{"age":"0", "year":"68", "couponrate":"8", "benefittype":"A", "benefitrate":"800", "premiumrate":"1.01"}</v>
      </c>
      <c r="J79" s="6" t="str">
        <f t="shared" si="4"/>
        <v>,</v>
      </c>
    </row>
    <row r="80" spans="1:10">
      <c r="A80" s="4" t="str">
        <f>'EN60'!A$3</f>
        <v>EN60</v>
      </c>
      <c r="B80" s="4">
        <f t="shared" si="5"/>
        <v>0</v>
      </c>
      <c r="C80" s="4">
        <f t="shared" si="6"/>
        <v>69</v>
      </c>
      <c r="D80" s="4">
        <f t="shared" si="0"/>
        <v>8</v>
      </c>
      <c r="E80" s="4" t="s">
        <v>27</v>
      </c>
      <c r="F80" s="4">
        <f t="shared" si="1"/>
        <v>800</v>
      </c>
      <c r="G80" s="5">
        <f t="shared" si="7"/>
        <v>1.01</v>
      </c>
      <c r="H80" s="6" t="str">
        <f t="shared" si="2"/>
        <v>INSERT INTO public.coupon (plancode, age, "year", couponrate, benefittype, benefitrate, premiumrate) VALUES('EN60', 0, 69, 8, 'A',800, 1.01);</v>
      </c>
      <c r="I80" s="6" t="str">
        <f t="shared" si="3"/>
        <v>{"age":"0", "year":"69", "couponrate":"8", "benefittype":"A", "benefitrate":"800", "premiumrate":"1.01"}</v>
      </c>
      <c r="J80" s="6" t="str">
        <f t="shared" si="4"/>
        <v>,</v>
      </c>
    </row>
    <row r="81" spans="1:10">
      <c r="A81" s="4" t="str">
        <f>'EN60'!A$3</f>
        <v>EN60</v>
      </c>
      <c r="B81" s="4">
        <f t="shared" si="5"/>
        <v>0</v>
      </c>
      <c r="C81" s="4">
        <f t="shared" si="6"/>
        <v>70</v>
      </c>
      <c r="D81" s="4">
        <f t="shared" si="0"/>
        <v>8</v>
      </c>
      <c r="E81" s="4" t="s">
        <v>27</v>
      </c>
      <c r="F81" s="4">
        <f t="shared" si="1"/>
        <v>800</v>
      </c>
      <c r="G81" s="5">
        <f t="shared" si="7"/>
        <v>1.01</v>
      </c>
      <c r="H81" s="6" t="str">
        <f t="shared" si="2"/>
        <v>INSERT INTO public.coupon (plancode, age, "year", couponrate, benefittype, benefitrate, premiumrate) VALUES('EN60', 0, 70, 8, 'A',800, 1.01);</v>
      </c>
      <c r="I81" s="6" t="str">
        <f t="shared" si="3"/>
        <v>{"age":"0", "year":"70", "couponrate":"8", "benefittype":"A", "benefitrate":"800", "premiumrate":"1.01"}</v>
      </c>
      <c r="J81" s="6" t="str">
        <f t="shared" si="4"/>
        <v>,</v>
      </c>
    </row>
    <row r="82" spans="1:10">
      <c r="A82" s="4" t="str">
        <f>'EN60'!A$3</f>
        <v>EN60</v>
      </c>
      <c r="B82" s="4">
        <f t="shared" si="5"/>
        <v>0</v>
      </c>
      <c r="C82" s="4">
        <f t="shared" si="6"/>
        <v>71</v>
      </c>
      <c r="D82" s="4">
        <f t="shared" si="0"/>
        <v>8</v>
      </c>
      <c r="E82" s="4" t="s">
        <v>27</v>
      </c>
      <c r="F82" s="4">
        <f t="shared" si="1"/>
        <v>800</v>
      </c>
      <c r="G82" s="5">
        <f t="shared" si="7"/>
        <v>1.01</v>
      </c>
      <c r="H82" s="6" t="str">
        <f t="shared" si="2"/>
        <v>INSERT INTO public.coupon (plancode, age, "year", couponrate, benefittype, benefitrate, premiumrate) VALUES('EN60', 0, 71, 8, 'A',800, 1.01);</v>
      </c>
      <c r="I82" s="6" t="str">
        <f t="shared" si="3"/>
        <v>{"age":"0", "year":"71", "couponrate":"8", "benefittype":"A", "benefitrate":"800", "premiumrate":"1.01"}</v>
      </c>
      <c r="J82" s="6" t="str">
        <f t="shared" si="4"/>
        <v>,</v>
      </c>
    </row>
    <row r="83" spans="1:10">
      <c r="A83" s="4" t="str">
        <f>'EN60'!A$3</f>
        <v>EN60</v>
      </c>
      <c r="B83" s="4">
        <f t="shared" si="5"/>
        <v>0</v>
      </c>
      <c r="C83" s="4">
        <f t="shared" si="6"/>
        <v>72</v>
      </c>
      <c r="D83" s="4">
        <f t="shared" si="0"/>
        <v>8</v>
      </c>
      <c r="E83" s="4" t="s">
        <v>27</v>
      </c>
      <c r="F83" s="4">
        <f t="shared" si="1"/>
        <v>800</v>
      </c>
      <c r="G83" s="5">
        <f t="shared" si="7"/>
        <v>1.01</v>
      </c>
      <c r="H83" s="6" t="str">
        <f t="shared" si="2"/>
        <v>INSERT INTO public.coupon (plancode, age, "year", couponrate, benefittype, benefitrate, premiumrate) VALUES('EN60', 0, 72, 8, 'A',800, 1.01);</v>
      </c>
      <c r="I83" s="6" t="str">
        <f t="shared" si="3"/>
        <v>{"age":"0", "year":"72", "couponrate":"8", "benefittype":"A", "benefitrate":"800", "premiumrate":"1.01"}</v>
      </c>
      <c r="J83" s="6" t="str">
        <f t="shared" si="4"/>
        <v>,</v>
      </c>
    </row>
    <row r="84" spans="1:10">
      <c r="A84" s="4" t="str">
        <f>'EN60'!A$3</f>
        <v>EN60</v>
      </c>
      <c r="B84" s="4">
        <f t="shared" si="5"/>
        <v>0</v>
      </c>
      <c r="C84" s="4">
        <f t="shared" si="6"/>
        <v>73</v>
      </c>
      <c r="D84" s="4">
        <f t="shared" si="0"/>
        <v>8</v>
      </c>
      <c r="E84" s="4" t="s">
        <v>27</v>
      </c>
      <c r="F84" s="4">
        <f t="shared" si="1"/>
        <v>800</v>
      </c>
      <c r="G84" s="5">
        <f t="shared" si="7"/>
        <v>1.01</v>
      </c>
      <c r="H84" s="6" t="str">
        <f t="shared" si="2"/>
        <v>INSERT INTO public.coupon (plancode, age, "year", couponrate, benefittype, benefitrate, premiumrate) VALUES('EN60', 0, 73, 8, 'A',800, 1.01);</v>
      </c>
      <c r="I84" s="6" t="str">
        <f t="shared" si="3"/>
        <v>{"age":"0", "year":"73", "couponrate":"8", "benefittype":"A", "benefitrate":"800", "premiumrate":"1.01"}</v>
      </c>
      <c r="J84" s="6" t="str">
        <f t="shared" si="4"/>
        <v>,</v>
      </c>
    </row>
    <row r="85" spans="1:10">
      <c r="A85" s="4" t="str">
        <f>'EN60'!A$3</f>
        <v>EN60</v>
      </c>
      <c r="B85" s="4">
        <f t="shared" si="5"/>
        <v>0</v>
      </c>
      <c r="C85" s="4">
        <f t="shared" si="6"/>
        <v>74</v>
      </c>
      <c r="D85" s="4">
        <f t="shared" si="0"/>
        <v>8</v>
      </c>
      <c r="E85" s="4" t="s">
        <v>27</v>
      </c>
      <c r="F85" s="4">
        <f t="shared" si="1"/>
        <v>800</v>
      </c>
      <c r="G85" s="5">
        <f t="shared" si="7"/>
        <v>1.01</v>
      </c>
      <c r="H85" s="6" t="str">
        <f t="shared" si="2"/>
        <v>INSERT INTO public.coupon (plancode, age, "year", couponrate, benefittype, benefitrate, premiumrate) VALUES('EN60', 0, 74, 8, 'A',800, 1.01);</v>
      </c>
      <c r="I85" s="6" t="str">
        <f t="shared" si="3"/>
        <v>{"age":"0", "year":"74", "couponrate":"8", "benefittype":"A", "benefitrate":"800", "premiumrate":"1.01"}</v>
      </c>
      <c r="J85" s="6" t="str">
        <f t="shared" si="4"/>
        <v>,</v>
      </c>
    </row>
    <row r="86" spans="1:10">
      <c r="A86" s="4" t="str">
        <f>'EN60'!A$3</f>
        <v>EN60</v>
      </c>
      <c r="B86" s="4">
        <f t="shared" si="5"/>
        <v>0</v>
      </c>
      <c r="C86" s="4">
        <f t="shared" si="6"/>
        <v>75</v>
      </c>
      <c r="D86" s="4">
        <f t="shared" si="0"/>
        <v>8</v>
      </c>
      <c r="E86" s="4" t="s">
        <v>27</v>
      </c>
      <c r="F86" s="4">
        <f t="shared" si="1"/>
        <v>800</v>
      </c>
      <c r="G86" s="5">
        <f t="shared" si="7"/>
        <v>1.01</v>
      </c>
      <c r="H86" s="6" t="str">
        <f t="shared" si="2"/>
        <v>INSERT INTO public.coupon (plancode, age, "year", couponrate, benefittype, benefitrate, premiumrate) VALUES('EN60', 0, 75, 8, 'A',800, 1.01);</v>
      </c>
      <c r="I86" s="6" t="str">
        <f t="shared" si="3"/>
        <v>{"age":"0", "year":"75", "couponrate":"8", "benefittype":"A", "benefitrate":"800", "premiumrate":"1.01"}</v>
      </c>
      <c r="J86" s="6" t="str">
        <f t="shared" si="4"/>
        <v>,</v>
      </c>
    </row>
    <row r="87" spans="1:10">
      <c r="A87" s="4" t="str">
        <f>'EN60'!A$3</f>
        <v>EN60</v>
      </c>
      <c r="B87" s="4">
        <f t="shared" si="5"/>
        <v>0</v>
      </c>
      <c r="C87" s="4">
        <f t="shared" si="6"/>
        <v>76</v>
      </c>
      <c r="D87" s="4">
        <f t="shared" si="0"/>
        <v>8</v>
      </c>
      <c r="E87" s="4" t="s">
        <v>27</v>
      </c>
      <c r="F87" s="4">
        <f t="shared" si="1"/>
        <v>800</v>
      </c>
      <c r="G87" s="5">
        <f t="shared" si="7"/>
        <v>1.01</v>
      </c>
      <c r="H87" s="6" t="str">
        <f t="shared" si="2"/>
        <v>INSERT INTO public.coupon (plancode, age, "year", couponrate, benefittype, benefitrate, premiumrate) VALUES('EN60', 0, 76, 8, 'A',800, 1.01);</v>
      </c>
      <c r="I87" s="6" t="str">
        <f t="shared" si="3"/>
        <v>{"age":"0", "year":"76", "couponrate":"8", "benefittype":"A", "benefitrate":"800", "premiumrate":"1.01"}</v>
      </c>
      <c r="J87" s="6" t="str">
        <f t="shared" si="4"/>
        <v>,</v>
      </c>
    </row>
    <row r="88" spans="1:10">
      <c r="A88" s="4" t="str">
        <f>'EN60'!A$3</f>
        <v>EN60</v>
      </c>
      <c r="B88" s="4">
        <f t="shared" si="5"/>
        <v>0</v>
      </c>
      <c r="C88" s="4">
        <f t="shared" si="6"/>
        <v>77</v>
      </c>
      <c r="D88" s="4">
        <f t="shared" si="0"/>
        <v>8</v>
      </c>
      <c r="E88" s="4" t="s">
        <v>27</v>
      </c>
      <c r="F88" s="4">
        <f t="shared" si="1"/>
        <v>800</v>
      </c>
      <c r="G88" s="5">
        <f t="shared" si="7"/>
        <v>1.01</v>
      </c>
      <c r="H88" s="6" t="str">
        <f t="shared" si="2"/>
        <v>INSERT INTO public.coupon (plancode, age, "year", couponrate, benefittype, benefitrate, premiumrate) VALUES('EN60', 0, 77, 8, 'A',800, 1.01);</v>
      </c>
      <c r="I88" s="6" t="str">
        <f t="shared" si="3"/>
        <v>{"age":"0", "year":"77", "couponrate":"8", "benefittype":"A", "benefitrate":"800", "premiumrate":"1.01"}</v>
      </c>
      <c r="J88" s="6" t="str">
        <f t="shared" si="4"/>
        <v>,</v>
      </c>
    </row>
    <row r="89" spans="1:10">
      <c r="A89" s="4" t="str">
        <f>'EN60'!A$3</f>
        <v>EN60</v>
      </c>
      <c r="B89" s="4">
        <f t="shared" si="5"/>
        <v>0</v>
      </c>
      <c r="C89" s="4">
        <f t="shared" si="6"/>
        <v>78</v>
      </c>
      <c r="D89" s="4">
        <f t="shared" si="0"/>
        <v>8</v>
      </c>
      <c r="E89" s="4" t="s">
        <v>27</v>
      </c>
      <c r="F89" s="4">
        <f t="shared" si="1"/>
        <v>800</v>
      </c>
      <c r="G89" s="5">
        <f t="shared" si="7"/>
        <v>1.01</v>
      </c>
      <c r="H89" s="6" t="str">
        <f t="shared" si="2"/>
        <v>INSERT INTO public.coupon (plancode, age, "year", couponrate, benefittype, benefitrate, premiumrate) VALUES('EN60', 0, 78, 8, 'A',800, 1.01);</v>
      </c>
      <c r="I89" s="6" t="str">
        <f t="shared" si="3"/>
        <v>{"age":"0", "year":"78", "couponrate":"8", "benefittype":"A", "benefitrate":"800", "premiumrate":"1.01"}</v>
      </c>
      <c r="J89" s="6" t="str">
        <f t="shared" si="4"/>
        <v>,</v>
      </c>
    </row>
    <row r="90" spans="1:10">
      <c r="A90" s="4" t="str">
        <f>'EN60'!A$3</f>
        <v>EN60</v>
      </c>
      <c r="B90" s="4">
        <f t="shared" si="5"/>
        <v>0</v>
      </c>
      <c r="C90" s="4">
        <f t="shared" si="6"/>
        <v>79</v>
      </c>
      <c r="D90" s="4">
        <f t="shared" si="0"/>
        <v>8</v>
      </c>
      <c r="E90" s="4" t="s">
        <v>27</v>
      </c>
      <c r="F90" s="4">
        <f t="shared" si="1"/>
        <v>800</v>
      </c>
      <c r="G90" s="5">
        <f t="shared" si="7"/>
        <v>1.01</v>
      </c>
      <c r="H90" s="6" t="str">
        <f t="shared" si="2"/>
        <v>INSERT INTO public.coupon (plancode, age, "year", couponrate, benefittype, benefitrate, premiumrate) VALUES('EN60', 0, 79, 8, 'A',800, 1.01);</v>
      </c>
      <c r="I90" s="6" t="str">
        <f t="shared" si="3"/>
        <v>{"age":"0", "year":"79", "couponrate":"8", "benefittype":"A", "benefitrate":"800", "premiumrate":"1.01"}</v>
      </c>
      <c r="J90" s="6" t="str">
        <f t="shared" si="4"/>
        <v>,</v>
      </c>
    </row>
    <row r="91" spans="1:10">
      <c r="A91" s="4" t="str">
        <f>'EN60'!A$3</f>
        <v>EN60</v>
      </c>
      <c r="B91" s="4">
        <f t="shared" si="5"/>
        <v>0</v>
      </c>
      <c r="C91" s="4">
        <f t="shared" si="6"/>
        <v>80</v>
      </c>
      <c r="D91" s="4">
        <f t="shared" si="0"/>
        <v>0</v>
      </c>
      <c r="E91" s="4" t="s">
        <v>27</v>
      </c>
      <c r="F91" s="4">
        <f t="shared" si="1"/>
        <v>800</v>
      </c>
      <c r="G91" s="5">
        <f t="shared" si="7"/>
        <v>1.01</v>
      </c>
      <c r="H91" s="6" t="str">
        <f t="shared" si="2"/>
        <v>INSERT INTO public.coupon (plancode, age, "year", couponrate, benefittype, benefitrate, premiumrate) VALUES('EN60', 0, 80, 0, 'A',800, 1.01);</v>
      </c>
      <c r="I91" s="6" t="str">
        <f t="shared" si="3"/>
        <v>{"age":"0", "year":"80", "couponrate":"0", "benefittype":"A", "benefitrate":"800", "premiumrate":"1.01"}</v>
      </c>
      <c r="J91" s="6" t="str">
        <f t="shared" si="4"/>
        <v>,</v>
      </c>
    </row>
    <row r="92" spans="1:10">
      <c r="C92" s="6"/>
      <c r="I92" s="6" t="s">
        <v>28</v>
      </c>
    </row>
    <row r="93" spans="1:10">
      <c r="A93" s="3" t="s">
        <v>2</v>
      </c>
      <c r="B93" s="3" t="s">
        <v>23</v>
      </c>
      <c r="C93" s="3" t="s">
        <v>24</v>
      </c>
      <c r="D93" s="3" t="s">
        <v>25</v>
      </c>
      <c r="E93" s="3" t="s">
        <v>8</v>
      </c>
      <c r="F93" s="3" t="s">
        <v>26</v>
      </c>
      <c r="G93" s="3" t="s">
        <v>4</v>
      </c>
      <c r="I93" s="6" t="str">
        <f>"[{""plancode"":"""&amp;A94&amp;""",""returncash"":"""&amp;B$7&amp;""",""ytable"":"""&amp;C$7&amp;""",""maturerate"":"""&amp;B$3&amp;""",""maturepmrate"":"""&amp;C$3&amp;""",""coupon"":["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94" spans="1:10">
      <c r="A94" s="4" t="str">
        <f>'EN60'!A$3</f>
        <v>EN60</v>
      </c>
      <c r="B94" s="8">
        <v>1</v>
      </c>
      <c r="C94" s="4">
        <v>1</v>
      </c>
      <c r="D94" s="4">
        <f t="shared" ref="D94:D172" si="8">IF(C94+B94=80,0,8)</f>
        <v>8</v>
      </c>
      <c r="E94" s="4" t="s">
        <v>27</v>
      </c>
      <c r="F94" s="4">
        <f t="shared" ref="F94:F172" si="9">IF(C94&gt;7, 800, C94*100)</f>
        <v>100</v>
      </c>
      <c r="G94" s="5">
        <f>'EN60'!C$3</f>
        <v>1.01</v>
      </c>
      <c r="H94" s="6" t="str">
        <f t="shared" ref="H94:H172" si="10">"INSERT INTO public.coupon ("&amp;A$11&amp;", "&amp;B$11&amp;", """&amp;C$11&amp;""", "&amp;D$11&amp;", "&amp;E$11&amp;", "&amp;F$11&amp;", "&amp;G$11&amp;") VALUES('"&amp;A94&amp;"', "&amp;B94&amp;", "&amp;C94&amp;", "&amp;D94&amp;", '"&amp;E94&amp;"',"&amp;F94&amp;", "&amp;G94&amp;");"</f>
        <v>INSERT INTO public.coupon (plancode, age, "year", couponrate, benefittype, benefitrate, premiumrate) VALUES('EN60', 1, 1, 8, 'A',100, 1.01);</v>
      </c>
      <c r="I94" s="6" t="str">
        <f t="shared" ref="I94:I172" si="11">"{""age"":"""&amp;B94&amp;""", ""year"":"""&amp;C94&amp;""", ""couponrate"":"""&amp;D94&amp;""", ""benefittype"":"""&amp;E94&amp;""", ""benefitrate"":"""&amp;F94&amp;""", """&amp;G$11&amp;""":"""&amp;G94&amp;"""}"</f>
        <v>{"age":"1", "year":"1", "couponrate":"8", "benefittype":"A", "benefitrate":"100", "premiumrate":"1.01"}</v>
      </c>
      <c r="J94" s="6" t="str">
        <f t="shared" ref="J94:J171" si="12">IF(OR(I95="]", I94="[", I94="]"), "", ",")</f>
        <v>,</v>
      </c>
    </row>
    <row r="95" spans="1:10">
      <c r="A95" s="4" t="str">
        <f>'EN60'!A$3</f>
        <v>EN60</v>
      </c>
      <c r="B95" s="4">
        <f t="shared" ref="B95:B172" si="13">B94</f>
        <v>1</v>
      </c>
      <c r="C95" s="4">
        <f t="shared" ref="C95:C172" si="14">C94+1</f>
        <v>2</v>
      </c>
      <c r="D95" s="4">
        <f t="shared" si="8"/>
        <v>8</v>
      </c>
      <c r="E95" s="4" t="s">
        <v>27</v>
      </c>
      <c r="F95" s="4">
        <f t="shared" si="9"/>
        <v>200</v>
      </c>
      <c r="G95" s="5">
        <f t="shared" ref="G95:G172" si="15">G94</f>
        <v>1.01</v>
      </c>
      <c r="H95" s="6" t="str">
        <f t="shared" si="10"/>
        <v>INSERT INTO public.coupon (plancode, age, "year", couponrate, benefittype, benefitrate, premiumrate) VALUES('EN60', 1, 2, 8, 'A',200, 1.01);</v>
      </c>
      <c r="I95" s="6" t="str">
        <f t="shared" si="11"/>
        <v>{"age":"1", "year":"2", "couponrate":"8", "benefittype":"A", "benefitrate":"200", "premiumrate":"1.01"}</v>
      </c>
      <c r="J95" s="6" t="str">
        <f t="shared" si="12"/>
        <v>,</v>
      </c>
    </row>
    <row r="96" spans="1:10">
      <c r="A96" s="4" t="str">
        <f>'EN60'!A$3</f>
        <v>EN60</v>
      </c>
      <c r="B96" s="4">
        <f t="shared" si="13"/>
        <v>1</v>
      </c>
      <c r="C96" s="4">
        <f t="shared" si="14"/>
        <v>3</v>
      </c>
      <c r="D96" s="4">
        <f t="shared" si="8"/>
        <v>8</v>
      </c>
      <c r="E96" s="4" t="s">
        <v>27</v>
      </c>
      <c r="F96" s="4">
        <f t="shared" si="9"/>
        <v>300</v>
      </c>
      <c r="G96" s="5">
        <f t="shared" si="15"/>
        <v>1.01</v>
      </c>
      <c r="H96" s="6" t="str">
        <f t="shared" si="10"/>
        <v>INSERT INTO public.coupon (plancode, age, "year", couponrate, benefittype, benefitrate, premiumrate) VALUES('EN60', 1, 3, 8, 'A',300, 1.01);</v>
      </c>
      <c r="I96" s="6" t="str">
        <f t="shared" si="11"/>
        <v>{"age":"1", "year":"3", "couponrate":"8", "benefittype":"A", "benefitrate":"300", "premiumrate":"1.01"}</v>
      </c>
      <c r="J96" s="6" t="str">
        <f t="shared" si="12"/>
        <v>,</v>
      </c>
    </row>
    <row r="97" spans="1:10">
      <c r="A97" s="4" t="str">
        <f>'EN60'!A$3</f>
        <v>EN60</v>
      </c>
      <c r="B97" s="4">
        <f t="shared" si="13"/>
        <v>1</v>
      </c>
      <c r="C97" s="4">
        <f t="shared" si="14"/>
        <v>4</v>
      </c>
      <c r="D97" s="4">
        <f t="shared" si="8"/>
        <v>8</v>
      </c>
      <c r="E97" s="4" t="s">
        <v>27</v>
      </c>
      <c r="F97" s="4">
        <f t="shared" si="9"/>
        <v>400</v>
      </c>
      <c r="G97" s="5">
        <f t="shared" si="15"/>
        <v>1.01</v>
      </c>
      <c r="H97" s="6" t="str">
        <f t="shared" si="10"/>
        <v>INSERT INTO public.coupon (plancode, age, "year", couponrate, benefittype, benefitrate, premiumrate) VALUES('EN60', 1, 4, 8, 'A',400, 1.01);</v>
      </c>
      <c r="I97" s="6" t="str">
        <f t="shared" si="11"/>
        <v>{"age":"1", "year":"4", "couponrate":"8", "benefittype":"A", "benefitrate":"400", "premiumrate":"1.01"}</v>
      </c>
      <c r="J97" s="6" t="str">
        <f t="shared" si="12"/>
        <v>,</v>
      </c>
    </row>
    <row r="98" spans="1:10">
      <c r="A98" s="4" t="str">
        <f>'EN60'!A$3</f>
        <v>EN60</v>
      </c>
      <c r="B98" s="4">
        <f t="shared" si="13"/>
        <v>1</v>
      </c>
      <c r="C98" s="4">
        <f t="shared" si="14"/>
        <v>5</v>
      </c>
      <c r="D98" s="4">
        <f t="shared" si="8"/>
        <v>8</v>
      </c>
      <c r="E98" s="4" t="s">
        <v>27</v>
      </c>
      <c r="F98" s="4">
        <f t="shared" si="9"/>
        <v>500</v>
      </c>
      <c r="G98" s="5">
        <f t="shared" si="15"/>
        <v>1.01</v>
      </c>
      <c r="H98" s="6" t="str">
        <f t="shared" si="10"/>
        <v>INSERT INTO public.coupon (plancode, age, "year", couponrate, benefittype, benefitrate, premiumrate) VALUES('EN60', 1, 5, 8, 'A',500, 1.01);</v>
      </c>
      <c r="I98" s="6" t="str">
        <f t="shared" si="11"/>
        <v>{"age":"1", "year":"5", "couponrate":"8", "benefittype":"A", "benefitrate":"500", "premiumrate":"1.01"}</v>
      </c>
      <c r="J98" s="6" t="str">
        <f t="shared" si="12"/>
        <v>,</v>
      </c>
    </row>
    <row r="99" spans="1:10">
      <c r="A99" s="4" t="str">
        <f>'EN60'!A$3</f>
        <v>EN60</v>
      </c>
      <c r="B99" s="4">
        <f t="shared" si="13"/>
        <v>1</v>
      </c>
      <c r="C99" s="4">
        <f t="shared" si="14"/>
        <v>6</v>
      </c>
      <c r="D99" s="4">
        <f t="shared" si="8"/>
        <v>8</v>
      </c>
      <c r="E99" s="4" t="s">
        <v>27</v>
      </c>
      <c r="F99" s="4">
        <f t="shared" si="9"/>
        <v>600</v>
      </c>
      <c r="G99" s="5">
        <f t="shared" si="15"/>
        <v>1.01</v>
      </c>
      <c r="H99" s="6" t="str">
        <f t="shared" si="10"/>
        <v>INSERT INTO public.coupon (plancode, age, "year", couponrate, benefittype, benefitrate, premiumrate) VALUES('EN60', 1, 6, 8, 'A',600, 1.01);</v>
      </c>
      <c r="I99" s="6" t="str">
        <f t="shared" si="11"/>
        <v>{"age":"1", "year":"6", "couponrate":"8", "benefittype":"A", "benefitrate":"600", "premiumrate":"1.01"}</v>
      </c>
      <c r="J99" s="6" t="str">
        <f t="shared" si="12"/>
        <v>,</v>
      </c>
    </row>
    <row r="100" spans="1:10">
      <c r="A100" s="4" t="str">
        <f>'EN60'!A$3</f>
        <v>EN60</v>
      </c>
      <c r="B100" s="4">
        <f t="shared" si="13"/>
        <v>1</v>
      </c>
      <c r="C100" s="4">
        <f t="shared" si="14"/>
        <v>7</v>
      </c>
      <c r="D100" s="4">
        <f t="shared" si="8"/>
        <v>8</v>
      </c>
      <c r="E100" s="4" t="s">
        <v>27</v>
      </c>
      <c r="F100" s="4">
        <f t="shared" si="9"/>
        <v>700</v>
      </c>
      <c r="G100" s="5">
        <f t="shared" si="15"/>
        <v>1.01</v>
      </c>
      <c r="H100" s="6" t="str">
        <f t="shared" si="10"/>
        <v>INSERT INTO public.coupon (plancode, age, "year", couponrate, benefittype, benefitrate, premiumrate) VALUES('EN60', 1, 7, 8, 'A',700, 1.01);</v>
      </c>
      <c r="I100" s="6" t="str">
        <f t="shared" si="11"/>
        <v>{"age":"1", "year":"7", "couponrate":"8", "benefittype":"A", "benefitrate":"700", "premiumrate":"1.01"}</v>
      </c>
      <c r="J100" s="6" t="str">
        <f t="shared" si="12"/>
        <v>,</v>
      </c>
    </row>
    <row r="101" spans="1:10">
      <c r="A101" s="4" t="str">
        <f>'EN60'!A$3</f>
        <v>EN60</v>
      </c>
      <c r="B101" s="4">
        <f t="shared" si="13"/>
        <v>1</v>
      </c>
      <c r="C101" s="4">
        <f t="shared" si="14"/>
        <v>8</v>
      </c>
      <c r="D101" s="4">
        <f t="shared" si="8"/>
        <v>8</v>
      </c>
      <c r="E101" s="4" t="s">
        <v>27</v>
      </c>
      <c r="F101" s="4">
        <f t="shared" si="9"/>
        <v>800</v>
      </c>
      <c r="G101" s="5">
        <f t="shared" si="15"/>
        <v>1.01</v>
      </c>
      <c r="H101" s="6" t="str">
        <f t="shared" si="10"/>
        <v>INSERT INTO public.coupon (plancode, age, "year", couponrate, benefittype, benefitrate, premiumrate) VALUES('EN60', 1, 8, 8, 'A',800, 1.01);</v>
      </c>
      <c r="I101" s="6" t="str">
        <f t="shared" si="11"/>
        <v>{"age":"1", "year":"8", "couponrate":"8", "benefittype":"A", "benefitrate":"800", "premiumrate":"1.01"}</v>
      </c>
      <c r="J101" s="6" t="str">
        <f t="shared" si="12"/>
        <v>,</v>
      </c>
    </row>
    <row r="102" spans="1:10">
      <c r="A102" s="4" t="str">
        <f>'EN60'!A$3</f>
        <v>EN60</v>
      </c>
      <c r="B102" s="4">
        <f t="shared" si="13"/>
        <v>1</v>
      </c>
      <c r="C102" s="4">
        <f t="shared" si="14"/>
        <v>9</v>
      </c>
      <c r="D102" s="4">
        <f t="shared" si="8"/>
        <v>8</v>
      </c>
      <c r="E102" s="4" t="s">
        <v>27</v>
      </c>
      <c r="F102" s="4">
        <f t="shared" si="9"/>
        <v>800</v>
      </c>
      <c r="G102" s="5">
        <f t="shared" si="15"/>
        <v>1.01</v>
      </c>
      <c r="H102" s="6" t="str">
        <f t="shared" si="10"/>
        <v>INSERT INTO public.coupon (plancode, age, "year", couponrate, benefittype, benefitrate, premiumrate) VALUES('EN60', 1, 9, 8, 'A',800, 1.01);</v>
      </c>
      <c r="I102" s="6" t="str">
        <f t="shared" si="11"/>
        <v>{"age":"1", "year":"9", "couponrate":"8", "benefittype":"A", "benefitrate":"800", "premiumrate":"1.01"}</v>
      </c>
      <c r="J102" s="6" t="str">
        <f t="shared" si="12"/>
        <v>,</v>
      </c>
    </row>
    <row r="103" spans="1:10">
      <c r="A103" s="4" t="str">
        <f>'EN60'!A$3</f>
        <v>EN60</v>
      </c>
      <c r="B103" s="4">
        <f t="shared" si="13"/>
        <v>1</v>
      </c>
      <c r="C103" s="4">
        <f t="shared" si="14"/>
        <v>10</v>
      </c>
      <c r="D103" s="4">
        <f t="shared" si="8"/>
        <v>8</v>
      </c>
      <c r="E103" s="4" t="s">
        <v>27</v>
      </c>
      <c r="F103" s="4">
        <f t="shared" si="9"/>
        <v>800</v>
      </c>
      <c r="G103" s="5">
        <f t="shared" si="15"/>
        <v>1.01</v>
      </c>
      <c r="H103" s="6" t="str">
        <f t="shared" si="10"/>
        <v>INSERT INTO public.coupon (plancode, age, "year", couponrate, benefittype, benefitrate, premiumrate) VALUES('EN60', 1, 10, 8, 'A',800, 1.01);</v>
      </c>
      <c r="I103" s="6" t="str">
        <f t="shared" si="11"/>
        <v>{"age":"1", "year":"10", "couponrate":"8", "benefittype":"A", "benefitrate":"800", "premiumrate":"1.01"}</v>
      </c>
      <c r="J103" s="6" t="str">
        <f t="shared" si="12"/>
        <v>,</v>
      </c>
    </row>
    <row r="104" spans="1:10">
      <c r="A104" s="4" t="str">
        <f>'EN60'!A$3</f>
        <v>EN60</v>
      </c>
      <c r="B104" s="4">
        <f t="shared" si="13"/>
        <v>1</v>
      </c>
      <c r="C104" s="4">
        <f t="shared" si="14"/>
        <v>11</v>
      </c>
      <c r="D104" s="4">
        <f t="shared" si="8"/>
        <v>8</v>
      </c>
      <c r="E104" s="4" t="s">
        <v>27</v>
      </c>
      <c r="F104" s="4">
        <f t="shared" si="9"/>
        <v>800</v>
      </c>
      <c r="G104" s="5">
        <f t="shared" si="15"/>
        <v>1.01</v>
      </c>
      <c r="H104" s="6" t="str">
        <f t="shared" si="10"/>
        <v>INSERT INTO public.coupon (plancode, age, "year", couponrate, benefittype, benefitrate, premiumrate) VALUES('EN60', 1, 11, 8, 'A',800, 1.01);</v>
      </c>
      <c r="I104" s="6" t="str">
        <f t="shared" si="11"/>
        <v>{"age":"1", "year":"11", "couponrate":"8", "benefittype":"A", "benefitrate":"800", "premiumrate":"1.01"}</v>
      </c>
      <c r="J104" s="6" t="str">
        <f t="shared" si="12"/>
        <v>,</v>
      </c>
    </row>
    <row r="105" spans="1:10">
      <c r="A105" s="4" t="str">
        <f>'EN60'!A$3</f>
        <v>EN60</v>
      </c>
      <c r="B105" s="4">
        <f t="shared" si="13"/>
        <v>1</v>
      </c>
      <c r="C105" s="4">
        <f t="shared" si="14"/>
        <v>12</v>
      </c>
      <c r="D105" s="4">
        <f t="shared" si="8"/>
        <v>8</v>
      </c>
      <c r="E105" s="4" t="s">
        <v>27</v>
      </c>
      <c r="F105" s="4">
        <f t="shared" si="9"/>
        <v>800</v>
      </c>
      <c r="G105" s="5">
        <f t="shared" si="15"/>
        <v>1.01</v>
      </c>
      <c r="H105" s="6" t="str">
        <f t="shared" si="10"/>
        <v>INSERT INTO public.coupon (plancode, age, "year", couponrate, benefittype, benefitrate, premiumrate) VALUES('EN60', 1, 12, 8, 'A',800, 1.01);</v>
      </c>
      <c r="I105" s="6" t="str">
        <f t="shared" si="11"/>
        <v>{"age":"1", "year":"12", "couponrate":"8", "benefittype":"A", "benefitrate":"800", "premiumrate":"1.01"}</v>
      </c>
      <c r="J105" s="6" t="str">
        <f t="shared" si="12"/>
        <v>,</v>
      </c>
    </row>
    <row r="106" spans="1:10">
      <c r="A106" s="4" t="str">
        <f>'EN60'!A$3</f>
        <v>EN60</v>
      </c>
      <c r="B106" s="4">
        <f t="shared" si="13"/>
        <v>1</v>
      </c>
      <c r="C106" s="4">
        <f t="shared" si="14"/>
        <v>13</v>
      </c>
      <c r="D106" s="4">
        <f t="shared" si="8"/>
        <v>8</v>
      </c>
      <c r="E106" s="4" t="s">
        <v>27</v>
      </c>
      <c r="F106" s="4">
        <f t="shared" si="9"/>
        <v>800</v>
      </c>
      <c r="G106" s="5">
        <f t="shared" si="15"/>
        <v>1.01</v>
      </c>
      <c r="H106" s="6" t="str">
        <f t="shared" si="10"/>
        <v>INSERT INTO public.coupon (plancode, age, "year", couponrate, benefittype, benefitrate, premiumrate) VALUES('EN60', 1, 13, 8, 'A',800, 1.01);</v>
      </c>
      <c r="I106" s="6" t="str">
        <f t="shared" si="11"/>
        <v>{"age":"1", "year":"13", "couponrate":"8", "benefittype":"A", "benefitrate":"800", "premiumrate":"1.01"}</v>
      </c>
      <c r="J106" s="6" t="str">
        <f t="shared" si="12"/>
        <v>,</v>
      </c>
    </row>
    <row r="107" spans="1:10">
      <c r="A107" s="4" t="str">
        <f>'EN60'!A$3</f>
        <v>EN60</v>
      </c>
      <c r="B107" s="4">
        <f t="shared" si="13"/>
        <v>1</v>
      </c>
      <c r="C107" s="4">
        <f t="shared" si="14"/>
        <v>14</v>
      </c>
      <c r="D107" s="4">
        <f t="shared" si="8"/>
        <v>8</v>
      </c>
      <c r="E107" s="4" t="s">
        <v>27</v>
      </c>
      <c r="F107" s="4">
        <f t="shared" si="9"/>
        <v>800</v>
      </c>
      <c r="G107" s="5">
        <f t="shared" si="15"/>
        <v>1.01</v>
      </c>
      <c r="H107" s="6" t="str">
        <f t="shared" si="10"/>
        <v>INSERT INTO public.coupon (plancode, age, "year", couponrate, benefittype, benefitrate, premiumrate) VALUES('EN60', 1, 14, 8, 'A',800, 1.01);</v>
      </c>
      <c r="I107" s="6" t="str">
        <f t="shared" si="11"/>
        <v>{"age":"1", "year":"14", "couponrate":"8", "benefittype":"A", "benefitrate":"800", "premiumrate":"1.01"}</v>
      </c>
      <c r="J107" s="6" t="str">
        <f t="shared" si="12"/>
        <v>,</v>
      </c>
    </row>
    <row r="108" spans="1:10">
      <c r="A108" s="4" t="str">
        <f>'EN60'!A$3</f>
        <v>EN60</v>
      </c>
      <c r="B108" s="4">
        <f t="shared" si="13"/>
        <v>1</v>
      </c>
      <c r="C108" s="4">
        <f t="shared" si="14"/>
        <v>15</v>
      </c>
      <c r="D108" s="4">
        <f t="shared" si="8"/>
        <v>8</v>
      </c>
      <c r="E108" s="4" t="s">
        <v>27</v>
      </c>
      <c r="F108" s="4">
        <f t="shared" si="9"/>
        <v>800</v>
      </c>
      <c r="G108" s="5">
        <f t="shared" si="15"/>
        <v>1.01</v>
      </c>
      <c r="H108" s="6" t="str">
        <f t="shared" si="10"/>
        <v>INSERT INTO public.coupon (plancode, age, "year", couponrate, benefittype, benefitrate, premiumrate) VALUES('EN60', 1, 15, 8, 'A',800, 1.01);</v>
      </c>
      <c r="I108" s="6" t="str">
        <f t="shared" si="11"/>
        <v>{"age":"1", "year":"15", "couponrate":"8", "benefittype":"A", "benefitrate":"800", "premiumrate":"1.01"}</v>
      </c>
      <c r="J108" s="6" t="str">
        <f t="shared" si="12"/>
        <v>,</v>
      </c>
    </row>
    <row r="109" spans="1:10">
      <c r="A109" s="4" t="str">
        <f>'EN60'!A$3</f>
        <v>EN60</v>
      </c>
      <c r="B109" s="4">
        <f t="shared" si="13"/>
        <v>1</v>
      </c>
      <c r="C109" s="4">
        <f t="shared" si="14"/>
        <v>16</v>
      </c>
      <c r="D109" s="4">
        <f t="shared" si="8"/>
        <v>8</v>
      </c>
      <c r="E109" s="4" t="s">
        <v>27</v>
      </c>
      <c r="F109" s="4">
        <f t="shared" si="9"/>
        <v>800</v>
      </c>
      <c r="G109" s="5">
        <f t="shared" si="15"/>
        <v>1.01</v>
      </c>
      <c r="H109" s="6" t="str">
        <f t="shared" si="10"/>
        <v>INSERT INTO public.coupon (plancode, age, "year", couponrate, benefittype, benefitrate, premiumrate) VALUES('EN60', 1, 16, 8, 'A',800, 1.01);</v>
      </c>
      <c r="I109" s="6" t="str">
        <f t="shared" si="11"/>
        <v>{"age":"1", "year":"16", "couponrate":"8", "benefittype":"A", "benefitrate":"800", "premiumrate":"1.01"}</v>
      </c>
      <c r="J109" s="6" t="str">
        <f t="shared" si="12"/>
        <v>,</v>
      </c>
    </row>
    <row r="110" spans="1:10">
      <c r="A110" s="4" t="str">
        <f>'EN60'!A$3</f>
        <v>EN60</v>
      </c>
      <c r="B110" s="4">
        <f t="shared" si="13"/>
        <v>1</v>
      </c>
      <c r="C110" s="4">
        <f t="shared" si="14"/>
        <v>17</v>
      </c>
      <c r="D110" s="4">
        <f t="shared" si="8"/>
        <v>8</v>
      </c>
      <c r="E110" s="4" t="s">
        <v>27</v>
      </c>
      <c r="F110" s="4">
        <f t="shared" si="9"/>
        <v>800</v>
      </c>
      <c r="G110" s="5">
        <f t="shared" si="15"/>
        <v>1.01</v>
      </c>
      <c r="H110" s="6" t="str">
        <f t="shared" si="10"/>
        <v>INSERT INTO public.coupon (plancode, age, "year", couponrate, benefittype, benefitrate, premiumrate) VALUES('EN60', 1, 17, 8, 'A',800, 1.01);</v>
      </c>
      <c r="I110" s="6" t="str">
        <f t="shared" si="11"/>
        <v>{"age":"1", "year":"17", "couponrate":"8", "benefittype":"A", "benefitrate":"800", "premiumrate":"1.01"}</v>
      </c>
      <c r="J110" s="6" t="str">
        <f t="shared" si="12"/>
        <v>,</v>
      </c>
    </row>
    <row r="111" spans="1:10">
      <c r="A111" s="4" t="str">
        <f>'EN60'!A$3</f>
        <v>EN60</v>
      </c>
      <c r="B111" s="4">
        <f t="shared" si="13"/>
        <v>1</v>
      </c>
      <c r="C111" s="4">
        <f t="shared" si="14"/>
        <v>18</v>
      </c>
      <c r="D111" s="4">
        <f t="shared" si="8"/>
        <v>8</v>
      </c>
      <c r="E111" s="4" t="s">
        <v>27</v>
      </c>
      <c r="F111" s="4">
        <f t="shared" si="9"/>
        <v>800</v>
      </c>
      <c r="G111" s="5">
        <f t="shared" si="15"/>
        <v>1.01</v>
      </c>
      <c r="H111" s="6" t="str">
        <f t="shared" si="10"/>
        <v>INSERT INTO public.coupon (plancode, age, "year", couponrate, benefittype, benefitrate, premiumrate) VALUES('EN60', 1, 18, 8, 'A',800, 1.01);</v>
      </c>
      <c r="I111" s="6" t="str">
        <f t="shared" si="11"/>
        <v>{"age":"1", "year":"18", "couponrate":"8", "benefittype":"A", "benefitrate":"800", "premiumrate":"1.01"}</v>
      </c>
      <c r="J111" s="6" t="str">
        <f t="shared" si="12"/>
        <v>,</v>
      </c>
    </row>
    <row r="112" spans="1:10">
      <c r="A112" s="4" t="str">
        <f>'EN60'!A$3</f>
        <v>EN60</v>
      </c>
      <c r="B112" s="4">
        <f t="shared" si="13"/>
        <v>1</v>
      </c>
      <c r="C112" s="4">
        <f t="shared" si="14"/>
        <v>19</v>
      </c>
      <c r="D112" s="4">
        <f t="shared" si="8"/>
        <v>8</v>
      </c>
      <c r="E112" s="4" t="s">
        <v>27</v>
      </c>
      <c r="F112" s="4">
        <f t="shared" si="9"/>
        <v>800</v>
      </c>
      <c r="G112" s="5">
        <f t="shared" si="15"/>
        <v>1.01</v>
      </c>
      <c r="H112" s="6" t="str">
        <f t="shared" si="10"/>
        <v>INSERT INTO public.coupon (plancode, age, "year", couponrate, benefittype, benefitrate, premiumrate) VALUES('EN60', 1, 19, 8, 'A',800, 1.01);</v>
      </c>
      <c r="I112" s="6" t="str">
        <f t="shared" si="11"/>
        <v>{"age":"1", "year":"19", "couponrate":"8", "benefittype":"A", "benefitrate":"800", "premiumrate":"1.01"}</v>
      </c>
      <c r="J112" s="6" t="str">
        <f t="shared" si="12"/>
        <v>,</v>
      </c>
    </row>
    <row r="113" spans="1:10">
      <c r="A113" s="4" t="str">
        <f>'EN60'!A$3</f>
        <v>EN60</v>
      </c>
      <c r="B113" s="4">
        <f t="shared" si="13"/>
        <v>1</v>
      </c>
      <c r="C113" s="4">
        <f t="shared" si="14"/>
        <v>20</v>
      </c>
      <c r="D113" s="4">
        <f t="shared" si="8"/>
        <v>8</v>
      </c>
      <c r="E113" s="4" t="s">
        <v>27</v>
      </c>
      <c r="F113" s="4">
        <f t="shared" si="9"/>
        <v>800</v>
      </c>
      <c r="G113" s="5">
        <f t="shared" si="15"/>
        <v>1.01</v>
      </c>
      <c r="H113" s="6" t="str">
        <f t="shared" si="10"/>
        <v>INSERT INTO public.coupon (plancode, age, "year", couponrate, benefittype, benefitrate, premiumrate) VALUES('EN60', 1, 20, 8, 'A',800, 1.01);</v>
      </c>
      <c r="I113" s="6" t="str">
        <f t="shared" si="11"/>
        <v>{"age":"1", "year":"20", "couponrate":"8", "benefittype":"A", "benefitrate":"800", "premiumrate":"1.01"}</v>
      </c>
      <c r="J113" s="6" t="str">
        <f t="shared" si="12"/>
        <v>,</v>
      </c>
    </row>
    <row r="114" spans="1:10">
      <c r="A114" s="4" t="str">
        <f>'EN60'!A$3</f>
        <v>EN60</v>
      </c>
      <c r="B114" s="4">
        <f t="shared" si="13"/>
        <v>1</v>
      </c>
      <c r="C114" s="4">
        <f t="shared" si="14"/>
        <v>21</v>
      </c>
      <c r="D114" s="4">
        <f t="shared" si="8"/>
        <v>8</v>
      </c>
      <c r="E114" s="4" t="s">
        <v>27</v>
      </c>
      <c r="F114" s="4">
        <f t="shared" si="9"/>
        <v>800</v>
      </c>
      <c r="G114" s="5">
        <f t="shared" si="15"/>
        <v>1.01</v>
      </c>
      <c r="H114" s="6" t="str">
        <f t="shared" si="10"/>
        <v>INSERT INTO public.coupon (plancode, age, "year", couponrate, benefittype, benefitrate, premiumrate) VALUES('EN60', 1, 21, 8, 'A',800, 1.01);</v>
      </c>
      <c r="I114" s="6" t="str">
        <f t="shared" si="11"/>
        <v>{"age":"1", "year":"21", "couponrate":"8", "benefittype":"A", "benefitrate":"800", "premiumrate":"1.01"}</v>
      </c>
      <c r="J114" s="6" t="str">
        <f t="shared" si="12"/>
        <v>,</v>
      </c>
    </row>
    <row r="115" spans="1:10">
      <c r="A115" s="4" t="str">
        <f>'EN60'!A$3</f>
        <v>EN60</v>
      </c>
      <c r="B115" s="4">
        <f t="shared" si="13"/>
        <v>1</v>
      </c>
      <c r="C115" s="4">
        <f t="shared" si="14"/>
        <v>22</v>
      </c>
      <c r="D115" s="4">
        <f t="shared" si="8"/>
        <v>8</v>
      </c>
      <c r="E115" s="4" t="s">
        <v>27</v>
      </c>
      <c r="F115" s="4">
        <f t="shared" si="9"/>
        <v>800</v>
      </c>
      <c r="G115" s="5">
        <f t="shared" si="15"/>
        <v>1.01</v>
      </c>
      <c r="H115" s="6" t="str">
        <f t="shared" si="10"/>
        <v>INSERT INTO public.coupon (plancode, age, "year", couponrate, benefittype, benefitrate, premiumrate) VALUES('EN60', 1, 22, 8, 'A',800, 1.01);</v>
      </c>
      <c r="I115" s="6" t="str">
        <f t="shared" si="11"/>
        <v>{"age":"1", "year":"22", "couponrate":"8", "benefittype":"A", "benefitrate":"800", "premiumrate":"1.01"}</v>
      </c>
      <c r="J115" s="6" t="str">
        <f t="shared" si="12"/>
        <v>,</v>
      </c>
    </row>
    <row r="116" spans="1:10">
      <c r="A116" s="4" t="str">
        <f>'EN60'!A$3</f>
        <v>EN60</v>
      </c>
      <c r="B116" s="4">
        <f t="shared" si="13"/>
        <v>1</v>
      </c>
      <c r="C116" s="4">
        <f t="shared" si="14"/>
        <v>23</v>
      </c>
      <c r="D116" s="4">
        <f t="shared" si="8"/>
        <v>8</v>
      </c>
      <c r="E116" s="4" t="s">
        <v>27</v>
      </c>
      <c r="F116" s="4">
        <f t="shared" si="9"/>
        <v>800</v>
      </c>
      <c r="G116" s="5">
        <f t="shared" si="15"/>
        <v>1.01</v>
      </c>
      <c r="H116" s="6" t="str">
        <f t="shared" si="10"/>
        <v>INSERT INTO public.coupon (plancode, age, "year", couponrate, benefittype, benefitrate, premiumrate) VALUES('EN60', 1, 23, 8, 'A',800, 1.01);</v>
      </c>
      <c r="I116" s="6" t="str">
        <f t="shared" si="11"/>
        <v>{"age":"1", "year":"23", "couponrate":"8", "benefittype":"A", "benefitrate":"800", "premiumrate":"1.01"}</v>
      </c>
      <c r="J116" s="6" t="str">
        <f t="shared" si="12"/>
        <v>,</v>
      </c>
    </row>
    <row r="117" spans="1:10">
      <c r="A117" s="4" t="str">
        <f>'EN60'!A$3</f>
        <v>EN60</v>
      </c>
      <c r="B117" s="4">
        <f t="shared" si="13"/>
        <v>1</v>
      </c>
      <c r="C117" s="4">
        <f t="shared" si="14"/>
        <v>24</v>
      </c>
      <c r="D117" s="4">
        <f t="shared" si="8"/>
        <v>8</v>
      </c>
      <c r="E117" s="4" t="s">
        <v>27</v>
      </c>
      <c r="F117" s="4">
        <f t="shared" si="9"/>
        <v>800</v>
      </c>
      <c r="G117" s="5">
        <f t="shared" si="15"/>
        <v>1.01</v>
      </c>
      <c r="H117" s="6" t="str">
        <f t="shared" si="10"/>
        <v>INSERT INTO public.coupon (plancode, age, "year", couponrate, benefittype, benefitrate, premiumrate) VALUES('EN60', 1, 24, 8, 'A',800, 1.01);</v>
      </c>
      <c r="I117" s="6" t="str">
        <f t="shared" si="11"/>
        <v>{"age":"1", "year":"24", "couponrate":"8", "benefittype":"A", "benefitrate":"800", "premiumrate":"1.01"}</v>
      </c>
      <c r="J117" s="6" t="str">
        <f t="shared" si="12"/>
        <v>,</v>
      </c>
    </row>
    <row r="118" spans="1:10">
      <c r="A118" s="4" t="str">
        <f>'EN60'!A$3</f>
        <v>EN60</v>
      </c>
      <c r="B118" s="4">
        <f t="shared" si="13"/>
        <v>1</v>
      </c>
      <c r="C118" s="4">
        <f t="shared" si="14"/>
        <v>25</v>
      </c>
      <c r="D118" s="4">
        <f t="shared" si="8"/>
        <v>8</v>
      </c>
      <c r="E118" s="4" t="s">
        <v>27</v>
      </c>
      <c r="F118" s="4">
        <f t="shared" si="9"/>
        <v>800</v>
      </c>
      <c r="G118" s="5">
        <f t="shared" si="15"/>
        <v>1.01</v>
      </c>
      <c r="H118" s="6" t="str">
        <f t="shared" si="10"/>
        <v>INSERT INTO public.coupon (plancode, age, "year", couponrate, benefittype, benefitrate, premiumrate) VALUES('EN60', 1, 25, 8, 'A',800, 1.01);</v>
      </c>
      <c r="I118" s="6" t="str">
        <f t="shared" si="11"/>
        <v>{"age":"1", "year":"25", "couponrate":"8", "benefittype":"A", "benefitrate":"800", "premiumrate":"1.01"}</v>
      </c>
      <c r="J118" s="6" t="str">
        <f t="shared" si="12"/>
        <v>,</v>
      </c>
    </row>
    <row r="119" spans="1:10">
      <c r="A119" s="4" t="str">
        <f>'EN60'!A$3</f>
        <v>EN60</v>
      </c>
      <c r="B119" s="4">
        <f t="shared" si="13"/>
        <v>1</v>
      </c>
      <c r="C119" s="4">
        <f t="shared" si="14"/>
        <v>26</v>
      </c>
      <c r="D119" s="4">
        <f t="shared" si="8"/>
        <v>8</v>
      </c>
      <c r="E119" s="4" t="s">
        <v>27</v>
      </c>
      <c r="F119" s="4">
        <f t="shared" si="9"/>
        <v>800</v>
      </c>
      <c r="G119" s="5">
        <f t="shared" si="15"/>
        <v>1.01</v>
      </c>
      <c r="H119" s="6" t="str">
        <f t="shared" si="10"/>
        <v>INSERT INTO public.coupon (plancode, age, "year", couponrate, benefittype, benefitrate, premiumrate) VALUES('EN60', 1, 26, 8, 'A',800, 1.01);</v>
      </c>
      <c r="I119" s="6" t="str">
        <f t="shared" si="11"/>
        <v>{"age":"1", "year":"26", "couponrate":"8", "benefittype":"A", "benefitrate":"800", "premiumrate":"1.01"}</v>
      </c>
      <c r="J119" s="6" t="str">
        <f t="shared" si="12"/>
        <v>,</v>
      </c>
    </row>
    <row r="120" spans="1:10">
      <c r="A120" s="4" t="str">
        <f>'EN60'!A$3</f>
        <v>EN60</v>
      </c>
      <c r="B120" s="4">
        <f t="shared" si="13"/>
        <v>1</v>
      </c>
      <c r="C120" s="4">
        <f t="shared" si="14"/>
        <v>27</v>
      </c>
      <c r="D120" s="4">
        <f t="shared" si="8"/>
        <v>8</v>
      </c>
      <c r="E120" s="4" t="s">
        <v>27</v>
      </c>
      <c r="F120" s="4">
        <f t="shared" si="9"/>
        <v>800</v>
      </c>
      <c r="G120" s="5">
        <f t="shared" si="15"/>
        <v>1.01</v>
      </c>
      <c r="H120" s="6" t="str">
        <f t="shared" si="10"/>
        <v>INSERT INTO public.coupon (plancode, age, "year", couponrate, benefittype, benefitrate, premiumrate) VALUES('EN60', 1, 27, 8, 'A',800, 1.01);</v>
      </c>
      <c r="I120" s="6" t="str">
        <f t="shared" si="11"/>
        <v>{"age":"1", "year":"27", "couponrate":"8", "benefittype":"A", "benefitrate":"800", "premiumrate":"1.01"}</v>
      </c>
      <c r="J120" s="6" t="str">
        <f t="shared" si="12"/>
        <v>,</v>
      </c>
    </row>
    <row r="121" spans="1:10">
      <c r="A121" s="4" t="str">
        <f>'EN60'!A$3</f>
        <v>EN60</v>
      </c>
      <c r="B121" s="4">
        <f t="shared" si="13"/>
        <v>1</v>
      </c>
      <c r="C121" s="4">
        <f t="shared" si="14"/>
        <v>28</v>
      </c>
      <c r="D121" s="4">
        <f t="shared" si="8"/>
        <v>8</v>
      </c>
      <c r="E121" s="4" t="s">
        <v>27</v>
      </c>
      <c r="F121" s="4">
        <f t="shared" si="9"/>
        <v>800</v>
      </c>
      <c r="G121" s="5">
        <f t="shared" si="15"/>
        <v>1.01</v>
      </c>
      <c r="H121" s="6" t="str">
        <f t="shared" si="10"/>
        <v>INSERT INTO public.coupon (plancode, age, "year", couponrate, benefittype, benefitrate, premiumrate) VALUES('EN60', 1, 28, 8, 'A',800, 1.01);</v>
      </c>
      <c r="I121" s="6" t="str">
        <f t="shared" si="11"/>
        <v>{"age":"1", "year":"28", "couponrate":"8", "benefittype":"A", "benefitrate":"800", "premiumrate":"1.01"}</v>
      </c>
      <c r="J121" s="6" t="str">
        <f t="shared" si="12"/>
        <v>,</v>
      </c>
    </row>
    <row r="122" spans="1:10">
      <c r="A122" s="4" t="str">
        <f>'EN60'!A$3</f>
        <v>EN60</v>
      </c>
      <c r="B122" s="4">
        <f t="shared" si="13"/>
        <v>1</v>
      </c>
      <c r="C122" s="4">
        <f t="shared" si="14"/>
        <v>29</v>
      </c>
      <c r="D122" s="4">
        <f t="shared" si="8"/>
        <v>8</v>
      </c>
      <c r="E122" s="4" t="s">
        <v>27</v>
      </c>
      <c r="F122" s="4">
        <f t="shared" si="9"/>
        <v>800</v>
      </c>
      <c r="G122" s="5">
        <f t="shared" si="15"/>
        <v>1.01</v>
      </c>
      <c r="H122" s="6" t="str">
        <f t="shared" si="10"/>
        <v>INSERT INTO public.coupon (plancode, age, "year", couponrate, benefittype, benefitrate, premiumrate) VALUES('EN60', 1, 29, 8, 'A',800, 1.01);</v>
      </c>
      <c r="I122" s="6" t="str">
        <f t="shared" si="11"/>
        <v>{"age":"1", "year":"29", "couponrate":"8", "benefittype":"A", "benefitrate":"800", "premiumrate":"1.01"}</v>
      </c>
      <c r="J122" s="6" t="str">
        <f t="shared" si="12"/>
        <v>,</v>
      </c>
    </row>
    <row r="123" spans="1:10">
      <c r="A123" s="4" t="str">
        <f>'EN60'!A$3</f>
        <v>EN60</v>
      </c>
      <c r="B123" s="4">
        <f t="shared" si="13"/>
        <v>1</v>
      </c>
      <c r="C123" s="4">
        <f t="shared" si="14"/>
        <v>30</v>
      </c>
      <c r="D123" s="4">
        <f t="shared" si="8"/>
        <v>8</v>
      </c>
      <c r="E123" s="4" t="s">
        <v>27</v>
      </c>
      <c r="F123" s="4">
        <f t="shared" si="9"/>
        <v>800</v>
      </c>
      <c r="G123" s="5">
        <f t="shared" si="15"/>
        <v>1.01</v>
      </c>
      <c r="H123" s="6" t="str">
        <f t="shared" si="10"/>
        <v>INSERT INTO public.coupon (plancode, age, "year", couponrate, benefittype, benefitrate, premiumrate) VALUES('EN60', 1, 30, 8, 'A',800, 1.01);</v>
      </c>
      <c r="I123" s="6" t="str">
        <f t="shared" si="11"/>
        <v>{"age":"1", "year":"30", "couponrate":"8", "benefittype":"A", "benefitrate":"800", "premiumrate":"1.01"}</v>
      </c>
      <c r="J123" s="6" t="str">
        <f t="shared" si="12"/>
        <v>,</v>
      </c>
    </row>
    <row r="124" spans="1:10">
      <c r="A124" s="4" t="str">
        <f>'EN60'!A$3</f>
        <v>EN60</v>
      </c>
      <c r="B124" s="4">
        <f t="shared" si="13"/>
        <v>1</v>
      </c>
      <c r="C124" s="4">
        <f t="shared" si="14"/>
        <v>31</v>
      </c>
      <c r="D124" s="4">
        <f t="shared" si="8"/>
        <v>8</v>
      </c>
      <c r="E124" s="4" t="s">
        <v>27</v>
      </c>
      <c r="F124" s="4">
        <f t="shared" si="9"/>
        <v>800</v>
      </c>
      <c r="G124" s="5">
        <f t="shared" si="15"/>
        <v>1.01</v>
      </c>
      <c r="H124" s="6" t="str">
        <f t="shared" si="10"/>
        <v>INSERT INTO public.coupon (plancode, age, "year", couponrate, benefittype, benefitrate, premiumrate) VALUES('EN60', 1, 31, 8, 'A',800, 1.01);</v>
      </c>
      <c r="I124" s="6" t="str">
        <f t="shared" si="11"/>
        <v>{"age":"1", "year":"31", "couponrate":"8", "benefittype":"A", "benefitrate":"800", "premiumrate":"1.01"}</v>
      </c>
      <c r="J124" s="6" t="str">
        <f t="shared" si="12"/>
        <v>,</v>
      </c>
    </row>
    <row r="125" spans="1:10">
      <c r="A125" s="4" t="str">
        <f>'EN60'!A$3</f>
        <v>EN60</v>
      </c>
      <c r="B125" s="4">
        <f t="shared" si="13"/>
        <v>1</v>
      </c>
      <c r="C125" s="4">
        <f t="shared" si="14"/>
        <v>32</v>
      </c>
      <c r="D125" s="4">
        <f t="shared" si="8"/>
        <v>8</v>
      </c>
      <c r="E125" s="4" t="s">
        <v>27</v>
      </c>
      <c r="F125" s="4">
        <f t="shared" si="9"/>
        <v>800</v>
      </c>
      <c r="G125" s="5">
        <f t="shared" si="15"/>
        <v>1.01</v>
      </c>
      <c r="H125" s="6" t="str">
        <f t="shared" si="10"/>
        <v>INSERT INTO public.coupon (plancode, age, "year", couponrate, benefittype, benefitrate, premiumrate) VALUES('EN60', 1, 32, 8, 'A',800, 1.01);</v>
      </c>
      <c r="I125" s="6" t="str">
        <f t="shared" si="11"/>
        <v>{"age":"1", "year":"32", "couponrate":"8", "benefittype":"A", "benefitrate":"800", "premiumrate":"1.01"}</v>
      </c>
      <c r="J125" s="6" t="str">
        <f t="shared" si="12"/>
        <v>,</v>
      </c>
    </row>
    <row r="126" spans="1:10">
      <c r="A126" s="4" t="str">
        <f>'EN60'!A$3</f>
        <v>EN60</v>
      </c>
      <c r="B126" s="4">
        <f t="shared" si="13"/>
        <v>1</v>
      </c>
      <c r="C126" s="4">
        <f t="shared" si="14"/>
        <v>33</v>
      </c>
      <c r="D126" s="4">
        <f t="shared" si="8"/>
        <v>8</v>
      </c>
      <c r="E126" s="4" t="s">
        <v>27</v>
      </c>
      <c r="F126" s="4">
        <f t="shared" si="9"/>
        <v>800</v>
      </c>
      <c r="G126" s="5">
        <f t="shared" si="15"/>
        <v>1.01</v>
      </c>
      <c r="H126" s="6" t="str">
        <f t="shared" si="10"/>
        <v>INSERT INTO public.coupon (plancode, age, "year", couponrate, benefittype, benefitrate, premiumrate) VALUES('EN60', 1, 33, 8, 'A',800, 1.01);</v>
      </c>
      <c r="I126" s="6" t="str">
        <f t="shared" si="11"/>
        <v>{"age":"1", "year":"33", "couponrate":"8", "benefittype":"A", "benefitrate":"800", "premiumrate":"1.01"}</v>
      </c>
      <c r="J126" s="6" t="str">
        <f t="shared" si="12"/>
        <v>,</v>
      </c>
    </row>
    <row r="127" spans="1:10">
      <c r="A127" s="4" t="str">
        <f>'EN60'!A$3</f>
        <v>EN60</v>
      </c>
      <c r="B127" s="4">
        <f t="shared" si="13"/>
        <v>1</v>
      </c>
      <c r="C127" s="4">
        <f t="shared" si="14"/>
        <v>34</v>
      </c>
      <c r="D127" s="4">
        <f t="shared" si="8"/>
        <v>8</v>
      </c>
      <c r="E127" s="4" t="s">
        <v>27</v>
      </c>
      <c r="F127" s="4">
        <f t="shared" si="9"/>
        <v>800</v>
      </c>
      <c r="G127" s="5">
        <f t="shared" si="15"/>
        <v>1.01</v>
      </c>
      <c r="H127" s="6" t="str">
        <f t="shared" si="10"/>
        <v>INSERT INTO public.coupon (plancode, age, "year", couponrate, benefittype, benefitrate, premiumrate) VALUES('EN60', 1, 34, 8, 'A',800, 1.01);</v>
      </c>
      <c r="I127" s="6" t="str">
        <f t="shared" si="11"/>
        <v>{"age":"1", "year":"34", "couponrate":"8", "benefittype":"A", "benefitrate":"800", "premiumrate":"1.01"}</v>
      </c>
      <c r="J127" s="6" t="str">
        <f t="shared" si="12"/>
        <v>,</v>
      </c>
    </row>
    <row r="128" spans="1:10">
      <c r="A128" s="4" t="str">
        <f>'EN60'!A$3</f>
        <v>EN60</v>
      </c>
      <c r="B128" s="4">
        <f t="shared" si="13"/>
        <v>1</v>
      </c>
      <c r="C128" s="4">
        <f t="shared" si="14"/>
        <v>35</v>
      </c>
      <c r="D128" s="4">
        <f t="shared" si="8"/>
        <v>8</v>
      </c>
      <c r="E128" s="4" t="s">
        <v>27</v>
      </c>
      <c r="F128" s="4">
        <f t="shared" si="9"/>
        <v>800</v>
      </c>
      <c r="G128" s="5">
        <f t="shared" si="15"/>
        <v>1.01</v>
      </c>
      <c r="H128" s="6" t="str">
        <f t="shared" si="10"/>
        <v>INSERT INTO public.coupon (plancode, age, "year", couponrate, benefittype, benefitrate, premiumrate) VALUES('EN60', 1, 35, 8, 'A',800, 1.01);</v>
      </c>
      <c r="I128" s="6" t="str">
        <f t="shared" si="11"/>
        <v>{"age":"1", "year":"35", "couponrate":"8", "benefittype":"A", "benefitrate":"800", "premiumrate":"1.01"}</v>
      </c>
      <c r="J128" s="6" t="str">
        <f t="shared" si="12"/>
        <v>,</v>
      </c>
    </row>
    <row r="129" spans="1:10">
      <c r="A129" s="4" t="str">
        <f>'EN60'!A$3</f>
        <v>EN60</v>
      </c>
      <c r="B129" s="4">
        <f t="shared" si="13"/>
        <v>1</v>
      </c>
      <c r="C129" s="4">
        <f t="shared" si="14"/>
        <v>36</v>
      </c>
      <c r="D129" s="4">
        <f t="shared" si="8"/>
        <v>8</v>
      </c>
      <c r="E129" s="4" t="s">
        <v>27</v>
      </c>
      <c r="F129" s="4">
        <f t="shared" si="9"/>
        <v>800</v>
      </c>
      <c r="G129" s="5">
        <f t="shared" si="15"/>
        <v>1.01</v>
      </c>
      <c r="H129" s="6" t="str">
        <f t="shared" si="10"/>
        <v>INSERT INTO public.coupon (plancode, age, "year", couponrate, benefittype, benefitrate, premiumrate) VALUES('EN60', 1, 36, 8, 'A',800, 1.01);</v>
      </c>
      <c r="I129" s="6" t="str">
        <f t="shared" si="11"/>
        <v>{"age":"1", "year":"36", "couponrate":"8", "benefittype":"A", "benefitrate":"800", "premiumrate":"1.01"}</v>
      </c>
      <c r="J129" s="6" t="str">
        <f t="shared" si="12"/>
        <v>,</v>
      </c>
    </row>
    <row r="130" spans="1:10">
      <c r="A130" s="4" t="str">
        <f>'EN60'!A$3</f>
        <v>EN60</v>
      </c>
      <c r="B130" s="4">
        <f t="shared" si="13"/>
        <v>1</v>
      </c>
      <c r="C130" s="4">
        <f t="shared" si="14"/>
        <v>37</v>
      </c>
      <c r="D130" s="4">
        <f t="shared" si="8"/>
        <v>8</v>
      </c>
      <c r="E130" s="4" t="s">
        <v>27</v>
      </c>
      <c r="F130" s="4">
        <f t="shared" si="9"/>
        <v>800</v>
      </c>
      <c r="G130" s="5">
        <f t="shared" si="15"/>
        <v>1.01</v>
      </c>
      <c r="H130" s="6" t="str">
        <f t="shared" si="10"/>
        <v>INSERT INTO public.coupon (plancode, age, "year", couponrate, benefittype, benefitrate, premiumrate) VALUES('EN60', 1, 37, 8, 'A',800, 1.01);</v>
      </c>
      <c r="I130" s="6" t="str">
        <f t="shared" si="11"/>
        <v>{"age":"1", "year":"37", "couponrate":"8", "benefittype":"A", "benefitrate":"800", "premiumrate":"1.01"}</v>
      </c>
      <c r="J130" s="6" t="str">
        <f t="shared" si="12"/>
        <v>,</v>
      </c>
    </row>
    <row r="131" spans="1:10">
      <c r="A131" s="4" t="str">
        <f>'EN60'!A$3</f>
        <v>EN60</v>
      </c>
      <c r="B131" s="4">
        <f t="shared" si="13"/>
        <v>1</v>
      </c>
      <c r="C131" s="4">
        <f t="shared" si="14"/>
        <v>38</v>
      </c>
      <c r="D131" s="4">
        <f t="shared" si="8"/>
        <v>8</v>
      </c>
      <c r="E131" s="4" t="s">
        <v>27</v>
      </c>
      <c r="F131" s="4">
        <f t="shared" si="9"/>
        <v>800</v>
      </c>
      <c r="G131" s="5">
        <f t="shared" si="15"/>
        <v>1.01</v>
      </c>
      <c r="H131" s="6" t="str">
        <f t="shared" si="10"/>
        <v>INSERT INTO public.coupon (plancode, age, "year", couponrate, benefittype, benefitrate, premiumrate) VALUES('EN60', 1, 38, 8, 'A',800, 1.01);</v>
      </c>
      <c r="I131" s="6" t="str">
        <f t="shared" si="11"/>
        <v>{"age":"1", "year":"38", "couponrate":"8", "benefittype":"A", "benefitrate":"800", "premiumrate":"1.01"}</v>
      </c>
      <c r="J131" s="6" t="str">
        <f t="shared" si="12"/>
        <v>,</v>
      </c>
    </row>
    <row r="132" spans="1:10">
      <c r="A132" s="4" t="str">
        <f>'EN60'!A$3</f>
        <v>EN60</v>
      </c>
      <c r="B132" s="4">
        <f t="shared" si="13"/>
        <v>1</v>
      </c>
      <c r="C132" s="4">
        <f t="shared" si="14"/>
        <v>39</v>
      </c>
      <c r="D132" s="4">
        <f t="shared" si="8"/>
        <v>8</v>
      </c>
      <c r="E132" s="4" t="s">
        <v>27</v>
      </c>
      <c r="F132" s="4">
        <f t="shared" si="9"/>
        <v>800</v>
      </c>
      <c r="G132" s="5">
        <f t="shared" si="15"/>
        <v>1.01</v>
      </c>
      <c r="H132" s="6" t="str">
        <f t="shared" si="10"/>
        <v>INSERT INTO public.coupon (plancode, age, "year", couponrate, benefittype, benefitrate, premiumrate) VALUES('EN60', 1, 39, 8, 'A',800, 1.01);</v>
      </c>
      <c r="I132" s="6" t="str">
        <f t="shared" si="11"/>
        <v>{"age":"1", "year":"39", "couponrate":"8", "benefittype":"A", "benefitrate":"800", "premiumrate":"1.01"}</v>
      </c>
      <c r="J132" s="6" t="str">
        <f t="shared" si="12"/>
        <v>,</v>
      </c>
    </row>
    <row r="133" spans="1:10">
      <c r="A133" s="4" t="str">
        <f>'EN60'!A$3</f>
        <v>EN60</v>
      </c>
      <c r="B133" s="4">
        <f t="shared" si="13"/>
        <v>1</v>
      </c>
      <c r="C133" s="4">
        <f t="shared" si="14"/>
        <v>40</v>
      </c>
      <c r="D133" s="4">
        <f t="shared" si="8"/>
        <v>8</v>
      </c>
      <c r="E133" s="4" t="s">
        <v>27</v>
      </c>
      <c r="F133" s="4">
        <f t="shared" si="9"/>
        <v>800</v>
      </c>
      <c r="G133" s="5">
        <f t="shared" si="15"/>
        <v>1.01</v>
      </c>
      <c r="H133" s="6" t="str">
        <f t="shared" si="10"/>
        <v>INSERT INTO public.coupon (plancode, age, "year", couponrate, benefittype, benefitrate, premiumrate) VALUES('EN60', 1, 40, 8, 'A',800, 1.01);</v>
      </c>
      <c r="I133" s="6" t="str">
        <f t="shared" si="11"/>
        <v>{"age":"1", "year":"40", "couponrate":"8", "benefittype":"A", "benefitrate":"800", "premiumrate":"1.01"}</v>
      </c>
      <c r="J133" s="6" t="str">
        <f t="shared" si="12"/>
        <v>,</v>
      </c>
    </row>
    <row r="134" spans="1:10">
      <c r="A134" s="4" t="str">
        <f>'EN60'!A$3</f>
        <v>EN60</v>
      </c>
      <c r="B134" s="4">
        <f t="shared" si="13"/>
        <v>1</v>
      </c>
      <c r="C134" s="4">
        <f t="shared" si="14"/>
        <v>41</v>
      </c>
      <c r="D134" s="4">
        <f t="shared" si="8"/>
        <v>8</v>
      </c>
      <c r="E134" s="4" t="s">
        <v>27</v>
      </c>
      <c r="F134" s="4">
        <f t="shared" si="9"/>
        <v>800</v>
      </c>
      <c r="G134" s="5">
        <f t="shared" si="15"/>
        <v>1.01</v>
      </c>
      <c r="H134" s="6" t="str">
        <f t="shared" si="10"/>
        <v>INSERT INTO public.coupon (plancode, age, "year", couponrate, benefittype, benefitrate, premiumrate) VALUES('EN60', 1, 41, 8, 'A',800, 1.01);</v>
      </c>
      <c r="I134" s="6" t="str">
        <f t="shared" si="11"/>
        <v>{"age":"1", "year":"41", "couponrate":"8", "benefittype":"A", "benefitrate":"800", "premiumrate":"1.01"}</v>
      </c>
      <c r="J134" s="6" t="str">
        <f t="shared" si="12"/>
        <v>,</v>
      </c>
    </row>
    <row r="135" spans="1:10">
      <c r="A135" s="4" t="str">
        <f>'EN60'!A$3</f>
        <v>EN60</v>
      </c>
      <c r="B135" s="4">
        <f t="shared" si="13"/>
        <v>1</v>
      </c>
      <c r="C135" s="4">
        <f t="shared" si="14"/>
        <v>42</v>
      </c>
      <c r="D135" s="4">
        <f t="shared" si="8"/>
        <v>8</v>
      </c>
      <c r="E135" s="4" t="s">
        <v>27</v>
      </c>
      <c r="F135" s="4">
        <f t="shared" si="9"/>
        <v>800</v>
      </c>
      <c r="G135" s="5">
        <f t="shared" si="15"/>
        <v>1.01</v>
      </c>
      <c r="H135" s="6" t="str">
        <f t="shared" si="10"/>
        <v>INSERT INTO public.coupon (plancode, age, "year", couponrate, benefittype, benefitrate, premiumrate) VALUES('EN60', 1, 42, 8, 'A',800, 1.01);</v>
      </c>
      <c r="I135" s="6" t="str">
        <f t="shared" si="11"/>
        <v>{"age":"1", "year":"42", "couponrate":"8", "benefittype":"A", "benefitrate":"800", "premiumrate":"1.01"}</v>
      </c>
      <c r="J135" s="6" t="str">
        <f t="shared" si="12"/>
        <v>,</v>
      </c>
    </row>
    <row r="136" spans="1:10">
      <c r="A136" s="4" t="str">
        <f>'EN60'!A$3</f>
        <v>EN60</v>
      </c>
      <c r="B136" s="4">
        <f t="shared" si="13"/>
        <v>1</v>
      </c>
      <c r="C136" s="4">
        <f t="shared" si="14"/>
        <v>43</v>
      </c>
      <c r="D136" s="4">
        <f t="shared" si="8"/>
        <v>8</v>
      </c>
      <c r="E136" s="4" t="s">
        <v>27</v>
      </c>
      <c r="F136" s="4">
        <f t="shared" si="9"/>
        <v>800</v>
      </c>
      <c r="G136" s="5">
        <f t="shared" si="15"/>
        <v>1.01</v>
      </c>
      <c r="H136" s="6" t="str">
        <f t="shared" si="10"/>
        <v>INSERT INTO public.coupon (plancode, age, "year", couponrate, benefittype, benefitrate, premiumrate) VALUES('EN60', 1, 43, 8, 'A',800, 1.01);</v>
      </c>
      <c r="I136" s="6" t="str">
        <f t="shared" si="11"/>
        <v>{"age":"1", "year":"43", "couponrate":"8", "benefittype":"A", "benefitrate":"800", "premiumrate":"1.01"}</v>
      </c>
      <c r="J136" s="6" t="str">
        <f t="shared" si="12"/>
        <v>,</v>
      </c>
    </row>
    <row r="137" spans="1:10">
      <c r="A137" s="4" t="str">
        <f>'EN60'!A$3</f>
        <v>EN60</v>
      </c>
      <c r="B137" s="4">
        <f t="shared" si="13"/>
        <v>1</v>
      </c>
      <c r="C137" s="4">
        <f t="shared" si="14"/>
        <v>44</v>
      </c>
      <c r="D137" s="4">
        <f t="shared" si="8"/>
        <v>8</v>
      </c>
      <c r="E137" s="4" t="s">
        <v>27</v>
      </c>
      <c r="F137" s="4">
        <f t="shared" si="9"/>
        <v>800</v>
      </c>
      <c r="G137" s="5">
        <f t="shared" si="15"/>
        <v>1.01</v>
      </c>
      <c r="H137" s="6" t="str">
        <f t="shared" si="10"/>
        <v>INSERT INTO public.coupon (plancode, age, "year", couponrate, benefittype, benefitrate, premiumrate) VALUES('EN60', 1, 44, 8, 'A',800, 1.01);</v>
      </c>
      <c r="I137" s="6" t="str">
        <f t="shared" si="11"/>
        <v>{"age":"1", "year":"44", "couponrate":"8", "benefittype":"A", "benefitrate":"800", "premiumrate":"1.01"}</v>
      </c>
      <c r="J137" s="6" t="str">
        <f t="shared" si="12"/>
        <v>,</v>
      </c>
    </row>
    <row r="138" spans="1:10">
      <c r="A138" s="4" t="str">
        <f>'EN60'!A$3</f>
        <v>EN60</v>
      </c>
      <c r="B138" s="4">
        <f t="shared" si="13"/>
        <v>1</v>
      </c>
      <c r="C138" s="4">
        <f t="shared" si="14"/>
        <v>45</v>
      </c>
      <c r="D138" s="4">
        <f t="shared" si="8"/>
        <v>8</v>
      </c>
      <c r="E138" s="4" t="s">
        <v>27</v>
      </c>
      <c r="F138" s="4">
        <f t="shared" si="9"/>
        <v>800</v>
      </c>
      <c r="G138" s="5">
        <f t="shared" si="15"/>
        <v>1.01</v>
      </c>
      <c r="H138" s="6" t="str">
        <f t="shared" si="10"/>
        <v>INSERT INTO public.coupon (plancode, age, "year", couponrate, benefittype, benefitrate, premiumrate) VALUES('EN60', 1, 45, 8, 'A',800, 1.01);</v>
      </c>
      <c r="I138" s="6" t="str">
        <f t="shared" si="11"/>
        <v>{"age":"1", "year":"45", "couponrate":"8", "benefittype":"A", "benefitrate":"800", "premiumrate":"1.01"}</v>
      </c>
      <c r="J138" s="6" t="str">
        <f t="shared" si="12"/>
        <v>,</v>
      </c>
    </row>
    <row r="139" spans="1:10">
      <c r="A139" s="4" t="str">
        <f>'EN60'!A$3</f>
        <v>EN60</v>
      </c>
      <c r="B139" s="4">
        <f t="shared" si="13"/>
        <v>1</v>
      </c>
      <c r="C139" s="4">
        <f t="shared" si="14"/>
        <v>46</v>
      </c>
      <c r="D139" s="4">
        <f t="shared" si="8"/>
        <v>8</v>
      </c>
      <c r="E139" s="4" t="s">
        <v>27</v>
      </c>
      <c r="F139" s="4">
        <f t="shared" si="9"/>
        <v>800</v>
      </c>
      <c r="G139" s="5">
        <f t="shared" si="15"/>
        <v>1.01</v>
      </c>
      <c r="H139" s="6" t="str">
        <f t="shared" si="10"/>
        <v>INSERT INTO public.coupon (plancode, age, "year", couponrate, benefittype, benefitrate, premiumrate) VALUES('EN60', 1, 46, 8, 'A',800, 1.01);</v>
      </c>
      <c r="I139" s="6" t="str">
        <f t="shared" si="11"/>
        <v>{"age":"1", "year":"46", "couponrate":"8", "benefittype":"A", "benefitrate":"800", "premiumrate":"1.01"}</v>
      </c>
      <c r="J139" s="6" t="str">
        <f t="shared" si="12"/>
        <v>,</v>
      </c>
    </row>
    <row r="140" spans="1:10">
      <c r="A140" s="4" t="str">
        <f>'EN60'!A$3</f>
        <v>EN60</v>
      </c>
      <c r="B140" s="4">
        <f t="shared" si="13"/>
        <v>1</v>
      </c>
      <c r="C140" s="4">
        <f t="shared" si="14"/>
        <v>47</v>
      </c>
      <c r="D140" s="4">
        <f t="shared" si="8"/>
        <v>8</v>
      </c>
      <c r="E140" s="4" t="s">
        <v>27</v>
      </c>
      <c r="F140" s="4">
        <f t="shared" si="9"/>
        <v>800</v>
      </c>
      <c r="G140" s="5">
        <f t="shared" si="15"/>
        <v>1.01</v>
      </c>
      <c r="H140" s="6" t="str">
        <f t="shared" si="10"/>
        <v>INSERT INTO public.coupon (plancode, age, "year", couponrate, benefittype, benefitrate, premiumrate) VALUES('EN60', 1, 47, 8, 'A',800, 1.01);</v>
      </c>
      <c r="I140" s="6" t="str">
        <f t="shared" si="11"/>
        <v>{"age":"1", "year":"47", "couponrate":"8", "benefittype":"A", "benefitrate":"800", "premiumrate":"1.01"}</v>
      </c>
      <c r="J140" s="6" t="str">
        <f t="shared" si="12"/>
        <v>,</v>
      </c>
    </row>
    <row r="141" spans="1:10">
      <c r="A141" s="4" t="str">
        <f>'EN60'!A$3</f>
        <v>EN60</v>
      </c>
      <c r="B141" s="4">
        <f t="shared" si="13"/>
        <v>1</v>
      </c>
      <c r="C141" s="4">
        <f t="shared" si="14"/>
        <v>48</v>
      </c>
      <c r="D141" s="4">
        <f t="shared" si="8"/>
        <v>8</v>
      </c>
      <c r="E141" s="4" t="s">
        <v>27</v>
      </c>
      <c r="F141" s="4">
        <f t="shared" si="9"/>
        <v>800</v>
      </c>
      <c r="G141" s="5">
        <f t="shared" si="15"/>
        <v>1.01</v>
      </c>
      <c r="H141" s="6" t="str">
        <f t="shared" si="10"/>
        <v>INSERT INTO public.coupon (plancode, age, "year", couponrate, benefittype, benefitrate, premiumrate) VALUES('EN60', 1, 48, 8, 'A',800, 1.01);</v>
      </c>
      <c r="I141" s="6" t="str">
        <f t="shared" si="11"/>
        <v>{"age":"1", "year":"48", "couponrate":"8", "benefittype":"A", "benefitrate":"800", "premiumrate":"1.01"}</v>
      </c>
      <c r="J141" s="6" t="str">
        <f t="shared" si="12"/>
        <v>,</v>
      </c>
    </row>
    <row r="142" spans="1:10">
      <c r="A142" s="4" t="str">
        <f>'EN60'!A$3</f>
        <v>EN60</v>
      </c>
      <c r="B142" s="4">
        <f t="shared" si="13"/>
        <v>1</v>
      </c>
      <c r="C142" s="4">
        <f t="shared" si="14"/>
        <v>49</v>
      </c>
      <c r="D142" s="4">
        <f t="shared" si="8"/>
        <v>8</v>
      </c>
      <c r="E142" s="4" t="s">
        <v>27</v>
      </c>
      <c r="F142" s="4">
        <f t="shared" si="9"/>
        <v>800</v>
      </c>
      <c r="G142" s="5">
        <f t="shared" si="15"/>
        <v>1.01</v>
      </c>
      <c r="H142" s="6" t="str">
        <f t="shared" si="10"/>
        <v>INSERT INTO public.coupon (plancode, age, "year", couponrate, benefittype, benefitrate, premiumrate) VALUES('EN60', 1, 49, 8, 'A',800, 1.01);</v>
      </c>
      <c r="I142" s="6" t="str">
        <f t="shared" si="11"/>
        <v>{"age":"1", "year":"49", "couponrate":"8", "benefittype":"A", "benefitrate":"800", "premiumrate":"1.01"}</v>
      </c>
      <c r="J142" s="6" t="str">
        <f t="shared" si="12"/>
        <v>,</v>
      </c>
    </row>
    <row r="143" spans="1:10">
      <c r="A143" s="4" t="str">
        <f>'EN60'!A$3</f>
        <v>EN60</v>
      </c>
      <c r="B143" s="4">
        <f t="shared" si="13"/>
        <v>1</v>
      </c>
      <c r="C143" s="4">
        <f t="shared" si="14"/>
        <v>50</v>
      </c>
      <c r="D143" s="4">
        <f t="shared" si="8"/>
        <v>8</v>
      </c>
      <c r="E143" s="4" t="s">
        <v>27</v>
      </c>
      <c r="F143" s="4">
        <f t="shared" si="9"/>
        <v>800</v>
      </c>
      <c r="G143" s="5">
        <f t="shared" si="15"/>
        <v>1.01</v>
      </c>
      <c r="H143" s="6" t="str">
        <f t="shared" si="10"/>
        <v>INSERT INTO public.coupon (plancode, age, "year", couponrate, benefittype, benefitrate, premiumrate) VALUES('EN60', 1, 50, 8, 'A',800, 1.01);</v>
      </c>
      <c r="I143" s="6" t="str">
        <f t="shared" si="11"/>
        <v>{"age":"1", "year":"50", "couponrate":"8", "benefittype":"A", "benefitrate":"800", "premiumrate":"1.01"}</v>
      </c>
      <c r="J143" s="6" t="str">
        <f t="shared" si="12"/>
        <v>,</v>
      </c>
    </row>
    <row r="144" spans="1:10">
      <c r="A144" s="4" t="str">
        <f>'EN60'!A$3</f>
        <v>EN60</v>
      </c>
      <c r="B144" s="4">
        <f t="shared" si="13"/>
        <v>1</v>
      </c>
      <c r="C144" s="4">
        <f t="shared" si="14"/>
        <v>51</v>
      </c>
      <c r="D144" s="4">
        <f t="shared" si="8"/>
        <v>8</v>
      </c>
      <c r="E144" s="4" t="s">
        <v>27</v>
      </c>
      <c r="F144" s="4">
        <f t="shared" si="9"/>
        <v>800</v>
      </c>
      <c r="G144" s="5">
        <f t="shared" si="15"/>
        <v>1.01</v>
      </c>
      <c r="H144" s="6" t="str">
        <f t="shared" si="10"/>
        <v>INSERT INTO public.coupon (plancode, age, "year", couponrate, benefittype, benefitrate, premiumrate) VALUES('EN60', 1, 51, 8, 'A',800, 1.01);</v>
      </c>
      <c r="I144" s="6" t="str">
        <f t="shared" si="11"/>
        <v>{"age":"1", "year":"51", "couponrate":"8", "benefittype":"A", "benefitrate":"800", "premiumrate":"1.01"}</v>
      </c>
      <c r="J144" s="6" t="str">
        <f t="shared" si="12"/>
        <v>,</v>
      </c>
    </row>
    <row r="145" spans="1:10">
      <c r="A145" s="4" t="str">
        <f>'EN60'!A$3</f>
        <v>EN60</v>
      </c>
      <c r="B145" s="4">
        <f t="shared" si="13"/>
        <v>1</v>
      </c>
      <c r="C145" s="4">
        <f t="shared" si="14"/>
        <v>52</v>
      </c>
      <c r="D145" s="4">
        <f t="shared" si="8"/>
        <v>8</v>
      </c>
      <c r="E145" s="4" t="s">
        <v>27</v>
      </c>
      <c r="F145" s="4">
        <f t="shared" si="9"/>
        <v>800</v>
      </c>
      <c r="G145" s="5">
        <f t="shared" si="15"/>
        <v>1.01</v>
      </c>
      <c r="H145" s="6" t="str">
        <f t="shared" si="10"/>
        <v>INSERT INTO public.coupon (plancode, age, "year", couponrate, benefittype, benefitrate, premiumrate) VALUES('EN60', 1, 52, 8, 'A',800, 1.01);</v>
      </c>
      <c r="I145" s="6" t="str">
        <f t="shared" si="11"/>
        <v>{"age":"1", "year":"52", "couponrate":"8", "benefittype":"A", "benefitrate":"800", "premiumrate":"1.01"}</v>
      </c>
      <c r="J145" s="6" t="str">
        <f t="shared" si="12"/>
        <v>,</v>
      </c>
    </row>
    <row r="146" spans="1:10">
      <c r="A146" s="4" t="str">
        <f>'EN60'!A$3</f>
        <v>EN60</v>
      </c>
      <c r="B146" s="4">
        <f t="shared" si="13"/>
        <v>1</v>
      </c>
      <c r="C146" s="4">
        <f t="shared" si="14"/>
        <v>53</v>
      </c>
      <c r="D146" s="4">
        <f t="shared" si="8"/>
        <v>8</v>
      </c>
      <c r="E146" s="4" t="s">
        <v>27</v>
      </c>
      <c r="F146" s="4">
        <f t="shared" si="9"/>
        <v>800</v>
      </c>
      <c r="G146" s="5">
        <f t="shared" si="15"/>
        <v>1.01</v>
      </c>
      <c r="H146" s="6" t="str">
        <f t="shared" si="10"/>
        <v>INSERT INTO public.coupon (plancode, age, "year", couponrate, benefittype, benefitrate, premiumrate) VALUES('EN60', 1, 53, 8, 'A',800, 1.01);</v>
      </c>
      <c r="I146" s="6" t="str">
        <f t="shared" si="11"/>
        <v>{"age":"1", "year":"53", "couponrate":"8", "benefittype":"A", "benefitrate":"800", "premiumrate":"1.01"}</v>
      </c>
      <c r="J146" s="6" t="str">
        <f t="shared" si="12"/>
        <v>,</v>
      </c>
    </row>
    <row r="147" spans="1:10">
      <c r="A147" s="4" t="str">
        <f>'EN60'!A$3</f>
        <v>EN60</v>
      </c>
      <c r="B147" s="4">
        <f t="shared" si="13"/>
        <v>1</v>
      </c>
      <c r="C147" s="4">
        <f t="shared" si="14"/>
        <v>54</v>
      </c>
      <c r="D147" s="4">
        <f t="shared" si="8"/>
        <v>8</v>
      </c>
      <c r="E147" s="4" t="s">
        <v>27</v>
      </c>
      <c r="F147" s="4">
        <f t="shared" si="9"/>
        <v>800</v>
      </c>
      <c r="G147" s="5">
        <f t="shared" si="15"/>
        <v>1.01</v>
      </c>
      <c r="H147" s="6" t="str">
        <f t="shared" si="10"/>
        <v>INSERT INTO public.coupon (plancode, age, "year", couponrate, benefittype, benefitrate, premiumrate) VALUES('EN60', 1, 54, 8, 'A',800, 1.01);</v>
      </c>
      <c r="I147" s="6" t="str">
        <f t="shared" si="11"/>
        <v>{"age":"1", "year":"54", "couponrate":"8", "benefittype":"A", "benefitrate":"800", "premiumrate":"1.01"}</v>
      </c>
      <c r="J147" s="6" t="str">
        <f t="shared" si="12"/>
        <v>,</v>
      </c>
    </row>
    <row r="148" spans="1:10">
      <c r="A148" s="4" t="str">
        <f>'EN60'!A$3</f>
        <v>EN60</v>
      </c>
      <c r="B148" s="4">
        <f t="shared" si="13"/>
        <v>1</v>
      </c>
      <c r="C148" s="4">
        <f t="shared" si="14"/>
        <v>55</v>
      </c>
      <c r="D148" s="4">
        <f t="shared" si="8"/>
        <v>8</v>
      </c>
      <c r="E148" s="4" t="s">
        <v>27</v>
      </c>
      <c r="F148" s="4">
        <f t="shared" si="9"/>
        <v>800</v>
      </c>
      <c r="G148" s="5">
        <f t="shared" si="15"/>
        <v>1.01</v>
      </c>
      <c r="H148" s="6" t="str">
        <f t="shared" si="10"/>
        <v>INSERT INTO public.coupon (plancode, age, "year", couponrate, benefittype, benefitrate, premiumrate) VALUES('EN60', 1, 55, 8, 'A',800, 1.01);</v>
      </c>
      <c r="I148" s="6" t="str">
        <f t="shared" si="11"/>
        <v>{"age":"1", "year":"55", "couponrate":"8", "benefittype":"A", "benefitrate":"800", "premiumrate":"1.01"}</v>
      </c>
      <c r="J148" s="6" t="str">
        <f t="shared" si="12"/>
        <v>,</v>
      </c>
    </row>
    <row r="149" spans="1:10">
      <c r="A149" s="4" t="str">
        <f>'EN60'!A$3</f>
        <v>EN60</v>
      </c>
      <c r="B149" s="4">
        <f t="shared" si="13"/>
        <v>1</v>
      </c>
      <c r="C149" s="4">
        <f t="shared" si="14"/>
        <v>56</v>
      </c>
      <c r="D149" s="4">
        <f t="shared" si="8"/>
        <v>8</v>
      </c>
      <c r="E149" s="4" t="s">
        <v>27</v>
      </c>
      <c r="F149" s="4">
        <f t="shared" si="9"/>
        <v>800</v>
      </c>
      <c r="G149" s="5">
        <f t="shared" si="15"/>
        <v>1.01</v>
      </c>
      <c r="H149" s="6" t="str">
        <f t="shared" si="10"/>
        <v>INSERT INTO public.coupon (plancode, age, "year", couponrate, benefittype, benefitrate, premiumrate) VALUES('EN60', 1, 56, 8, 'A',800, 1.01);</v>
      </c>
      <c r="I149" s="6" t="str">
        <f t="shared" si="11"/>
        <v>{"age":"1", "year":"56", "couponrate":"8", "benefittype":"A", "benefitrate":"800", "premiumrate":"1.01"}</v>
      </c>
      <c r="J149" s="6" t="str">
        <f t="shared" si="12"/>
        <v>,</v>
      </c>
    </row>
    <row r="150" spans="1:10">
      <c r="A150" s="4" t="str">
        <f>'EN60'!A$3</f>
        <v>EN60</v>
      </c>
      <c r="B150" s="4">
        <f t="shared" si="13"/>
        <v>1</v>
      </c>
      <c r="C150" s="4">
        <f t="shared" si="14"/>
        <v>57</v>
      </c>
      <c r="D150" s="4">
        <f t="shared" si="8"/>
        <v>8</v>
      </c>
      <c r="E150" s="4" t="s">
        <v>27</v>
      </c>
      <c r="F150" s="4">
        <f t="shared" si="9"/>
        <v>800</v>
      </c>
      <c r="G150" s="5">
        <f t="shared" si="15"/>
        <v>1.01</v>
      </c>
      <c r="H150" s="6" t="str">
        <f t="shared" si="10"/>
        <v>INSERT INTO public.coupon (plancode, age, "year", couponrate, benefittype, benefitrate, premiumrate) VALUES('EN60', 1, 57, 8, 'A',800, 1.01);</v>
      </c>
      <c r="I150" s="6" t="str">
        <f t="shared" si="11"/>
        <v>{"age":"1", "year":"57", "couponrate":"8", "benefittype":"A", "benefitrate":"800", "premiumrate":"1.01"}</v>
      </c>
      <c r="J150" s="6" t="str">
        <f t="shared" si="12"/>
        <v>,</v>
      </c>
    </row>
    <row r="151" spans="1:10">
      <c r="A151" s="4" t="str">
        <f>'EN60'!A$3</f>
        <v>EN60</v>
      </c>
      <c r="B151" s="4">
        <f t="shared" si="13"/>
        <v>1</v>
      </c>
      <c r="C151" s="4">
        <f t="shared" si="14"/>
        <v>58</v>
      </c>
      <c r="D151" s="4">
        <f t="shared" si="8"/>
        <v>8</v>
      </c>
      <c r="E151" s="4" t="s">
        <v>27</v>
      </c>
      <c r="F151" s="4">
        <f t="shared" si="9"/>
        <v>800</v>
      </c>
      <c r="G151" s="5">
        <f t="shared" si="15"/>
        <v>1.01</v>
      </c>
      <c r="H151" s="6" t="str">
        <f t="shared" si="10"/>
        <v>INSERT INTO public.coupon (plancode, age, "year", couponrate, benefittype, benefitrate, premiumrate) VALUES('EN60', 1, 58, 8, 'A',800, 1.01);</v>
      </c>
      <c r="I151" s="6" t="str">
        <f t="shared" si="11"/>
        <v>{"age":"1", "year":"58", "couponrate":"8", "benefittype":"A", "benefitrate":"800", "premiumrate":"1.01"}</v>
      </c>
      <c r="J151" s="6" t="str">
        <f t="shared" si="12"/>
        <v>,</v>
      </c>
    </row>
    <row r="152" spans="1:10">
      <c r="A152" s="4" t="str">
        <f>'EN60'!A$3</f>
        <v>EN60</v>
      </c>
      <c r="B152" s="4">
        <f t="shared" si="13"/>
        <v>1</v>
      </c>
      <c r="C152" s="4">
        <f t="shared" si="14"/>
        <v>59</v>
      </c>
      <c r="D152" s="4">
        <f t="shared" si="8"/>
        <v>8</v>
      </c>
      <c r="E152" s="4" t="s">
        <v>27</v>
      </c>
      <c r="F152" s="4">
        <f t="shared" si="9"/>
        <v>800</v>
      </c>
      <c r="G152" s="5">
        <f t="shared" si="15"/>
        <v>1.01</v>
      </c>
      <c r="H152" s="6" t="str">
        <f t="shared" si="10"/>
        <v>INSERT INTO public.coupon (plancode, age, "year", couponrate, benefittype, benefitrate, premiumrate) VALUES('EN60', 1, 59, 8, 'A',800, 1.01);</v>
      </c>
      <c r="I152" s="6" t="str">
        <f t="shared" si="11"/>
        <v>{"age":"1", "year":"59", "couponrate":"8", "benefittype":"A", "benefitrate":"800", "premiumrate":"1.01"}</v>
      </c>
      <c r="J152" s="6" t="str">
        <f t="shared" si="12"/>
        <v>,</v>
      </c>
    </row>
    <row r="153" spans="1:10">
      <c r="A153" s="4" t="str">
        <f>'EN60'!A$3</f>
        <v>EN60</v>
      </c>
      <c r="B153" s="4">
        <f t="shared" si="13"/>
        <v>1</v>
      </c>
      <c r="C153" s="4">
        <f t="shared" si="14"/>
        <v>60</v>
      </c>
      <c r="D153" s="4">
        <f t="shared" si="8"/>
        <v>8</v>
      </c>
      <c r="E153" s="4" t="s">
        <v>27</v>
      </c>
      <c r="F153" s="4">
        <f t="shared" si="9"/>
        <v>800</v>
      </c>
      <c r="G153" s="5">
        <f t="shared" si="15"/>
        <v>1.01</v>
      </c>
      <c r="H153" s="6" t="str">
        <f t="shared" si="10"/>
        <v>INSERT INTO public.coupon (plancode, age, "year", couponrate, benefittype, benefitrate, premiumrate) VALUES('EN60', 1, 60, 8, 'A',800, 1.01);</v>
      </c>
      <c r="I153" s="6" t="str">
        <f t="shared" si="11"/>
        <v>{"age":"1", "year":"60", "couponrate":"8", "benefittype":"A", "benefitrate":"800", "premiumrate":"1.01"}</v>
      </c>
      <c r="J153" s="6" t="str">
        <f t="shared" si="12"/>
        <v>,</v>
      </c>
    </row>
    <row r="154" spans="1:10">
      <c r="A154" s="4" t="str">
        <f>'EN60'!A$3</f>
        <v>EN60</v>
      </c>
      <c r="B154" s="4">
        <f t="shared" si="13"/>
        <v>1</v>
      </c>
      <c r="C154" s="4">
        <f t="shared" si="14"/>
        <v>61</v>
      </c>
      <c r="D154" s="4">
        <f t="shared" si="8"/>
        <v>8</v>
      </c>
      <c r="E154" s="4" t="s">
        <v>27</v>
      </c>
      <c r="F154" s="4">
        <f t="shared" si="9"/>
        <v>800</v>
      </c>
      <c r="G154" s="5">
        <f t="shared" si="15"/>
        <v>1.01</v>
      </c>
      <c r="H154" s="6" t="str">
        <f t="shared" si="10"/>
        <v>INSERT INTO public.coupon (plancode, age, "year", couponrate, benefittype, benefitrate, premiumrate) VALUES('EN60', 1, 61, 8, 'A',800, 1.01);</v>
      </c>
      <c r="I154" s="6" t="str">
        <f t="shared" si="11"/>
        <v>{"age":"1", "year":"61", "couponrate":"8", "benefittype":"A", "benefitrate":"800", "premiumrate":"1.01"}</v>
      </c>
      <c r="J154" s="6" t="str">
        <f t="shared" si="12"/>
        <v>,</v>
      </c>
    </row>
    <row r="155" spans="1:10">
      <c r="A155" s="4" t="str">
        <f>'EN60'!A$3</f>
        <v>EN60</v>
      </c>
      <c r="B155" s="4">
        <f t="shared" si="13"/>
        <v>1</v>
      </c>
      <c r="C155" s="4">
        <f t="shared" si="14"/>
        <v>62</v>
      </c>
      <c r="D155" s="4">
        <f t="shared" si="8"/>
        <v>8</v>
      </c>
      <c r="E155" s="4" t="s">
        <v>27</v>
      </c>
      <c r="F155" s="4">
        <f t="shared" si="9"/>
        <v>800</v>
      </c>
      <c r="G155" s="5">
        <f t="shared" si="15"/>
        <v>1.01</v>
      </c>
      <c r="H155" s="6" t="str">
        <f t="shared" si="10"/>
        <v>INSERT INTO public.coupon (plancode, age, "year", couponrate, benefittype, benefitrate, premiumrate) VALUES('EN60', 1, 62, 8, 'A',800, 1.01);</v>
      </c>
      <c r="I155" s="6" t="str">
        <f t="shared" si="11"/>
        <v>{"age":"1", "year":"62", "couponrate":"8", "benefittype":"A", "benefitrate":"800", "premiumrate":"1.01"}</v>
      </c>
      <c r="J155" s="6" t="str">
        <f t="shared" si="12"/>
        <v>,</v>
      </c>
    </row>
    <row r="156" spans="1:10">
      <c r="A156" s="4" t="str">
        <f>'EN60'!A$3</f>
        <v>EN60</v>
      </c>
      <c r="B156" s="4">
        <f t="shared" si="13"/>
        <v>1</v>
      </c>
      <c r="C156" s="4">
        <f t="shared" si="14"/>
        <v>63</v>
      </c>
      <c r="D156" s="4">
        <f t="shared" si="8"/>
        <v>8</v>
      </c>
      <c r="E156" s="4" t="s">
        <v>27</v>
      </c>
      <c r="F156" s="4">
        <f t="shared" si="9"/>
        <v>800</v>
      </c>
      <c r="G156" s="5">
        <f t="shared" si="15"/>
        <v>1.01</v>
      </c>
      <c r="H156" s="6" t="str">
        <f t="shared" si="10"/>
        <v>INSERT INTO public.coupon (plancode, age, "year", couponrate, benefittype, benefitrate, premiumrate) VALUES('EN60', 1, 63, 8, 'A',800, 1.01);</v>
      </c>
      <c r="I156" s="6" t="str">
        <f t="shared" si="11"/>
        <v>{"age":"1", "year":"63", "couponrate":"8", "benefittype":"A", "benefitrate":"800", "premiumrate":"1.01"}</v>
      </c>
      <c r="J156" s="6" t="str">
        <f t="shared" si="12"/>
        <v>,</v>
      </c>
    </row>
    <row r="157" spans="1:10">
      <c r="A157" s="4" t="str">
        <f>'EN60'!A$3</f>
        <v>EN60</v>
      </c>
      <c r="B157" s="4">
        <f t="shared" si="13"/>
        <v>1</v>
      </c>
      <c r="C157" s="4">
        <f t="shared" si="14"/>
        <v>64</v>
      </c>
      <c r="D157" s="4">
        <f t="shared" si="8"/>
        <v>8</v>
      </c>
      <c r="E157" s="4" t="s">
        <v>27</v>
      </c>
      <c r="F157" s="4">
        <f t="shared" si="9"/>
        <v>800</v>
      </c>
      <c r="G157" s="5">
        <f t="shared" si="15"/>
        <v>1.01</v>
      </c>
      <c r="H157" s="6" t="str">
        <f t="shared" si="10"/>
        <v>INSERT INTO public.coupon (plancode, age, "year", couponrate, benefittype, benefitrate, premiumrate) VALUES('EN60', 1, 64, 8, 'A',800, 1.01);</v>
      </c>
      <c r="I157" s="6" t="str">
        <f t="shared" si="11"/>
        <v>{"age":"1", "year":"64", "couponrate":"8", "benefittype":"A", "benefitrate":"800", "premiumrate":"1.01"}</v>
      </c>
      <c r="J157" s="6" t="str">
        <f t="shared" si="12"/>
        <v>,</v>
      </c>
    </row>
    <row r="158" spans="1:10">
      <c r="A158" s="4" t="str">
        <f>'EN60'!A$3</f>
        <v>EN60</v>
      </c>
      <c r="B158" s="4">
        <f t="shared" si="13"/>
        <v>1</v>
      </c>
      <c r="C158" s="4">
        <f t="shared" si="14"/>
        <v>65</v>
      </c>
      <c r="D158" s="4">
        <f t="shared" si="8"/>
        <v>8</v>
      </c>
      <c r="E158" s="4" t="s">
        <v>27</v>
      </c>
      <c r="F158" s="4">
        <f t="shared" si="9"/>
        <v>800</v>
      </c>
      <c r="G158" s="5">
        <f t="shared" si="15"/>
        <v>1.01</v>
      </c>
      <c r="H158" s="6" t="str">
        <f t="shared" si="10"/>
        <v>INSERT INTO public.coupon (plancode, age, "year", couponrate, benefittype, benefitrate, premiumrate) VALUES('EN60', 1, 65, 8, 'A',800, 1.01);</v>
      </c>
      <c r="I158" s="6" t="str">
        <f t="shared" si="11"/>
        <v>{"age":"1", "year":"65", "couponrate":"8", "benefittype":"A", "benefitrate":"800", "premiumrate":"1.01"}</v>
      </c>
      <c r="J158" s="6" t="str">
        <f t="shared" si="12"/>
        <v>,</v>
      </c>
    </row>
    <row r="159" spans="1:10">
      <c r="A159" s="4" t="str">
        <f>'EN60'!A$3</f>
        <v>EN60</v>
      </c>
      <c r="B159" s="4">
        <f t="shared" si="13"/>
        <v>1</v>
      </c>
      <c r="C159" s="4">
        <f t="shared" si="14"/>
        <v>66</v>
      </c>
      <c r="D159" s="4">
        <f t="shared" si="8"/>
        <v>8</v>
      </c>
      <c r="E159" s="4" t="s">
        <v>27</v>
      </c>
      <c r="F159" s="4">
        <f t="shared" si="9"/>
        <v>800</v>
      </c>
      <c r="G159" s="5">
        <f t="shared" si="15"/>
        <v>1.01</v>
      </c>
      <c r="H159" s="6" t="str">
        <f t="shared" si="10"/>
        <v>INSERT INTO public.coupon (plancode, age, "year", couponrate, benefittype, benefitrate, premiumrate) VALUES('EN60', 1, 66, 8, 'A',800, 1.01);</v>
      </c>
      <c r="I159" s="6" t="str">
        <f t="shared" si="11"/>
        <v>{"age":"1", "year":"66", "couponrate":"8", "benefittype":"A", "benefitrate":"800", "premiumrate":"1.01"}</v>
      </c>
      <c r="J159" s="6" t="str">
        <f t="shared" si="12"/>
        <v>,</v>
      </c>
    </row>
    <row r="160" spans="1:10">
      <c r="A160" s="4" t="str">
        <f>'EN60'!A$3</f>
        <v>EN60</v>
      </c>
      <c r="B160" s="4">
        <f t="shared" si="13"/>
        <v>1</v>
      </c>
      <c r="C160" s="4">
        <f t="shared" si="14"/>
        <v>67</v>
      </c>
      <c r="D160" s="4">
        <f t="shared" si="8"/>
        <v>8</v>
      </c>
      <c r="E160" s="4" t="s">
        <v>27</v>
      </c>
      <c r="F160" s="4">
        <f t="shared" si="9"/>
        <v>800</v>
      </c>
      <c r="G160" s="5">
        <f t="shared" si="15"/>
        <v>1.01</v>
      </c>
      <c r="H160" s="6" t="str">
        <f t="shared" si="10"/>
        <v>INSERT INTO public.coupon (plancode, age, "year", couponrate, benefittype, benefitrate, premiumrate) VALUES('EN60', 1, 67, 8, 'A',800, 1.01);</v>
      </c>
      <c r="I160" s="6" t="str">
        <f t="shared" si="11"/>
        <v>{"age":"1", "year":"67", "couponrate":"8", "benefittype":"A", "benefitrate":"800", "premiumrate":"1.01"}</v>
      </c>
      <c r="J160" s="6" t="str">
        <f t="shared" si="12"/>
        <v>,</v>
      </c>
    </row>
    <row r="161" spans="1:10">
      <c r="A161" s="4" t="str">
        <f>'EN60'!A$3</f>
        <v>EN60</v>
      </c>
      <c r="B161" s="4">
        <f t="shared" si="13"/>
        <v>1</v>
      </c>
      <c r="C161" s="4">
        <f t="shared" si="14"/>
        <v>68</v>
      </c>
      <c r="D161" s="4">
        <f t="shared" si="8"/>
        <v>8</v>
      </c>
      <c r="E161" s="4" t="s">
        <v>27</v>
      </c>
      <c r="F161" s="4">
        <f t="shared" si="9"/>
        <v>800</v>
      </c>
      <c r="G161" s="5">
        <f t="shared" si="15"/>
        <v>1.01</v>
      </c>
      <c r="H161" s="6" t="str">
        <f t="shared" si="10"/>
        <v>INSERT INTO public.coupon (plancode, age, "year", couponrate, benefittype, benefitrate, premiumrate) VALUES('EN60', 1, 68, 8, 'A',800, 1.01);</v>
      </c>
      <c r="I161" s="6" t="str">
        <f t="shared" si="11"/>
        <v>{"age":"1", "year":"68", "couponrate":"8", "benefittype":"A", "benefitrate":"800", "premiumrate":"1.01"}</v>
      </c>
      <c r="J161" s="6" t="str">
        <f t="shared" si="12"/>
        <v>,</v>
      </c>
    </row>
    <row r="162" spans="1:10">
      <c r="A162" s="4" t="str">
        <f>'EN60'!A$3</f>
        <v>EN60</v>
      </c>
      <c r="B162" s="4">
        <f t="shared" si="13"/>
        <v>1</v>
      </c>
      <c r="C162" s="4">
        <f t="shared" si="14"/>
        <v>69</v>
      </c>
      <c r="D162" s="4">
        <f t="shared" si="8"/>
        <v>8</v>
      </c>
      <c r="E162" s="4" t="s">
        <v>27</v>
      </c>
      <c r="F162" s="4">
        <f t="shared" si="9"/>
        <v>800</v>
      </c>
      <c r="G162" s="5">
        <f t="shared" si="15"/>
        <v>1.01</v>
      </c>
      <c r="H162" s="6" t="str">
        <f t="shared" si="10"/>
        <v>INSERT INTO public.coupon (plancode, age, "year", couponrate, benefittype, benefitrate, premiumrate) VALUES('EN60', 1, 69, 8, 'A',800, 1.01);</v>
      </c>
      <c r="I162" s="6" t="str">
        <f t="shared" si="11"/>
        <v>{"age":"1", "year":"69", "couponrate":"8", "benefittype":"A", "benefitrate":"800", "premiumrate":"1.01"}</v>
      </c>
      <c r="J162" s="6" t="str">
        <f t="shared" si="12"/>
        <v>,</v>
      </c>
    </row>
    <row r="163" spans="1:10">
      <c r="A163" s="4" t="str">
        <f>'EN60'!A$3</f>
        <v>EN60</v>
      </c>
      <c r="B163" s="4">
        <f t="shared" si="13"/>
        <v>1</v>
      </c>
      <c r="C163" s="4">
        <f t="shared" si="14"/>
        <v>70</v>
      </c>
      <c r="D163" s="4">
        <f t="shared" si="8"/>
        <v>8</v>
      </c>
      <c r="E163" s="4" t="s">
        <v>27</v>
      </c>
      <c r="F163" s="4">
        <f t="shared" si="9"/>
        <v>800</v>
      </c>
      <c r="G163" s="5">
        <f t="shared" si="15"/>
        <v>1.01</v>
      </c>
      <c r="H163" s="6" t="str">
        <f t="shared" si="10"/>
        <v>INSERT INTO public.coupon (plancode, age, "year", couponrate, benefittype, benefitrate, premiumrate) VALUES('EN60', 1, 70, 8, 'A',800, 1.01);</v>
      </c>
      <c r="I163" s="6" t="str">
        <f t="shared" si="11"/>
        <v>{"age":"1", "year":"70", "couponrate":"8", "benefittype":"A", "benefitrate":"800", "premiumrate":"1.01"}</v>
      </c>
      <c r="J163" s="6" t="str">
        <f t="shared" si="12"/>
        <v>,</v>
      </c>
    </row>
    <row r="164" spans="1:10">
      <c r="A164" s="4" t="str">
        <f>'EN60'!A$3</f>
        <v>EN60</v>
      </c>
      <c r="B164" s="4">
        <f t="shared" si="13"/>
        <v>1</v>
      </c>
      <c r="C164" s="4">
        <f t="shared" si="14"/>
        <v>71</v>
      </c>
      <c r="D164" s="4">
        <f t="shared" si="8"/>
        <v>8</v>
      </c>
      <c r="E164" s="4" t="s">
        <v>27</v>
      </c>
      <c r="F164" s="4">
        <f t="shared" si="9"/>
        <v>800</v>
      </c>
      <c r="G164" s="5">
        <f t="shared" si="15"/>
        <v>1.01</v>
      </c>
      <c r="H164" s="6" t="str">
        <f t="shared" si="10"/>
        <v>INSERT INTO public.coupon (plancode, age, "year", couponrate, benefittype, benefitrate, premiumrate) VALUES('EN60', 1, 71, 8, 'A',800, 1.01);</v>
      </c>
      <c r="I164" s="6" t="str">
        <f t="shared" si="11"/>
        <v>{"age":"1", "year":"71", "couponrate":"8", "benefittype":"A", "benefitrate":"800", "premiumrate":"1.01"}</v>
      </c>
      <c r="J164" s="6" t="str">
        <f t="shared" si="12"/>
        <v>,</v>
      </c>
    </row>
    <row r="165" spans="1:10">
      <c r="A165" s="4" t="str">
        <f>'EN60'!A$3</f>
        <v>EN60</v>
      </c>
      <c r="B165" s="4">
        <f t="shared" si="13"/>
        <v>1</v>
      </c>
      <c r="C165" s="4">
        <f t="shared" si="14"/>
        <v>72</v>
      </c>
      <c r="D165" s="4">
        <f t="shared" si="8"/>
        <v>8</v>
      </c>
      <c r="E165" s="4" t="s">
        <v>27</v>
      </c>
      <c r="F165" s="4">
        <f t="shared" si="9"/>
        <v>800</v>
      </c>
      <c r="G165" s="5">
        <f t="shared" si="15"/>
        <v>1.01</v>
      </c>
      <c r="H165" s="6" t="str">
        <f t="shared" si="10"/>
        <v>INSERT INTO public.coupon (plancode, age, "year", couponrate, benefittype, benefitrate, premiumrate) VALUES('EN60', 1, 72, 8, 'A',800, 1.01);</v>
      </c>
      <c r="I165" s="6" t="str">
        <f t="shared" si="11"/>
        <v>{"age":"1", "year":"72", "couponrate":"8", "benefittype":"A", "benefitrate":"800", "premiumrate":"1.01"}</v>
      </c>
      <c r="J165" s="6" t="str">
        <f t="shared" si="12"/>
        <v>,</v>
      </c>
    </row>
    <row r="166" spans="1:10">
      <c r="A166" s="4" t="str">
        <f>'EN60'!A$3</f>
        <v>EN60</v>
      </c>
      <c r="B166" s="4">
        <f t="shared" si="13"/>
        <v>1</v>
      </c>
      <c r="C166" s="4">
        <f t="shared" si="14"/>
        <v>73</v>
      </c>
      <c r="D166" s="4">
        <f t="shared" si="8"/>
        <v>8</v>
      </c>
      <c r="E166" s="4" t="s">
        <v>27</v>
      </c>
      <c r="F166" s="4">
        <f t="shared" si="9"/>
        <v>800</v>
      </c>
      <c r="G166" s="5">
        <f t="shared" si="15"/>
        <v>1.01</v>
      </c>
      <c r="H166" s="6" t="str">
        <f t="shared" si="10"/>
        <v>INSERT INTO public.coupon (plancode, age, "year", couponrate, benefittype, benefitrate, premiumrate) VALUES('EN60', 1, 73, 8, 'A',800, 1.01);</v>
      </c>
      <c r="I166" s="6" t="str">
        <f t="shared" si="11"/>
        <v>{"age":"1", "year":"73", "couponrate":"8", "benefittype":"A", "benefitrate":"800", "premiumrate":"1.01"}</v>
      </c>
      <c r="J166" s="6" t="str">
        <f t="shared" si="12"/>
        <v>,</v>
      </c>
    </row>
    <row r="167" spans="1:10">
      <c r="A167" s="4" t="str">
        <f>'EN60'!A$3</f>
        <v>EN60</v>
      </c>
      <c r="B167" s="4">
        <f t="shared" si="13"/>
        <v>1</v>
      </c>
      <c r="C167" s="4">
        <f t="shared" si="14"/>
        <v>74</v>
      </c>
      <c r="D167" s="4">
        <f t="shared" si="8"/>
        <v>8</v>
      </c>
      <c r="E167" s="4" t="s">
        <v>27</v>
      </c>
      <c r="F167" s="4">
        <f t="shared" si="9"/>
        <v>800</v>
      </c>
      <c r="G167" s="5">
        <f t="shared" si="15"/>
        <v>1.01</v>
      </c>
      <c r="H167" s="6" t="str">
        <f t="shared" si="10"/>
        <v>INSERT INTO public.coupon (plancode, age, "year", couponrate, benefittype, benefitrate, premiumrate) VALUES('EN60', 1, 74, 8, 'A',800, 1.01);</v>
      </c>
      <c r="I167" s="6" t="str">
        <f t="shared" si="11"/>
        <v>{"age":"1", "year":"74", "couponrate":"8", "benefittype":"A", "benefitrate":"800", "premiumrate":"1.01"}</v>
      </c>
      <c r="J167" s="6" t="str">
        <f t="shared" si="12"/>
        <v>,</v>
      </c>
    </row>
    <row r="168" spans="1:10">
      <c r="A168" s="4" t="str">
        <f>'EN60'!A$3</f>
        <v>EN60</v>
      </c>
      <c r="B168" s="4">
        <f t="shared" si="13"/>
        <v>1</v>
      </c>
      <c r="C168" s="4">
        <f t="shared" si="14"/>
        <v>75</v>
      </c>
      <c r="D168" s="4">
        <f t="shared" si="8"/>
        <v>8</v>
      </c>
      <c r="E168" s="4" t="s">
        <v>27</v>
      </c>
      <c r="F168" s="4">
        <f t="shared" si="9"/>
        <v>800</v>
      </c>
      <c r="G168" s="5">
        <f t="shared" si="15"/>
        <v>1.01</v>
      </c>
      <c r="H168" s="6" t="str">
        <f t="shared" si="10"/>
        <v>INSERT INTO public.coupon (plancode, age, "year", couponrate, benefittype, benefitrate, premiumrate) VALUES('EN60', 1, 75, 8, 'A',800, 1.01);</v>
      </c>
      <c r="I168" s="6" t="str">
        <f t="shared" si="11"/>
        <v>{"age":"1", "year":"75", "couponrate":"8", "benefittype":"A", "benefitrate":"800", "premiumrate":"1.01"}</v>
      </c>
      <c r="J168" s="6" t="str">
        <f t="shared" si="12"/>
        <v>,</v>
      </c>
    </row>
    <row r="169" spans="1:10">
      <c r="A169" s="4" t="str">
        <f>'EN60'!A$3</f>
        <v>EN60</v>
      </c>
      <c r="B169" s="4">
        <f t="shared" si="13"/>
        <v>1</v>
      </c>
      <c r="C169" s="4">
        <f t="shared" si="14"/>
        <v>76</v>
      </c>
      <c r="D169" s="4">
        <f t="shared" si="8"/>
        <v>8</v>
      </c>
      <c r="E169" s="4" t="s">
        <v>27</v>
      </c>
      <c r="F169" s="4">
        <f t="shared" si="9"/>
        <v>800</v>
      </c>
      <c r="G169" s="5">
        <f t="shared" si="15"/>
        <v>1.01</v>
      </c>
      <c r="H169" s="6" t="str">
        <f t="shared" si="10"/>
        <v>INSERT INTO public.coupon (plancode, age, "year", couponrate, benefittype, benefitrate, premiumrate) VALUES('EN60', 1, 76, 8, 'A',800, 1.01);</v>
      </c>
      <c r="I169" s="6" t="str">
        <f t="shared" si="11"/>
        <v>{"age":"1", "year":"76", "couponrate":"8", "benefittype":"A", "benefitrate":"800", "premiumrate":"1.01"}</v>
      </c>
      <c r="J169" s="6" t="str">
        <f t="shared" si="12"/>
        <v>,</v>
      </c>
    </row>
    <row r="170" spans="1:10">
      <c r="A170" s="4" t="str">
        <f>'EN60'!A$3</f>
        <v>EN60</v>
      </c>
      <c r="B170" s="4">
        <f t="shared" si="13"/>
        <v>1</v>
      </c>
      <c r="C170" s="4">
        <f t="shared" si="14"/>
        <v>77</v>
      </c>
      <c r="D170" s="4">
        <f t="shared" si="8"/>
        <v>8</v>
      </c>
      <c r="E170" s="4" t="s">
        <v>27</v>
      </c>
      <c r="F170" s="4">
        <f t="shared" si="9"/>
        <v>800</v>
      </c>
      <c r="G170" s="5">
        <f t="shared" si="15"/>
        <v>1.01</v>
      </c>
      <c r="H170" s="6" t="str">
        <f t="shared" si="10"/>
        <v>INSERT INTO public.coupon (plancode, age, "year", couponrate, benefittype, benefitrate, premiumrate) VALUES('EN60', 1, 77, 8, 'A',800, 1.01);</v>
      </c>
      <c r="I170" s="6" t="str">
        <f t="shared" si="11"/>
        <v>{"age":"1", "year":"77", "couponrate":"8", "benefittype":"A", "benefitrate":"800", "premiumrate":"1.01"}</v>
      </c>
      <c r="J170" s="6" t="str">
        <f t="shared" si="12"/>
        <v>,</v>
      </c>
    </row>
    <row r="171" spans="1:10">
      <c r="A171" s="4" t="str">
        <f>'EN60'!A$3</f>
        <v>EN60</v>
      </c>
      <c r="B171" s="4">
        <f t="shared" si="13"/>
        <v>1</v>
      </c>
      <c r="C171" s="4">
        <f t="shared" si="14"/>
        <v>78</v>
      </c>
      <c r="D171" s="4">
        <f t="shared" si="8"/>
        <v>8</v>
      </c>
      <c r="E171" s="4" t="s">
        <v>27</v>
      </c>
      <c r="F171" s="4">
        <f t="shared" si="9"/>
        <v>800</v>
      </c>
      <c r="G171" s="5">
        <f t="shared" si="15"/>
        <v>1.01</v>
      </c>
      <c r="H171" s="6" t="str">
        <f t="shared" si="10"/>
        <v>INSERT INTO public.coupon (plancode, age, "year", couponrate, benefittype, benefitrate, premiumrate) VALUES('EN60', 1, 78, 8, 'A',800, 1.01);</v>
      </c>
      <c r="I171" s="6" t="str">
        <f t="shared" si="11"/>
        <v>{"age":"1", "year":"78", "couponrate":"8", "benefittype":"A", "benefitrate":"800", "premiumrate":"1.01"}</v>
      </c>
      <c r="J171" s="6" t="str">
        <f t="shared" si="12"/>
        <v>,</v>
      </c>
    </row>
    <row r="172" spans="1:10">
      <c r="A172" s="4" t="str">
        <f>'EN60'!A$3</f>
        <v>EN60</v>
      </c>
      <c r="B172" s="4">
        <f t="shared" si="13"/>
        <v>1</v>
      </c>
      <c r="C172" s="4">
        <f t="shared" si="14"/>
        <v>79</v>
      </c>
      <c r="D172" s="4">
        <f t="shared" si="8"/>
        <v>0</v>
      </c>
      <c r="E172" s="4" t="s">
        <v>27</v>
      </c>
      <c r="F172" s="4">
        <f t="shared" si="9"/>
        <v>800</v>
      </c>
      <c r="G172" s="5">
        <f t="shared" si="15"/>
        <v>1.01</v>
      </c>
      <c r="H172" s="6" t="str">
        <f t="shared" si="10"/>
        <v>INSERT INTO public.coupon (plancode, age, "year", couponrate, benefittype, benefitrate, premiumrate) VALUES('EN60', 1, 79, 0, 'A',800, 1.01);</v>
      </c>
      <c r="I172" s="6" t="str">
        <f t="shared" si="11"/>
        <v>{"age":"1", "year":"79", "couponrate":"0", "benefittype":"A", "benefitrate":"800", "premiumrate":"1.01"}</v>
      </c>
    </row>
    <row r="173" spans="1:10">
      <c r="C173" s="6"/>
      <c r="I173" s="6" t="s">
        <v>28</v>
      </c>
    </row>
    <row r="174" spans="1:10">
      <c r="A174" s="3" t="s">
        <v>2</v>
      </c>
      <c r="B174" s="3" t="s">
        <v>23</v>
      </c>
      <c r="C174" s="3" t="s">
        <v>24</v>
      </c>
      <c r="D174" s="3" t="s">
        <v>25</v>
      </c>
      <c r="E174" s="3" t="s">
        <v>8</v>
      </c>
      <c r="F174" s="3" t="s">
        <v>26</v>
      </c>
      <c r="G174" s="3" t="s">
        <v>4</v>
      </c>
      <c r="I174" s="6" t="str">
        <f>"[{""plancode"":"""&amp;A175&amp;""",""returncash"":"""&amp;B$7&amp;""",""ytable"":"""&amp;C$7&amp;""",""maturerate"":"""&amp;B$3&amp;""",""maturepmrate"":"""&amp;C$3&amp;""",""coupon"":["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175" spans="1:10">
      <c r="A175" s="4" t="str">
        <f>'EN60'!A$3</f>
        <v>EN60</v>
      </c>
      <c r="B175" s="8">
        <v>2</v>
      </c>
      <c r="C175" s="4">
        <v>1</v>
      </c>
      <c r="D175" s="4">
        <f t="shared" ref="D175:D252" si="16">IF(C175+B175=80,0,8)</f>
        <v>8</v>
      </c>
      <c r="E175" s="4" t="s">
        <v>27</v>
      </c>
      <c r="F175" s="4">
        <f t="shared" ref="F175:F252" si="17">IF(C175&gt;7, 800, C175*100)</f>
        <v>100</v>
      </c>
      <c r="G175" s="5">
        <f>'EN60'!C$3</f>
        <v>1.01</v>
      </c>
      <c r="H175" s="6" t="str">
        <f t="shared" ref="H175:H252" si="18">"INSERT INTO public.coupon ("&amp;A$11&amp;", "&amp;B$11&amp;", """&amp;C$11&amp;""", "&amp;D$11&amp;", "&amp;E$11&amp;", "&amp;F$11&amp;", "&amp;G$11&amp;") VALUES('"&amp;A175&amp;"', "&amp;B175&amp;", "&amp;C175&amp;", "&amp;D175&amp;", '"&amp;E175&amp;"',"&amp;F175&amp;", "&amp;G175&amp;");"</f>
        <v>INSERT INTO public.coupon (plancode, age, "year", couponrate, benefittype, benefitrate, premiumrate) VALUES('EN60', 2, 1, 8, 'A',100, 1.01);</v>
      </c>
      <c r="I175" s="6" t="str">
        <f t="shared" ref="I175:I252" si="19">"{""age"":"""&amp;B175&amp;""", ""year"":"""&amp;C175&amp;""", ""couponrate"":"""&amp;D175&amp;""", ""benefittype"":"""&amp;E175&amp;""", ""benefitrate"":"""&amp;F175&amp;""", """&amp;G$11&amp;""":"""&amp;G175&amp;"""}"</f>
        <v>{"age":"2", "year":"1", "couponrate":"8", "benefittype":"A", "benefitrate":"100", "premiumrate":"1.01"}</v>
      </c>
      <c r="J175" s="6" t="str">
        <f t="shared" ref="J175:J251" si="20">IF(OR(I176="]", I175="[", I175="]"), "", ",")</f>
        <v>,</v>
      </c>
    </row>
    <row r="176" spans="1:10">
      <c r="A176" s="4" t="str">
        <f>'EN60'!A$3</f>
        <v>EN60</v>
      </c>
      <c r="B176" s="4">
        <f t="shared" ref="B176:B252" si="21">B175</f>
        <v>2</v>
      </c>
      <c r="C176" s="4">
        <f t="shared" ref="C176:C252" si="22">C175+1</f>
        <v>2</v>
      </c>
      <c r="D176" s="4">
        <f t="shared" si="16"/>
        <v>8</v>
      </c>
      <c r="E176" s="4" t="s">
        <v>27</v>
      </c>
      <c r="F176" s="4">
        <f t="shared" si="17"/>
        <v>200</v>
      </c>
      <c r="G176" s="5">
        <f t="shared" ref="G176:G252" si="23">G175</f>
        <v>1.01</v>
      </c>
      <c r="H176" s="6" t="str">
        <f t="shared" si="18"/>
        <v>INSERT INTO public.coupon (plancode, age, "year", couponrate, benefittype, benefitrate, premiumrate) VALUES('EN60', 2, 2, 8, 'A',200, 1.01);</v>
      </c>
      <c r="I176" s="6" t="str">
        <f t="shared" si="19"/>
        <v>{"age":"2", "year":"2", "couponrate":"8", "benefittype":"A", "benefitrate":"200", "premiumrate":"1.01"}</v>
      </c>
      <c r="J176" s="6" t="str">
        <f t="shared" si="20"/>
        <v>,</v>
      </c>
    </row>
    <row r="177" spans="1:10">
      <c r="A177" s="4" t="str">
        <f>'EN60'!A$3</f>
        <v>EN60</v>
      </c>
      <c r="B177" s="4">
        <f t="shared" si="21"/>
        <v>2</v>
      </c>
      <c r="C177" s="4">
        <f t="shared" si="22"/>
        <v>3</v>
      </c>
      <c r="D177" s="4">
        <f t="shared" si="16"/>
        <v>8</v>
      </c>
      <c r="E177" s="4" t="s">
        <v>27</v>
      </c>
      <c r="F177" s="4">
        <f t="shared" si="17"/>
        <v>300</v>
      </c>
      <c r="G177" s="5">
        <f t="shared" si="23"/>
        <v>1.01</v>
      </c>
      <c r="H177" s="6" t="str">
        <f t="shared" si="18"/>
        <v>INSERT INTO public.coupon (plancode, age, "year", couponrate, benefittype, benefitrate, premiumrate) VALUES('EN60', 2, 3, 8, 'A',300, 1.01);</v>
      </c>
      <c r="I177" s="6" t="str">
        <f t="shared" si="19"/>
        <v>{"age":"2", "year":"3", "couponrate":"8", "benefittype":"A", "benefitrate":"300", "premiumrate":"1.01"}</v>
      </c>
      <c r="J177" s="6" t="str">
        <f t="shared" si="20"/>
        <v>,</v>
      </c>
    </row>
    <row r="178" spans="1:10">
      <c r="A178" s="4" t="str">
        <f>'EN60'!A$3</f>
        <v>EN60</v>
      </c>
      <c r="B178" s="4">
        <f t="shared" si="21"/>
        <v>2</v>
      </c>
      <c r="C178" s="4">
        <f t="shared" si="22"/>
        <v>4</v>
      </c>
      <c r="D178" s="4">
        <f t="shared" si="16"/>
        <v>8</v>
      </c>
      <c r="E178" s="4" t="s">
        <v>27</v>
      </c>
      <c r="F178" s="4">
        <f t="shared" si="17"/>
        <v>400</v>
      </c>
      <c r="G178" s="5">
        <f t="shared" si="23"/>
        <v>1.01</v>
      </c>
      <c r="H178" s="6" t="str">
        <f t="shared" si="18"/>
        <v>INSERT INTO public.coupon (plancode, age, "year", couponrate, benefittype, benefitrate, premiumrate) VALUES('EN60', 2, 4, 8, 'A',400, 1.01);</v>
      </c>
      <c r="I178" s="6" t="str">
        <f t="shared" si="19"/>
        <v>{"age":"2", "year":"4", "couponrate":"8", "benefittype":"A", "benefitrate":"400", "premiumrate":"1.01"}</v>
      </c>
      <c r="J178" s="6" t="str">
        <f t="shared" si="20"/>
        <v>,</v>
      </c>
    </row>
    <row r="179" spans="1:10">
      <c r="A179" s="4" t="str">
        <f>'EN60'!A$3</f>
        <v>EN60</v>
      </c>
      <c r="B179" s="4">
        <f t="shared" si="21"/>
        <v>2</v>
      </c>
      <c r="C179" s="4">
        <f t="shared" si="22"/>
        <v>5</v>
      </c>
      <c r="D179" s="4">
        <f t="shared" si="16"/>
        <v>8</v>
      </c>
      <c r="E179" s="4" t="s">
        <v>27</v>
      </c>
      <c r="F179" s="4">
        <f t="shared" si="17"/>
        <v>500</v>
      </c>
      <c r="G179" s="5">
        <f t="shared" si="23"/>
        <v>1.01</v>
      </c>
      <c r="H179" s="6" t="str">
        <f t="shared" si="18"/>
        <v>INSERT INTO public.coupon (plancode, age, "year", couponrate, benefittype, benefitrate, premiumrate) VALUES('EN60', 2, 5, 8, 'A',500, 1.01);</v>
      </c>
      <c r="I179" s="6" t="str">
        <f t="shared" si="19"/>
        <v>{"age":"2", "year":"5", "couponrate":"8", "benefittype":"A", "benefitrate":"500", "premiumrate":"1.01"}</v>
      </c>
      <c r="J179" s="6" t="str">
        <f t="shared" si="20"/>
        <v>,</v>
      </c>
    </row>
    <row r="180" spans="1:10">
      <c r="A180" s="4" t="str">
        <f>'EN60'!A$3</f>
        <v>EN60</v>
      </c>
      <c r="B180" s="4">
        <f t="shared" si="21"/>
        <v>2</v>
      </c>
      <c r="C180" s="4">
        <f t="shared" si="22"/>
        <v>6</v>
      </c>
      <c r="D180" s="4">
        <f t="shared" si="16"/>
        <v>8</v>
      </c>
      <c r="E180" s="4" t="s">
        <v>27</v>
      </c>
      <c r="F180" s="4">
        <f t="shared" si="17"/>
        <v>600</v>
      </c>
      <c r="G180" s="5">
        <f t="shared" si="23"/>
        <v>1.01</v>
      </c>
      <c r="H180" s="6" t="str">
        <f t="shared" si="18"/>
        <v>INSERT INTO public.coupon (plancode, age, "year", couponrate, benefittype, benefitrate, premiumrate) VALUES('EN60', 2, 6, 8, 'A',600, 1.01);</v>
      </c>
      <c r="I180" s="6" t="str">
        <f t="shared" si="19"/>
        <v>{"age":"2", "year":"6", "couponrate":"8", "benefittype":"A", "benefitrate":"600", "premiumrate":"1.01"}</v>
      </c>
      <c r="J180" s="6" t="str">
        <f t="shared" si="20"/>
        <v>,</v>
      </c>
    </row>
    <row r="181" spans="1:10">
      <c r="A181" s="4" t="str">
        <f>'EN60'!A$3</f>
        <v>EN60</v>
      </c>
      <c r="B181" s="4">
        <f t="shared" si="21"/>
        <v>2</v>
      </c>
      <c r="C181" s="4">
        <f t="shared" si="22"/>
        <v>7</v>
      </c>
      <c r="D181" s="4">
        <f t="shared" si="16"/>
        <v>8</v>
      </c>
      <c r="E181" s="4" t="s">
        <v>27</v>
      </c>
      <c r="F181" s="4">
        <f t="shared" si="17"/>
        <v>700</v>
      </c>
      <c r="G181" s="5">
        <f t="shared" si="23"/>
        <v>1.01</v>
      </c>
      <c r="H181" s="6" t="str">
        <f t="shared" si="18"/>
        <v>INSERT INTO public.coupon (plancode, age, "year", couponrate, benefittype, benefitrate, premiumrate) VALUES('EN60', 2, 7, 8, 'A',700, 1.01);</v>
      </c>
      <c r="I181" s="6" t="str">
        <f t="shared" si="19"/>
        <v>{"age":"2", "year":"7", "couponrate":"8", "benefittype":"A", "benefitrate":"700", "premiumrate":"1.01"}</v>
      </c>
      <c r="J181" s="6" t="str">
        <f t="shared" si="20"/>
        <v>,</v>
      </c>
    </row>
    <row r="182" spans="1:10">
      <c r="A182" s="4" t="str">
        <f>'EN60'!A$3</f>
        <v>EN60</v>
      </c>
      <c r="B182" s="4">
        <f t="shared" si="21"/>
        <v>2</v>
      </c>
      <c r="C182" s="4">
        <f t="shared" si="22"/>
        <v>8</v>
      </c>
      <c r="D182" s="4">
        <f t="shared" si="16"/>
        <v>8</v>
      </c>
      <c r="E182" s="4" t="s">
        <v>27</v>
      </c>
      <c r="F182" s="4">
        <f t="shared" si="17"/>
        <v>800</v>
      </c>
      <c r="G182" s="5">
        <f t="shared" si="23"/>
        <v>1.01</v>
      </c>
      <c r="H182" s="6" t="str">
        <f t="shared" si="18"/>
        <v>INSERT INTO public.coupon (plancode, age, "year", couponrate, benefittype, benefitrate, premiumrate) VALUES('EN60', 2, 8, 8, 'A',800, 1.01);</v>
      </c>
      <c r="I182" s="6" t="str">
        <f t="shared" si="19"/>
        <v>{"age":"2", "year":"8", "couponrate":"8", "benefittype":"A", "benefitrate":"800", "premiumrate":"1.01"}</v>
      </c>
      <c r="J182" s="6" t="str">
        <f t="shared" si="20"/>
        <v>,</v>
      </c>
    </row>
    <row r="183" spans="1:10">
      <c r="A183" s="4" t="str">
        <f>'EN60'!A$3</f>
        <v>EN60</v>
      </c>
      <c r="B183" s="4">
        <f t="shared" si="21"/>
        <v>2</v>
      </c>
      <c r="C183" s="4">
        <f t="shared" si="22"/>
        <v>9</v>
      </c>
      <c r="D183" s="4">
        <f t="shared" si="16"/>
        <v>8</v>
      </c>
      <c r="E183" s="4" t="s">
        <v>27</v>
      </c>
      <c r="F183" s="4">
        <f t="shared" si="17"/>
        <v>800</v>
      </c>
      <c r="G183" s="5">
        <f t="shared" si="23"/>
        <v>1.01</v>
      </c>
      <c r="H183" s="6" t="str">
        <f t="shared" si="18"/>
        <v>INSERT INTO public.coupon (plancode, age, "year", couponrate, benefittype, benefitrate, premiumrate) VALUES('EN60', 2, 9, 8, 'A',800, 1.01);</v>
      </c>
      <c r="I183" s="6" t="str">
        <f t="shared" si="19"/>
        <v>{"age":"2", "year":"9", "couponrate":"8", "benefittype":"A", "benefitrate":"800", "premiumrate":"1.01"}</v>
      </c>
      <c r="J183" s="6" t="str">
        <f t="shared" si="20"/>
        <v>,</v>
      </c>
    </row>
    <row r="184" spans="1:10">
      <c r="A184" s="4" t="str">
        <f>'EN60'!A$3</f>
        <v>EN60</v>
      </c>
      <c r="B184" s="4">
        <f t="shared" si="21"/>
        <v>2</v>
      </c>
      <c r="C184" s="4">
        <f t="shared" si="22"/>
        <v>10</v>
      </c>
      <c r="D184" s="4">
        <f t="shared" si="16"/>
        <v>8</v>
      </c>
      <c r="E184" s="4" t="s">
        <v>27</v>
      </c>
      <c r="F184" s="4">
        <f t="shared" si="17"/>
        <v>800</v>
      </c>
      <c r="G184" s="5">
        <f t="shared" si="23"/>
        <v>1.01</v>
      </c>
      <c r="H184" s="6" t="str">
        <f t="shared" si="18"/>
        <v>INSERT INTO public.coupon (plancode, age, "year", couponrate, benefittype, benefitrate, premiumrate) VALUES('EN60', 2, 10, 8, 'A',800, 1.01);</v>
      </c>
      <c r="I184" s="6" t="str">
        <f t="shared" si="19"/>
        <v>{"age":"2", "year":"10", "couponrate":"8", "benefittype":"A", "benefitrate":"800", "premiumrate":"1.01"}</v>
      </c>
      <c r="J184" s="6" t="str">
        <f t="shared" si="20"/>
        <v>,</v>
      </c>
    </row>
    <row r="185" spans="1:10">
      <c r="A185" s="4" t="str">
        <f>'EN60'!A$3</f>
        <v>EN60</v>
      </c>
      <c r="B185" s="4">
        <f t="shared" si="21"/>
        <v>2</v>
      </c>
      <c r="C185" s="4">
        <f t="shared" si="22"/>
        <v>11</v>
      </c>
      <c r="D185" s="4">
        <f t="shared" si="16"/>
        <v>8</v>
      </c>
      <c r="E185" s="4" t="s">
        <v>27</v>
      </c>
      <c r="F185" s="4">
        <f t="shared" si="17"/>
        <v>800</v>
      </c>
      <c r="G185" s="5">
        <f t="shared" si="23"/>
        <v>1.01</v>
      </c>
      <c r="H185" s="6" t="str">
        <f t="shared" si="18"/>
        <v>INSERT INTO public.coupon (plancode, age, "year", couponrate, benefittype, benefitrate, premiumrate) VALUES('EN60', 2, 11, 8, 'A',800, 1.01);</v>
      </c>
      <c r="I185" s="6" t="str">
        <f t="shared" si="19"/>
        <v>{"age":"2", "year":"11", "couponrate":"8", "benefittype":"A", "benefitrate":"800", "premiumrate":"1.01"}</v>
      </c>
      <c r="J185" s="6" t="str">
        <f t="shared" si="20"/>
        <v>,</v>
      </c>
    </row>
    <row r="186" spans="1:10">
      <c r="A186" s="4" t="str">
        <f>'EN60'!A$3</f>
        <v>EN60</v>
      </c>
      <c r="B186" s="4">
        <f t="shared" si="21"/>
        <v>2</v>
      </c>
      <c r="C186" s="4">
        <f t="shared" si="22"/>
        <v>12</v>
      </c>
      <c r="D186" s="4">
        <f t="shared" si="16"/>
        <v>8</v>
      </c>
      <c r="E186" s="4" t="s">
        <v>27</v>
      </c>
      <c r="F186" s="4">
        <f t="shared" si="17"/>
        <v>800</v>
      </c>
      <c r="G186" s="5">
        <f t="shared" si="23"/>
        <v>1.01</v>
      </c>
      <c r="H186" s="6" t="str">
        <f t="shared" si="18"/>
        <v>INSERT INTO public.coupon (plancode, age, "year", couponrate, benefittype, benefitrate, premiumrate) VALUES('EN60', 2, 12, 8, 'A',800, 1.01);</v>
      </c>
      <c r="I186" s="6" t="str">
        <f t="shared" si="19"/>
        <v>{"age":"2", "year":"12", "couponrate":"8", "benefittype":"A", "benefitrate":"800", "premiumrate":"1.01"}</v>
      </c>
      <c r="J186" s="6" t="str">
        <f t="shared" si="20"/>
        <v>,</v>
      </c>
    </row>
    <row r="187" spans="1:10">
      <c r="A187" s="4" t="str">
        <f>'EN60'!A$3</f>
        <v>EN60</v>
      </c>
      <c r="B187" s="4">
        <f t="shared" si="21"/>
        <v>2</v>
      </c>
      <c r="C187" s="4">
        <f t="shared" si="22"/>
        <v>13</v>
      </c>
      <c r="D187" s="4">
        <f t="shared" si="16"/>
        <v>8</v>
      </c>
      <c r="E187" s="4" t="s">
        <v>27</v>
      </c>
      <c r="F187" s="4">
        <f t="shared" si="17"/>
        <v>800</v>
      </c>
      <c r="G187" s="5">
        <f t="shared" si="23"/>
        <v>1.01</v>
      </c>
      <c r="H187" s="6" t="str">
        <f t="shared" si="18"/>
        <v>INSERT INTO public.coupon (plancode, age, "year", couponrate, benefittype, benefitrate, premiumrate) VALUES('EN60', 2, 13, 8, 'A',800, 1.01);</v>
      </c>
      <c r="I187" s="6" t="str">
        <f t="shared" si="19"/>
        <v>{"age":"2", "year":"13", "couponrate":"8", "benefittype":"A", "benefitrate":"800", "premiumrate":"1.01"}</v>
      </c>
      <c r="J187" s="6" t="str">
        <f t="shared" si="20"/>
        <v>,</v>
      </c>
    </row>
    <row r="188" spans="1:10">
      <c r="A188" s="4" t="str">
        <f>'EN60'!A$3</f>
        <v>EN60</v>
      </c>
      <c r="B188" s="4">
        <f t="shared" si="21"/>
        <v>2</v>
      </c>
      <c r="C188" s="4">
        <f t="shared" si="22"/>
        <v>14</v>
      </c>
      <c r="D188" s="4">
        <f t="shared" si="16"/>
        <v>8</v>
      </c>
      <c r="E188" s="4" t="s">
        <v>27</v>
      </c>
      <c r="F188" s="4">
        <f t="shared" si="17"/>
        <v>800</v>
      </c>
      <c r="G188" s="5">
        <f t="shared" si="23"/>
        <v>1.01</v>
      </c>
      <c r="H188" s="6" t="str">
        <f t="shared" si="18"/>
        <v>INSERT INTO public.coupon (plancode, age, "year", couponrate, benefittype, benefitrate, premiumrate) VALUES('EN60', 2, 14, 8, 'A',800, 1.01);</v>
      </c>
      <c r="I188" s="6" t="str">
        <f t="shared" si="19"/>
        <v>{"age":"2", "year":"14", "couponrate":"8", "benefittype":"A", "benefitrate":"800", "premiumrate":"1.01"}</v>
      </c>
      <c r="J188" s="6" t="str">
        <f t="shared" si="20"/>
        <v>,</v>
      </c>
    </row>
    <row r="189" spans="1:10">
      <c r="A189" s="4" t="str">
        <f>'EN60'!A$3</f>
        <v>EN60</v>
      </c>
      <c r="B189" s="4">
        <f t="shared" si="21"/>
        <v>2</v>
      </c>
      <c r="C189" s="4">
        <f t="shared" si="22"/>
        <v>15</v>
      </c>
      <c r="D189" s="4">
        <f t="shared" si="16"/>
        <v>8</v>
      </c>
      <c r="E189" s="4" t="s">
        <v>27</v>
      </c>
      <c r="F189" s="4">
        <f t="shared" si="17"/>
        <v>800</v>
      </c>
      <c r="G189" s="5">
        <f t="shared" si="23"/>
        <v>1.01</v>
      </c>
      <c r="H189" s="6" t="str">
        <f t="shared" si="18"/>
        <v>INSERT INTO public.coupon (plancode, age, "year", couponrate, benefittype, benefitrate, premiumrate) VALUES('EN60', 2, 15, 8, 'A',800, 1.01);</v>
      </c>
      <c r="I189" s="6" t="str">
        <f t="shared" si="19"/>
        <v>{"age":"2", "year":"15", "couponrate":"8", "benefittype":"A", "benefitrate":"800", "premiumrate":"1.01"}</v>
      </c>
      <c r="J189" s="6" t="str">
        <f t="shared" si="20"/>
        <v>,</v>
      </c>
    </row>
    <row r="190" spans="1:10">
      <c r="A190" s="4" t="str">
        <f>'EN60'!A$3</f>
        <v>EN60</v>
      </c>
      <c r="B190" s="4">
        <f t="shared" si="21"/>
        <v>2</v>
      </c>
      <c r="C190" s="4">
        <f t="shared" si="22"/>
        <v>16</v>
      </c>
      <c r="D190" s="4">
        <f t="shared" si="16"/>
        <v>8</v>
      </c>
      <c r="E190" s="4" t="s">
        <v>27</v>
      </c>
      <c r="F190" s="4">
        <f t="shared" si="17"/>
        <v>800</v>
      </c>
      <c r="G190" s="5">
        <f t="shared" si="23"/>
        <v>1.01</v>
      </c>
      <c r="H190" s="6" t="str">
        <f t="shared" si="18"/>
        <v>INSERT INTO public.coupon (plancode, age, "year", couponrate, benefittype, benefitrate, premiumrate) VALUES('EN60', 2, 16, 8, 'A',800, 1.01);</v>
      </c>
      <c r="I190" s="6" t="str">
        <f t="shared" si="19"/>
        <v>{"age":"2", "year":"16", "couponrate":"8", "benefittype":"A", "benefitrate":"800", "premiumrate":"1.01"}</v>
      </c>
      <c r="J190" s="6" t="str">
        <f t="shared" si="20"/>
        <v>,</v>
      </c>
    </row>
    <row r="191" spans="1:10">
      <c r="A191" s="4" t="str">
        <f>'EN60'!A$3</f>
        <v>EN60</v>
      </c>
      <c r="B191" s="4">
        <f t="shared" si="21"/>
        <v>2</v>
      </c>
      <c r="C191" s="4">
        <f t="shared" si="22"/>
        <v>17</v>
      </c>
      <c r="D191" s="4">
        <f t="shared" si="16"/>
        <v>8</v>
      </c>
      <c r="E191" s="4" t="s">
        <v>27</v>
      </c>
      <c r="F191" s="4">
        <f t="shared" si="17"/>
        <v>800</v>
      </c>
      <c r="G191" s="5">
        <f t="shared" si="23"/>
        <v>1.01</v>
      </c>
      <c r="H191" s="6" t="str">
        <f t="shared" si="18"/>
        <v>INSERT INTO public.coupon (plancode, age, "year", couponrate, benefittype, benefitrate, premiumrate) VALUES('EN60', 2, 17, 8, 'A',800, 1.01);</v>
      </c>
      <c r="I191" s="6" t="str">
        <f t="shared" si="19"/>
        <v>{"age":"2", "year":"17", "couponrate":"8", "benefittype":"A", "benefitrate":"800", "premiumrate":"1.01"}</v>
      </c>
      <c r="J191" s="6" t="str">
        <f t="shared" si="20"/>
        <v>,</v>
      </c>
    </row>
    <row r="192" spans="1:10">
      <c r="A192" s="4" t="str">
        <f>'EN60'!A$3</f>
        <v>EN60</v>
      </c>
      <c r="B192" s="4">
        <f t="shared" si="21"/>
        <v>2</v>
      </c>
      <c r="C192" s="4">
        <f t="shared" si="22"/>
        <v>18</v>
      </c>
      <c r="D192" s="4">
        <f t="shared" si="16"/>
        <v>8</v>
      </c>
      <c r="E192" s="4" t="s">
        <v>27</v>
      </c>
      <c r="F192" s="4">
        <f t="shared" si="17"/>
        <v>800</v>
      </c>
      <c r="G192" s="5">
        <f t="shared" si="23"/>
        <v>1.01</v>
      </c>
      <c r="H192" s="6" t="str">
        <f t="shared" si="18"/>
        <v>INSERT INTO public.coupon (plancode, age, "year", couponrate, benefittype, benefitrate, premiumrate) VALUES('EN60', 2, 18, 8, 'A',800, 1.01);</v>
      </c>
      <c r="I192" s="6" t="str">
        <f t="shared" si="19"/>
        <v>{"age":"2", "year":"18", "couponrate":"8", "benefittype":"A", "benefitrate":"800", "premiumrate":"1.01"}</v>
      </c>
      <c r="J192" s="6" t="str">
        <f t="shared" si="20"/>
        <v>,</v>
      </c>
    </row>
    <row r="193" spans="1:10">
      <c r="A193" s="4" t="str">
        <f>'EN60'!A$3</f>
        <v>EN60</v>
      </c>
      <c r="B193" s="4">
        <f t="shared" si="21"/>
        <v>2</v>
      </c>
      <c r="C193" s="4">
        <f t="shared" si="22"/>
        <v>19</v>
      </c>
      <c r="D193" s="4">
        <f t="shared" si="16"/>
        <v>8</v>
      </c>
      <c r="E193" s="4" t="s">
        <v>27</v>
      </c>
      <c r="F193" s="4">
        <f t="shared" si="17"/>
        <v>800</v>
      </c>
      <c r="G193" s="5">
        <f t="shared" si="23"/>
        <v>1.01</v>
      </c>
      <c r="H193" s="6" t="str">
        <f t="shared" si="18"/>
        <v>INSERT INTO public.coupon (plancode, age, "year", couponrate, benefittype, benefitrate, premiumrate) VALUES('EN60', 2, 19, 8, 'A',800, 1.01);</v>
      </c>
      <c r="I193" s="6" t="str">
        <f t="shared" si="19"/>
        <v>{"age":"2", "year":"19", "couponrate":"8", "benefittype":"A", "benefitrate":"800", "premiumrate":"1.01"}</v>
      </c>
      <c r="J193" s="6" t="str">
        <f t="shared" si="20"/>
        <v>,</v>
      </c>
    </row>
    <row r="194" spans="1:10">
      <c r="A194" s="4" t="str">
        <f>'EN60'!A$3</f>
        <v>EN60</v>
      </c>
      <c r="B194" s="4">
        <f t="shared" si="21"/>
        <v>2</v>
      </c>
      <c r="C194" s="4">
        <f t="shared" si="22"/>
        <v>20</v>
      </c>
      <c r="D194" s="4">
        <f t="shared" si="16"/>
        <v>8</v>
      </c>
      <c r="E194" s="4" t="s">
        <v>27</v>
      </c>
      <c r="F194" s="4">
        <f t="shared" si="17"/>
        <v>800</v>
      </c>
      <c r="G194" s="5">
        <f t="shared" si="23"/>
        <v>1.01</v>
      </c>
      <c r="H194" s="6" t="str">
        <f t="shared" si="18"/>
        <v>INSERT INTO public.coupon (plancode, age, "year", couponrate, benefittype, benefitrate, premiumrate) VALUES('EN60', 2, 20, 8, 'A',800, 1.01);</v>
      </c>
      <c r="I194" s="6" t="str">
        <f t="shared" si="19"/>
        <v>{"age":"2", "year":"20", "couponrate":"8", "benefittype":"A", "benefitrate":"800", "premiumrate":"1.01"}</v>
      </c>
      <c r="J194" s="6" t="str">
        <f t="shared" si="20"/>
        <v>,</v>
      </c>
    </row>
    <row r="195" spans="1:10">
      <c r="A195" s="4" t="str">
        <f>'EN60'!A$3</f>
        <v>EN60</v>
      </c>
      <c r="B195" s="4">
        <f t="shared" si="21"/>
        <v>2</v>
      </c>
      <c r="C195" s="4">
        <f t="shared" si="22"/>
        <v>21</v>
      </c>
      <c r="D195" s="4">
        <f t="shared" si="16"/>
        <v>8</v>
      </c>
      <c r="E195" s="4" t="s">
        <v>27</v>
      </c>
      <c r="F195" s="4">
        <f t="shared" si="17"/>
        <v>800</v>
      </c>
      <c r="G195" s="5">
        <f t="shared" si="23"/>
        <v>1.01</v>
      </c>
      <c r="H195" s="6" t="str">
        <f t="shared" si="18"/>
        <v>INSERT INTO public.coupon (plancode, age, "year", couponrate, benefittype, benefitrate, premiumrate) VALUES('EN60', 2, 21, 8, 'A',800, 1.01);</v>
      </c>
      <c r="I195" s="6" t="str">
        <f t="shared" si="19"/>
        <v>{"age":"2", "year":"21", "couponrate":"8", "benefittype":"A", "benefitrate":"800", "premiumrate":"1.01"}</v>
      </c>
      <c r="J195" s="6" t="str">
        <f t="shared" si="20"/>
        <v>,</v>
      </c>
    </row>
    <row r="196" spans="1:10">
      <c r="A196" s="4" t="str">
        <f>'EN60'!A$3</f>
        <v>EN60</v>
      </c>
      <c r="B196" s="4">
        <f t="shared" si="21"/>
        <v>2</v>
      </c>
      <c r="C196" s="4">
        <f t="shared" si="22"/>
        <v>22</v>
      </c>
      <c r="D196" s="4">
        <f t="shared" si="16"/>
        <v>8</v>
      </c>
      <c r="E196" s="4" t="s">
        <v>27</v>
      </c>
      <c r="F196" s="4">
        <f t="shared" si="17"/>
        <v>800</v>
      </c>
      <c r="G196" s="5">
        <f t="shared" si="23"/>
        <v>1.01</v>
      </c>
      <c r="H196" s="6" t="str">
        <f t="shared" si="18"/>
        <v>INSERT INTO public.coupon (plancode, age, "year", couponrate, benefittype, benefitrate, premiumrate) VALUES('EN60', 2, 22, 8, 'A',800, 1.01);</v>
      </c>
      <c r="I196" s="6" t="str">
        <f t="shared" si="19"/>
        <v>{"age":"2", "year":"22", "couponrate":"8", "benefittype":"A", "benefitrate":"800", "premiumrate":"1.01"}</v>
      </c>
      <c r="J196" s="6" t="str">
        <f t="shared" si="20"/>
        <v>,</v>
      </c>
    </row>
    <row r="197" spans="1:10">
      <c r="A197" s="4" t="str">
        <f>'EN60'!A$3</f>
        <v>EN60</v>
      </c>
      <c r="B197" s="4">
        <f t="shared" si="21"/>
        <v>2</v>
      </c>
      <c r="C197" s="4">
        <f t="shared" si="22"/>
        <v>23</v>
      </c>
      <c r="D197" s="4">
        <f t="shared" si="16"/>
        <v>8</v>
      </c>
      <c r="E197" s="4" t="s">
        <v>27</v>
      </c>
      <c r="F197" s="4">
        <f t="shared" si="17"/>
        <v>800</v>
      </c>
      <c r="G197" s="5">
        <f t="shared" si="23"/>
        <v>1.01</v>
      </c>
      <c r="H197" s="6" t="str">
        <f t="shared" si="18"/>
        <v>INSERT INTO public.coupon (plancode, age, "year", couponrate, benefittype, benefitrate, premiumrate) VALUES('EN60', 2, 23, 8, 'A',800, 1.01);</v>
      </c>
      <c r="I197" s="6" t="str">
        <f t="shared" si="19"/>
        <v>{"age":"2", "year":"23", "couponrate":"8", "benefittype":"A", "benefitrate":"800", "premiumrate":"1.01"}</v>
      </c>
      <c r="J197" s="6" t="str">
        <f t="shared" si="20"/>
        <v>,</v>
      </c>
    </row>
    <row r="198" spans="1:10">
      <c r="A198" s="4" t="str">
        <f>'EN60'!A$3</f>
        <v>EN60</v>
      </c>
      <c r="B198" s="4">
        <f t="shared" si="21"/>
        <v>2</v>
      </c>
      <c r="C198" s="4">
        <f t="shared" si="22"/>
        <v>24</v>
      </c>
      <c r="D198" s="4">
        <f t="shared" si="16"/>
        <v>8</v>
      </c>
      <c r="E198" s="4" t="s">
        <v>27</v>
      </c>
      <c r="F198" s="4">
        <f t="shared" si="17"/>
        <v>800</v>
      </c>
      <c r="G198" s="5">
        <f t="shared" si="23"/>
        <v>1.01</v>
      </c>
      <c r="H198" s="6" t="str">
        <f t="shared" si="18"/>
        <v>INSERT INTO public.coupon (plancode, age, "year", couponrate, benefittype, benefitrate, premiumrate) VALUES('EN60', 2, 24, 8, 'A',800, 1.01);</v>
      </c>
      <c r="I198" s="6" t="str">
        <f t="shared" si="19"/>
        <v>{"age":"2", "year":"24", "couponrate":"8", "benefittype":"A", "benefitrate":"800", "premiumrate":"1.01"}</v>
      </c>
      <c r="J198" s="6" t="str">
        <f t="shared" si="20"/>
        <v>,</v>
      </c>
    </row>
    <row r="199" spans="1:10">
      <c r="A199" s="4" t="str">
        <f>'EN60'!A$3</f>
        <v>EN60</v>
      </c>
      <c r="B199" s="4">
        <f t="shared" si="21"/>
        <v>2</v>
      </c>
      <c r="C199" s="4">
        <f t="shared" si="22"/>
        <v>25</v>
      </c>
      <c r="D199" s="4">
        <f t="shared" si="16"/>
        <v>8</v>
      </c>
      <c r="E199" s="4" t="s">
        <v>27</v>
      </c>
      <c r="F199" s="4">
        <f t="shared" si="17"/>
        <v>800</v>
      </c>
      <c r="G199" s="5">
        <f t="shared" si="23"/>
        <v>1.01</v>
      </c>
      <c r="H199" s="6" t="str">
        <f t="shared" si="18"/>
        <v>INSERT INTO public.coupon (plancode, age, "year", couponrate, benefittype, benefitrate, premiumrate) VALUES('EN60', 2, 25, 8, 'A',800, 1.01);</v>
      </c>
      <c r="I199" s="6" t="str">
        <f t="shared" si="19"/>
        <v>{"age":"2", "year":"25", "couponrate":"8", "benefittype":"A", "benefitrate":"800", "premiumrate":"1.01"}</v>
      </c>
      <c r="J199" s="6" t="str">
        <f t="shared" si="20"/>
        <v>,</v>
      </c>
    </row>
    <row r="200" spans="1:10">
      <c r="A200" s="4" t="str">
        <f>'EN60'!A$3</f>
        <v>EN60</v>
      </c>
      <c r="B200" s="4">
        <f t="shared" si="21"/>
        <v>2</v>
      </c>
      <c r="C200" s="4">
        <f t="shared" si="22"/>
        <v>26</v>
      </c>
      <c r="D200" s="4">
        <f t="shared" si="16"/>
        <v>8</v>
      </c>
      <c r="E200" s="4" t="s">
        <v>27</v>
      </c>
      <c r="F200" s="4">
        <f t="shared" si="17"/>
        <v>800</v>
      </c>
      <c r="G200" s="5">
        <f t="shared" si="23"/>
        <v>1.01</v>
      </c>
      <c r="H200" s="6" t="str">
        <f t="shared" si="18"/>
        <v>INSERT INTO public.coupon (plancode, age, "year", couponrate, benefittype, benefitrate, premiumrate) VALUES('EN60', 2, 26, 8, 'A',800, 1.01);</v>
      </c>
      <c r="I200" s="6" t="str">
        <f t="shared" si="19"/>
        <v>{"age":"2", "year":"26", "couponrate":"8", "benefittype":"A", "benefitrate":"800", "premiumrate":"1.01"}</v>
      </c>
      <c r="J200" s="6" t="str">
        <f t="shared" si="20"/>
        <v>,</v>
      </c>
    </row>
    <row r="201" spans="1:10">
      <c r="A201" s="4" t="str">
        <f>'EN60'!A$3</f>
        <v>EN60</v>
      </c>
      <c r="B201" s="4">
        <f t="shared" si="21"/>
        <v>2</v>
      </c>
      <c r="C201" s="4">
        <f t="shared" si="22"/>
        <v>27</v>
      </c>
      <c r="D201" s="4">
        <f t="shared" si="16"/>
        <v>8</v>
      </c>
      <c r="E201" s="4" t="s">
        <v>27</v>
      </c>
      <c r="F201" s="4">
        <f t="shared" si="17"/>
        <v>800</v>
      </c>
      <c r="G201" s="5">
        <f t="shared" si="23"/>
        <v>1.01</v>
      </c>
      <c r="H201" s="6" t="str">
        <f t="shared" si="18"/>
        <v>INSERT INTO public.coupon (plancode, age, "year", couponrate, benefittype, benefitrate, premiumrate) VALUES('EN60', 2, 27, 8, 'A',800, 1.01);</v>
      </c>
      <c r="I201" s="6" t="str">
        <f t="shared" si="19"/>
        <v>{"age":"2", "year":"27", "couponrate":"8", "benefittype":"A", "benefitrate":"800", "premiumrate":"1.01"}</v>
      </c>
      <c r="J201" s="6" t="str">
        <f t="shared" si="20"/>
        <v>,</v>
      </c>
    </row>
    <row r="202" spans="1:10">
      <c r="A202" s="4" t="str">
        <f>'EN60'!A$3</f>
        <v>EN60</v>
      </c>
      <c r="B202" s="4">
        <f t="shared" si="21"/>
        <v>2</v>
      </c>
      <c r="C202" s="4">
        <f t="shared" si="22"/>
        <v>28</v>
      </c>
      <c r="D202" s="4">
        <f t="shared" si="16"/>
        <v>8</v>
      </c>
      <c r="E202" s="4" t="s">
        <v>27</v>
      </c>
      <c r="F202" s="4">
        <f t="shared" si="17"/>
        <v>800</v>
      </c>
      <c r="G202" s="5">
        <f t="shared" si="23"/>
        <v>1.01</v>
      </c>
      <c r="H202" s="6" t="str">
        <f t="shared" si="18"/>
        <v>INSERT INTO public.coupon (plancode, age, "year", couponrate, benefittype, benefitrate, premiumrate) VALUES('EN60', 2, 28, 8, 'A',800, 1.01);</v>
      </c>
      <c r="I202" s="6" t="str">
        <f t="shared" si="19"/>
        <v>{"age":"2", "year":"28", "couponrate":"8", "benefittype":"A", "benefitrate":"800", "premiumrate":"1.01"}</v>
      </c>
      <c r="J202" s="6" t="str">
        <f t="shared" si="20"/>
        <v>,</v>
      </c>
    </row>
    <row r="203" spans="1:10">
      <c r="A203" s="4" t="str">
        <f>'EN60'!A$3</f>
        <v>EN60</v>
      </c>
      <c r="B203" s="4">
        <f t="shared" si="21"/>
        <v>2</v>
      </c>
      <c r="C203" s="4">
        <f t="shared" si="22"/>
        <v>29</v>
      </c>
      <c r="D203" s="4">
        <f t="shared" si="16"/>
        <v>8</v>
      </c>
      <c r="E203" s="4" t="s">
        <v>27</v>
      </c>
      <c r="F203" s="4">
        <f t="shared" si="17"/>
        <v>800</v>
      </c>
      <c r="G203" s="5">
        <f t="shared" si="23"/>
        <v>1.01</v>
      </c>
      <c r="H203" s="6" t="str">
        <f t="shared" si="18"/>
        <v>INSERT INTO public.coupon (plancode, age, "year", couponrate, benefittype, benefitrate, premiumrate) VALUES('EN60', 2, 29, 8, 'A',800, 1.01);</v>
      </c>
      <c r="I203" s="6" t="str">
        <f t="shared" si="19"/>
        <v>{"age":"2", "year":"29", "couponrate":"8", "benefittype":"A", "benefitrate":"800", "premiumrate":"1.01"}</v>
      </c>
      <c r="J203" s="6" t="str">
        <f t="shared" si="20"/>
        <v>,</v>
      </c>
    </row>
    <row r="204" spans="1:10">
      <c r="A204" s="4" t="str">
        <f>'EN60'!A$3</f>
        <v>EN60</v>
      </c>
      <c r="B204" s="4">
        <f t="shared" si="21"/>
        <v>2</v>
      </c>
      <c r="C204" s="4">
        <f t="shared" si="22"/>
        <v>30</v>
      </c>
      <c r="D204" s="4">
        <f t="shared" si="16"/>
        <v>8</v>
      </c>
      <c r="E204" s="4" t="s">
        <v>27</v>
      </c>
      <c r="F204" s="4">
        <f t="shared" si="17"/>
        <v>800</v>
      </c>
      <c r="G204" s="5">
        <f t="shared" si="23"/>
        <v>1.01</v>
      </c>
      <c r="H204" s="6" t="str">
        <f t="shared" si="18"/>
        <v>INSERT INTO public.coupon (plancode, age, "year", couponrate, benefittype, benefitrate, premiumrate) VALUES('EN60', 2, 30, 8, 'A',800, 1.01);</v>
      </c>
      <c r="I204" s="6" t="str">
        <f t="shared" si="19"/>
        <v>{"age":"2", "year":"30", "couponrate":"8", "benefittype":"A", "benefitrate":"800", "premiumrate":"1.01"}</v>
      </c>
      <c r="J204" s="6" t="str">
        <f t="shared" si="20"/>
        <v>,</v>
      </c>
    </row>
    <row r="205" spans="1:10">
      <c r="A205" s="4" t="str">
        <f>'EN60'!A$3</f>
        <v>EN60</v>
      </c>
      <c r="B205" s="4">
        <f t="shared" si="21"/>
        <v>2</v>
      </c>
      <c r="C205" s="4">
        <f t="shared" si="22"/>
        <v>31</v>
      </c>
      <c r="D205" s="4">
        <f t="shared" si="16"/>
        <v>8</v>
      </c>
      <c r="E205" s="4" t="s">
        <v>27</v>
      </c>
      <c r="F205" s="4">
        <f t="shared" si="17"/>
        <v>800</v>
      </c>
      <c r="G205" s="5">
        <f t="shared" si="23"/>
        <v>1.01</v>
      </c>
      <c r="H205" s="6" t="str">
        <f t="shared" si="18"/>
        <v>INSERT INTO public.coupon (plancode, age, "year", couponrate, benefittype, benefitrate, premiumrate) VALUES('EN60', 2, 31, 8, 'A',800, 1.01);</v>
      </c>
      <c r="I205" s="6" t="str">
        <f t="shared" si="19"/>
        <v>{"age":"2", "year":"31", "couponrate":"8", "benefittype":"A", "benefitrate":"800", "premiumrate":"1.01"}</v>
      </c>
      <c r="J205" s="6" t="str">
        <f t="shared" si="20"/>
        <v>,</v>
      </c>
    </row>
    <row r="206" spans="1:10">
      <c r="A206" s="4" t="str">
        <f>'EN60'!A$3</f>
        <v>EN60</v>
      </c>
      <c r="B206" s="4">
        <f t="shared" si="21"/>
        <v>2</v>
      </c>
      <c r="C206" s="4">
        <f t="shared" si="22"/>
        <v>32</v>
      </c>
      <c r="D206" s="4">
        <f t="shared" si="16"/>
        <v>8</v>
      </c>
      <c r="E206" s="4" t="s">
        <v>27</v>
      </c>
      <c r="F206" s="4">
        <f t="shared" si="17"/>
        <v>800</v>
      </c>
      <c r="G206" s="5">
        <f t="shared" si="23"/>
        <v>1.01</v>
      </c>
      <c r="H206" s="6" t="str">
        <f t="shared" si="18"/>
        <v>INSERT INTO public.coupon (plancode, age, "year", couponrate, benefittype, benefitrate, premiumrate) VALUES('EN60', 2, 32, 8, 'A',800, 1.01);</v>
      </c>
      <c r="I206" s="6" t="str">
        <f t="shared" si="19"/>
        <v>{"age":"2", "year":"32", "couponrate":"8", "benefittype":"A", "benefitrate":"800", "premiumrate":"1.01"}</v>
      </c>
      <c r="J206" s="6" t="str">
        <f t="shared" si="20"/>
        <v>,</v>
      </c>
    </row>
    <row r="207" spans="1:10">
      <c r="A207" s="4" t="str">
        <f>'EN60'!A$3</f>
        <v>EN60</v>
      </c>
      <c r="B207" s="4">
        <f t="shared" si="21"/>
        <v>2</v>
      </c>
      <c r="C207" s="4">
        <f t="shared" si="22"/>
        <v>33</v>
      </c>
      <c r="D207" s="4">
        <f t="shared" si="16"/>
        <v>8</v>
      </c>
      <c r="E207" s="4" t="s">
        <v>27</v>
      </c>
      <c r="F207" s="4">
        <f t="shared" si="17"/>
        <v>800</v>
      </c>
      <c r="G207" s="5">
        <f t="shared" si="23"/>
        <v>1.01</v>
      </c>
      <c r="H207" s="6" t="str">
        <f t="shared" si="18"/>
        <v>INSERT INTO public.coupon (plancode, age, "year", couponrate, benefittype, benefitrate, premiumrate) VALUES('EN60', 2, 33, 8, 'A',800, 1.01);</v>
      </c>
      <c r="I207" s="6" t="str">
        <f t="shared" si="19"/>
        <v>{"age":"2", "year":"33", "couponrate":"8", "benefittype":"A", "benefitrate":"800", "premiumrate":"1.01"}</v>
      </c>
      <c r="J207" s="6" t="str">
        <f t="shared" si="20"/>
        <v>,</v>
      </c>
    </row>
    <row r="208" spans="1:10">
      <c r="A208" s="4" t="str">
        <f>'EN60'!A$3</f>
        <v>EN60</v>
      </c>
      <c r="B208" s="4">
        <f t="shared" si="21"/>
        <v>2</v>
      </c>
      <c r="C208" s="4">
        <f t="shared" si="22"/>
        <v>34</v>
      </c>
      <c r="D208" s="4">
        <f t="shared" si="16"/>
        <v>8</v>
      </c>
      <c r="E208" s="4" t="s">
        <v>27</v>
      </c>
      <c r="F208" s="4">
        <f t="shared" si="17"/>
        <v>800</v>
      </c>
      <c r="G208" s="5">
        <f t="shared" si="23"/>
        <v>1.01</v>
      </c>
      <c r="H208" s="6" t="str">
        <f t="shared" si="18"/>
        <v>INSERT INTO public.coupon (plancode, age, "year", couponrate, benefittype, benefitrate, premiumrate) VALUES('EN60', 2, 34, 8, 'A',800, 1.01);</v>
      </c>
      <c r="I208" s="6" t="str">
        <f t="shared" si="19"/>
        <v>{"age":"2", "year":"34", "couponrate":"8", "benefittype":"A", "benefitrate":"800", "premiumrate":"1.01"}</v>
      </c>
      <c r="J208" s="6" t="str">
        <f t="shared" si="20"/>
        <v>,</v>
      </c>
    </row>
    <row r="209" spans="1:10">
      <c r="A209" s="4" t="str">
        <f>'EN60'!A$3</f>
        <v>EN60</v>
      </c>
      <c r="B209" s="4">
        <f t="shared" si="21"/>
        <v>2</v>
      </c>
      <c r="C209" s="4">
        <f t="shared" si="22"/>
        <v>35</v>
      </c>
      <c r="D209" s="4">
        <f t="shared" si="16"/>
        <v>8</v>
      </c>
      <c r="E209" s="4" t="s">
        <v>27</v>
      </c>
      <c r="F209" s="4">
        <f t="shared" si="17"/>
        <v>800</v>
      </c>
      <c r="G209" s="5">
        <f t="shared" si="23"/>
        <v>1.01</v>
      </c>
      <c r="H209" s="6" t="str">
        <f t="shared" si="18"/>
        <v>INSERT INTO public.coupon (plancode, age, "year", couponrate, benefittype, benefitrate, premiumrate) VALUES('EN60', 2, 35, 8, 'A',800, 1.01);</v>
      </c>
      <c r="I209" s="6" t="str">
        <f t="shared" si="19"/>
        <v>{"age":"2", "year":"35", "couponrate":"8", "benefittype":"A", "benefitrate":"800", "premiumrate":"1.01"}</v>
      </c>
      <c r="J209" s="6" t="str">
        <f t="shared" si="20"/>
        <v>,</v>
      </c>
    </row>
    <row r="210" spans="1:10">
      <c r="A210" s="4" t="str">
        <f>'EN60'!A$3</f>
        <v>EN60</v>
      </c>
      <c r="B210" s="4">
        <f t="shared" si="21"/>
        <v>2</v>
      </c>
      <c r="C210" s="4">
        <f t="shared" si="22"/>
        <v>36</v>
      </c>
      <c r="D210" s="4">
        <f t="shared" si="16"/>
        <v>8</v>
      </c>
      <c r="E210" s="4" t="s">
        <v>27</v>
      </c>
      <c r="F210" s="4">
        <f t="shared" si="17"/>
        <v>800</v>
      </c>
      <c r="G210" s="5">
        <f t="shared" si="23"/>
        <v>1.01</v>
      </c>
      <c r="H210" s="6" t="str">
        <f t="shared" si="18"/>
        <v>INSERT INTO public.coupon (plancode, age, "year", couponrate, benefittype, benefitrate, premiumrate) VALUES('EN60', 2, 36, 8, 'A',800, 1.01);</v>
      </c>
      <c r="I210" s="6" t="str">
        <f t="shared" si="19"/>
        <v>{"age":"2", "year":"36", "couponrate":"8", "benefittype":"A", "benefitrate":"800", "premiumrate":"1.01"}</v>
      </c>
      <c r="J210" s="6" t="str">
        <f t="shared" si="20"/>
        <v>,</v>
      </c>
    </row>
    <row r="211" spans="1:10">
      <c r="A211" s="4" t="str">
        <f>'EN60'!A$3</f>
        <v>EN60</v>
      </c>
      <c r="B211" s="4">
        <f t="shared" si="21"/>
        <v>2</v>
      </c>
      <c r="C211" s="4">
        <f t="shared" si="22"/>
        <v>37</v>
      </c>
      <c r="D211" s="4">
        <f t="shared" si="16"/>
        <v>8</v>
      </c>
      <c r="E211" s="4" t="s">
        <v>27</v>
      </c>
      <c r="F211" s="4">
        <f t="shared" si="17"/>
        <v>800</v>
      </c>
      <c r="G211" s="5">
        <f t="shared" si="23"/>
        <v>1.01</v>
      </c>
      <c r="H211" s="6" t="str">
        <f t="shared" si="18"/>
        <v>INSERT INTO public.coupon (plancode, age, "year", couponrate, benefittype, benefitrate, premiumrate) VALUES('EN60', 2, 37, 8, 'A',800, 1.01);</v>
      </c>
      <c r="I211" s="6" t="str">
        <f t="shared" si="19"/>
        <v>{"age":"2", "year":"37", "couponrate":"8", "benefittype":"A", "benefitrate":"800", "premiumrate":"1.01"}</v>
      </c>
      <c r="J211" s="6" t="str">
        <f t="shared" si="20"/>
        <v>,</v>
      </c>
    </row>
    <row r="212" spans="1:10">
      <c r="A212" s="4" t="str">
        <f>'EN60'!A$3</f>
        <v>EN60</v>
      </c>
      <c r="B212" s="4">
        <f t="shared" si="21"/>
        <v>2</v>
      </c>
      <c r="C212" s="4">
        <f t="shared" si="22"/>
        <v>38</v>
      </c>
      <c r="D212" s="4">
        <f t="shared" si="16"/>
        <v>8</v>
      </c>
      <c r="E212" s="4" t="s">
        <v>27</v>
      </c>
      <c r="F212" s="4">
        <f t="shared" si="17"/>
        <v>800</v>
      </c>
      <c r="G212" s="5">
        <f t="shared" si="23"/>
        <v>1.01</v>
      </c>
      <c r="H212" s="6" t="str">
        <f t="shared" si="18"/>
        <v>INSERT INTO public.coupon (plancode, age, "year", couponrate, benefittype, benefitrate, premiumrate) VALUES('EN60', 2, 38, 8, 'A',800, 1.01);</v>
      </c>
      <c r="I212" s="6" t="str">
        <f t="shared" si="19"/>
        <v>{"age":"2", "year":"38", "couponrate":"8", "benefittype":"A", "benefitrate":"800", "premiumrate":"1.01"}</v>
      </c>
      <c r="J212" s="6" t="str">
        <f t="shared" si="20"/>
        <v>,</v>
      </c>
    </row>
    <row r="213" spans="1:10">
      <c r="A213" s="4" t="str">
        <f>'EN60'!A$3</f>
        <v>EN60</v>
      </c>
      <c r="B213" s="4">
        <f t="shared" si="21"/>
        <v>2</v>
      </c>
      <c r="C213" s="4">
        <f t="shared" si="22"/>
        <v>39</v>
      </c>
      <c r="D213" s="4">
        <f t="shared" si="16"/>
        <v>8</v>
      </c>
      <c r="E213" s="4" t="s">
        <v>27</v>
      </c>
      <c r="F213" s="4">
        <f t="shared" si="17"/>
        <v>800</v>
      </c>
      <c r="G213" s="5">
        <f t="shared" si="23"/>
        <v>1.01</v>
      </c>
      <c r="H213" s="6" t="str">
        <f t="shared" si="18"/>
        <v>INSERT INTO public.coupon (plancode, age, "year", couponrate, benefittype, benefitrate, premiumrate) VALUES('EN60', 2, 39, 8, 'A',800, 1.01);</v>
      </c>
      <c r="I213" s="6" t="str">
        <f t="shared" si="19"/>
        <v>{"age":"2", "year":"39", "couponrate":"8", "benefittype":"A", "benefitrate":"800", "premiumrate":"1.01"}</v>
      </c>
      <c r="J213" s="6" t="str">
        <f t="shared" si="20"/>
        <v>,</v>
      </c>
    </row>
    <row r="214" spans="1:10">
      <c r="A214" s="4" t="str">
        <f>'EN60'!A$3</f>
        <v>EN60</v>
      </c>
      <c r="B214" s="4">
        <f t="shared" si="21"/>
        <v>2</v>
      </c>
      <c r="C214" s="4">
        <f t="shared" si="22"/>
        <v>40</v>
      </c>
      <c r="D214" s="4">
        <f t="shared" si="16"/>
        <v>8</v>
      </c>
      <c r="E214" s="4" t="s">
        <v>27</v>
      </c>
      <c r="F214" s="4">
        <f t="shared" si="17"/>
        <v>800</v>
      </c>
      <c r="G214" s="5">
        <f t="shared" si="23"/>
        <v>1.01</v>
      </c>
      <c r="H214" s="6" t="str">
        <f t="shared" si="18"/>
        <v>INSERT INTO public.coupon (plancode, age, "year", couponrate, benefittype, benefitrate, premiumrate) VALUES('EN60', 2, 40, 8, 'A',800, 1.01);</v>
      </c>
      <c r="I214" s="6" t="str">
        <f t="shared" si="19"/>
        <v>{"age":"2", "year":"40", "couponrate":"8", "benefittype":"A", "benefitrate":"800", "premiumrate":"1.01"}</v>
      </c>
      <c r="J214" s="6" t="str">
        <f t="shared" si="20"/>
        <v>,</v>
      </c>
    </row>
    <row r="215" spans="1:10">
      <c r="A215" s="4" t="str">
        <f>'EN60'!A$3</f>
        <v>EN60</v>
      </c>
      <c r="B215" s="4">
        <f t="shared" si="21"/>
        <v>2</v>
      </c>
      <c r="C215" s="4">
        <f t="shared" si="22"/>
        <v>41</v>
      </c>
      <c r="D215" s="4">
        <f t="shared" si="16"/>
        <v>8</v>
      </c>
      <c r="E215" s="4" t="s">
        <v>27</v>
      </c>
      <c r="F215" s="4">
        <f t="shared" si="17"/>
        <v>800</v>
      </c>
      <c r="G215" s="5">
        <f t="shared" si="23"/>
        <v>1.01</v>
      </c>
      <c r="H215" s="6" t="str">
        <f t="shared" si="18"/>
        <v>INSERT INTO public.coupon (plancode, age, "year", couponrate, benefittype, benefitrate, premiumrate) VALUES('EN60', 2, 41, 8, 'A',800, 1.01);</v>
      </c>
      <c r="I215" s="6" t="str">
        <f t="shared" si="19"/>
        <v>{"age":"2", "year":"41", "couponrate":"8", "benefittype":"A", "benefitrate":"800", "premiumrate":"1.01"}</v>
      </c>
      <c r="J215" s="6" t="str">
        <f t="shared" si="20"/>
        <v>,</v>
      </c>
    </row>
    <row r="216" spans="1:10">
      <c r="A216" s="4" t="str">
        <f>'EN60'!A$3</f>
        <v>EN60</v>
      </c>
      <c r="B216" s="4">
        <f t="shared" si="21"/>
        <v>2</v>
      </c>
      <c r="C216" s="4">
        <f t="shared" si="22"/>
        <v>42</v>
      </c>
      <c r="D216" s="4">
        <f t="shared" si="16"/>
        <v>8</v>
      </c>
      <c r="E216" s="4" t="s">
        <v>27</v>
      </c>
      <c r="F216" s="4">
        <f t="shared" si="17"/>
        <v>800</v>
      </c>
      <c r="G216" s="5">
        <f t="shared" si="23"/>
        <v>1.01</v>
      </c>
      <c r="H216" s="6" t="str">
        <f t="shared" si="18"/>
        <v>INSERT INTO public.coupon (plancode, age, "year", couponrate, benefittype, benefitrate, premiumrate) VALUES('EN60', 2, 42, 8, 'A',800, 1.01);</v>
      </c>
      <c r="I216" s="6" t="str">
        <f t="shared" si="19"/>
        <v>{"age":"2", "year":"42", "couponrate":"8", "benefittype":"A", "benefitrate":"800", "premiumrate":"1.01"}</v>
      </c>
      <c r="J216" s="6" t="str">
        <f t="shared" si="20"/>
        <v>,</v>
      </c>
    </row>
    <row r="217" spans="1:10">
      <c r="A217" s="4" t="str">
        <f>'EN60'!A$3</f>
        <v>EN60</v>
      </c>
      <c r="B217" s="4">
        <f t="shared" si="21"/>
        <v>2</v>
      </c>
      <c r="C217" s="4">
        <f t="shared" si="22"/>
        <v>43</v>
      </c>
      <c r="D217" s="4">
        <f t="shared" si="16"/>
        <v>8</v>
      </c>
      <c r="E217" s="4" t="s">
        <v>27</v>
      </c>
      <c r="F217" s="4">
        <f t="shared" si="17"/>
        <v>800</v>
      </c>
      <c r="G217" s="5">
        <f t="shared" si="23"/>
        <v>1.01</v>
      </c>
      <c r="H217" s="6" t="str">
        <f t="shared" si="18"/>
        <v>INSERT INTO public.coupon (plancode, age, "year", couponrate, benefittype, benefitrate, premiumrate) VALUES('EN60', 2, 43, 8, 'A',800, 1.01);</v>
      </c>
      <c r="I217" s="6" t="str">
        <f t="shared" si="19"/>
        <v>{"age":"2", "year":"43", "couponrate":"8", "benefittype":"A", "benefitrate":"800", "premiumrate":"1.01"}</v>
      </c>
      <c r="J217" s="6" t="str">
        <f t="shared" si="20"/>
        <v>,</v>
      </c>
    </row>
    <row r="218" spans="1:10">
      <c r="A218" s="4" t="str">
        <f>'EN60'!A$3</f>
        <v>EN60</v>
      </c>
      <c r="B218" s="4">
        <f t="shared" si="21"/>
        <v>2</v>
      </c>
      <c r="C218" s="4">
        <f t="shared" si="22"/>
        <v>44</v>
      </c>
      <c r="D218" s="4">
        <f t="shared" si="16"/>
        <v>8</v>
      </c>
      <c r="E218" s="4" t="s">
        <v>27</v>
      </c>
      <c r="F218" s="4">
        <f t="shared" si="17"/>
        <v>800</v>
      </c>
      <c r="G218" s="5">
        <f t="shared" si="23"/>
        <v>1.01</v>
      </c>
      <c r="H218" s="6" t="str">
        <f t="shared" si="18"/>
        <v>INSERT INTO public.coupon (plancode, age, "year", couponrate, benefittype, benefitrate, premiumrate) VALUES('EN60', 2, 44, 8, 'A',800, 1.01);</v>
      </c>
      <c r="I218" s="6" t="str">
        <f t="shared" si="19"/>
        <v>{"age":"2", "year":"44", "couponrate":"8", "benefittype":"A", "benefitrate":"800", "premiumrate":"1.01"}</v>
      </c>
      <c r="J218" s="6" t="str">
        <f t="shared" si="20"/>
        <v>,</v>
      </c>
    </row>
    <row r="219" spans="1:10">
      <c r="A219" s="4" t="str">
        <f>'EN60'!A$3</f>
        <v>EN60</v>
      </c>
      <c r="B219" s="4">
        <f t="shared" si="21"/>
        <v>2</v>
      </c>
      <c r="C219" s="4">
        <f t="shared" si="22"/>
        <v>45</v>
      </c>
      <c r="D219" s="4">
        <f t="shared" si="16"/>
        <v>8</v>
      </c>
      <c r="E219" s="4" t="s">
        <v>27</v>
      </c>
      <c r="F219" s="4">
        <f t="shared" si="17"/>
        <v>800</v>
      </c>
      <c r="G219" s="5">
        <f t="shared" si="23"/>
        <v>1.01</v>
      </c>
      <c r="H219" s="6" t="str">
        <f t="shared" si="18"/>
        <v>INSERT INTO public.coupon (plancode, age, "year", couponrate, benefittype, benefitrate, premiumrate) VALUES('EN60', 2, 45, 8, 'A',800, 1.01);</v>
      </c>
      <c r="I219" s="6" t="str">
        <f t="shared" si="19"/>
        <v>{"age":"2", "year":"45", "couponrate":"8", "benefittype":"A", "benefitrate":"800", "premiumrate":"1.01"}</v>
      </c>
      <c r="J219" s="6" t="str">
        <f t="shared" si="20"/>
        <v>,</v>
      </c>
    </row>
    <row r="220" spans="1:10">
      <c r="A220" s="4" t="str">
        <f>'EN60'!A$3</f>
        <v>EN60</v>
      </c>
      <c r="B220" s="4">
        <f t="shared" si="21"/>
        <v>2</v>
      </c>
      <c r="C220" s="4">
        <f t="shared" si="22"/>
        <v>46</v>
      </c>
      <c r="D220" s="4">
        <f t="shared" si="16"/>
        <v>8</v>
      </c>
      <c r="E220" s="4" t="s">
        <v>27</v>
      </c>
      <c r="F220" s="4">
        <f t="shared" si="17"/>
        <v>800</v>
      </c>
      <c r="G220" s="5">
        <f t="shared" si="23"/>
        <v>1.01</v>
      </c>
      <c r="H220" s="6" t="str">
        <f t="shared" si="18"/>
        <v>INSERT INTO public.coupon (plancode, age, "year", couponrate, benefittype, benefitrate, premiumrate) VALUES('EN60', 2, 46, 8, 'A',800, 1.01);</v>
      </c>
      <c r="I220" s="6" t="str">
        <f t="shared" si="19"/>
        <v>{"age":"2", "year":"46", "couponrate":"8", "benefittype":"A", "benefitrate":"800", "premiumrate":"1.01"}</v>
      </c>
      <c r="J220" s="6" t="str">
        <f t="shared" si="20"/>
        <v>,</v>
      </c>
    </row>
    <row r="221" spans="1:10">
      <c r="A221" s="4" t="str">
        <f>'EN60'!A$3</f>
        <v>EN60</v>
      </c>
      <c r="B221" s="4">
        <f t="shared" si="21"/>
        <v>2</v>
      </c>
      <c r="C221" s="4">
        <f t="shared" si="22"/>
        <v>47</v>
      </c>
      <c r="D221" s="4">
        <f t="shared" si="16"/>
        <v>8</v>
      </c>
      <c r="E221" s="4" t="s">
        <v>27</v>
      </c>
      <c r="F221" s="4">
        <f t="shared" si="17"/>
        <v>800</v>
      </c>
      <c r="G221" s="5">
        <f t="shared" si="23"/>
        <v>1.01</v>
      </c>
      <c r="H221" s="6" t="str">
        <f t="shared" si="18"/>
        <v>INSERT INTO public.coupon (plancode, age, "year", couponrate, benefittype, benefitrate, premiumrate) VALUES('EN60', 2, 47, 8, 'A',800, 1.01);</v>
      </c>
      <c r="I221" s="6" t="str">
        <f t="shared" si="19"/>
        <v>{"age":"2", "year":"47", "couponrate":"8", "benefittype":"A", "benefitrate":"800", "premiumrate":"1.01"}</v>
      </c>
      <c r="J221" s="6" t="str">
        <f t="shared" si="20"/>
        <v>,</v>
      </c>
    </row>
    <row r="222" spans="1:10">
      <c r="A222" s="4" t="str">
        <f>'EN60'!A$3</f>
        <v>EN60</v>
      </c>
      <c r="B222" s="4">
        <f t="shared" si="21"/>
        <v>2</v>
      </c>
      <c r="C222" s="4">
        <f t="shared" si="22"/>
        <v>48</v>
      </c>
      <c r="D222" s="4">
        <f t="shared" si="16"/>
        <v>8</v>
      </c>
      <c r="E222" s="4" t="s">
        <v>27</v>
      </c>
      <c r="F222" s="4">
        <f t="shared" si="17"/>
        <v>800</v>
      </c>
      <c r="G222" s="5">
        <f t="shared" si="23"/>
        <v>1.01</v>
      </c>
      <c r="H222" s="6" t="str">
        <f t="shared" si="18"/>
        <v>INSERT INTO public.coupon (plancode, age, "year", couponrate, benefittype, benefitrate, premiumrate) VALUES('EN60', 2, 48, 8, 'A',800, 1.01);</v>
      </c>
      <c r="I222" s="6" t="str">
        <f t="shared" si="19"/>
        <v>{"age":"2", "year":"48", "couponrate":"8", "benefittype":"A", "benefitrate":"800", "premiumrate":"1.01"}</v>
      </c>
      <c r="J222" s="6" t="str">
        <f t="shared" si="20"/>
        <v>,</v>
      </c>
    </row>
    <row r="223" spans="1:10">
      <c r="A223" s="4" t="str">
        <f>'EN60'!A$3</f>
        <v>EN60</v>
      </c>
      <c r="B223" s="4">
        <f t="shared" si="21"/>
        <v>2</v>
      </c>
      <c r="C223" s="4">
        <f t="shared" si="22"/>
        <v>49</v>
      </c>
      <c r="D223" s="4">
        <f t="shared" si="16"/>
        <v>8</v>
      </c>
      <c r="E223" s="4" t="s">
        <v>27</v>
      </c>
      <c r="F223" s="4">
        <f t="shared" si="17"/>
        <v>800</v>
      </c>
      <c r="G223" s="5">
        <f t="shared" si="23"/>
        <v>1.01</v>
      </c>
      <c r="H223" s="6" t="str">
        <f t="shared" si="18"/>
        <v>INSERT INTO public.coupon (plancode, age, "year", couponrate, benefittype, benefitrate, premiumrate) VALUES('EN60', 2, 49, 8, 'A',800, 1.01);</v>
      </c>
      <c r="I223" s="6" t="str">
        <f t="shared" si="19"/>
        <v>{"age":"2", "year":"49", "couponrate":"8", "benefittype":"A", "benefitrate":"800", "premiumrate":"1.01"}</v>
      </c>
      <c r="J223" s="6" t="str">
        <f t="shared" si="20"/>
        <v>,</v>
      </c>
    </row>
    <row r="224" spans="1:10">
      <c r="A224" s="4" t="str">
        <f>'EN60'!A$3</f>
        <v>EN60</v>
      </c>
      <c r="B224" s="4">
        <f t="shared" si="21"/>
        <v>2</v>
      </c>
      <c r="C224" s="4">
        <f t="shared" si="22"/>
        <v>50</v>
      </c>
      <c r="D224" s="4">
        <f t="shared" si="16"/>
        <v>8</v>
      </c>
      <c r="E224" s="4" t="s">
        <v>27</v>
      </c>
      <c r="F224" s="4">
        <f t="shared" si="17"/>
        <v>800</v>
      </c>
      <c r="G224" s="5">
        <f t="shared" si="23"/>
        <v>1.01</v>
      </c>
      <c r="H224" s="6" t="str">
        <f t="shared" si="18"/>
        <v>INSERT INTO public.coupon (plancode, age, "year", couponrate, benefittype, benefitrate, premiumrate) VALUES('EN60', 2, 50, 8, 'A',800, 1.01);</v>
      </c>
      <c r="I224" s="6" t="str">
        <f t="shared" si="19"/>
        <v>{"age":"2", "year":"50", "couponrate":"8", "benefittype":"A", "benefitrate":"800", "premiumrate":"1.01"}</v>
      </c>
      <c r="J224" s="6" t="str">
        <f t="shared" si="20"/>
        <v>,</v>
      </c>
    </row>
    <row r="225" spans="1:10">
      <c r="A225" s="4" t="str">
        <f>'EN60'!A$3</f>
        <v>EN60</v>
      </c>
      <c r="B225" s="4">
        <f t="shared" si="21"/>
        <v>2</v>
      </c>
      <c r="C225" s="4">
        <f t="shared" si="22"/>
        <v>51</v>
      </c>
      <c r="D225" s="4">
        <f t="shared" si="16"/>
        <v>8</v>
      </c>
      <c r="E225" s="4" t="s">
        <v>27</v>
      </c>
      <c r="F225" s="4">
        <f t="shared" si="17"/>
        <v>800</v>
      </c>
      <c r="G225" s="5">
        <f t="shared" si="23"/>
        <v>1.01</v>
      </c>
      <c r="H225" s="6" t="str">
        <f t="shared" si="18"/>
        <v>INSERT INTO public.coupon (plancode, age, "year", couponrate, benefittype, benefitrate, premiumrate) VALUES('EN60', 2, 51, 8, 'A',800, 1.01);</v>
      </c>
      <c r="I225" s="6" t="str">
        <f t="shared" si="19"/>
        <v>{"age":"2", "year":"51", "couponrate":"8", "benefittype":"A", "benefitrate":"800", "premiumrate":"1.01"}</v>
      </c>
      <c r="J225" s="6" t="str">
        <f t="shared" si="20"/>
        <v>,</v>
      </c>
    </row>
    <row r="226" spans="1:10">
      <c r="A226" s="4" t="str">
        <f>'EN60'!A$3</f>
        <v>EN60</v>
      </c>
      <c r="B226" s="4">
        <f t="shared" si="21"/>
        <v>2</v>
      </c>
      <c r="C226" s="4">
        <f t="shared" si="22"/>
        <v>52</v>
      </c>
      <c r="D226" s="4">
        <f t="shared" si="16"/>
        <v>8</v>
      </c>
      <c r="E226" s="4" t="s">
        <v>27</v>
      </c>
      <c r="F226" s="4">
        <f t="shared" si="17"/>
        <v>800</v>
      </c>
      <c r="G226" s="5">
        <f t="shared" si="23"/>
        <v>1.01</v>
      </c>
      <c r="H226" s="6" t="str">
        <f t="shared" si="18"/>
        <v>INSERT INTO public.coupon (plancode, age, "year", couponrate, benefittype, benefitrate, premiumrate) VALUES('EN60', 2, 52, 8, 'A',800, 1.01);</v>
      </c>
      <c r="I226" s="6" t="str">
        <f t="shared" si="19"/>
        <v>{"age":"2", "year":"52", "couponrate":"8", "benefittype":"A", "benefitrate":"800", "premiumrate":"1.01"}</v>
      </c>
      <c r="J226" s="6" t="str">
        <f t="shared" si="20"/>
        <v>,</v>
      </c>
    </row>
    <row r="227" spans="1:10">
      <c r="A227" s="4" t="str">
        <f>'EN60'!A$3</f>
        <v>EN60</v>
      </c>
      <c r="B227" s="4">
        <f t="shared" si="21"/>
        <v>2</v>
      </c>
      <c r="C227" s="4">
        <f t="shared" si="22"/>
        <v>53</v>
      </c>
      <c r="D227" s="4">
        <f t="shared" si="16"/>
        <v>8</v>
      </c>
      <c r="E227" s="4" t="s">
        <v>27</v>
      </c>
      <c r="F227" s="4">
        <f t="shared" si="17"/>
        <v>800</v>
      </c>
      <c r="G227" s="5">
        <f t="shared" si="23"/>
        <v>1.01</v>
      </c>
      <c r="H227" s="6" t="str">
        <f t="shared" si="18"/>
        <v>INSERT INTO public.coupon (plancode, age, "year", couponrate, benefittype, benefitrate, premiumrate) VALUES('EN60', 2, 53, 8, 'A',800, 1.01);</v>
      </c>
      <c r="I227" s="6" t="str">
        <f t="shared" si="19"/>
        <v>{"age":"2", "year":"53", "couponrate":"8", "benefittype":"A", "benefitrate":"800", "premiumrate":"1.01"}</v>
      </c>
      <c r="J227" s="6" t="str">
        <f t="shared" si="20"/>
        <v>,</v>
      </c>
    </row>
    <row r="228" spans="1:10">
      <c r="A228" s="4" t="str">
        <f>'EN60'!A$3</f>
        <v>EN60</v>
      </c>
      <c r="B228" s="4">
        <f t="shared" si="21"/>
        <v>2</v>
      </c>
      <c r="C228" s="4">
        <f t="shared" si="22"/>
        <v>54</v>
      </c>
      <c r="D228" s="4">
        <f t="shared" si="16"/>
        <v>8</v>
      </c>
      <c r="E228" s="4" t="s">
        <v>27</v>
      </c>
      <c r="F228" s="4">
        <f t="shared" si="17"/>
        <v>800</v>
      </c>
      <c r="G228" s="5">
        <f t="shared" si="23"/>
        <v>1.01</v>
      </c>
      <c r="H228" s="6" t="str">
        <f t="shared" si="18"/>
        <v>INSERT INTO public.coupon (plancode, age, "year", couponrate, benefittype, benefitrate, premiumrate) VALUES('EN60', 2, 54, 8, 'A',800, 1.01);</v>
      </c>
      <c r="I228" s="6" t="str">
        <f t="shared" si="19"/>
        <v>{"age":"2", "year":"54", "couponrate":"8", "benefittype":"A", "benefitrate":"800", "premiumrate":"1.01"}</v>
      </c>
      <c r="J228" s="6" t="str">
        <f t="shared" si="20"/>
        <v>,</v>
      </c>
    </row>
    <row r="229" spans="1:10">
      <c r="A229" s="4" t="str">
        <f>'EN60'!A$3</f>
        <v>EN60</v>
      </c>
      <c r="B229" s="4">
        <f t="shared" si="21"/>
        <v>2</v>
      </c>
      <c r="C229" s="4">
        <f t="shared" si="22"/>
        <v>55</v>
      </c>
      <c r="D229" s="4">
        <f t="shared" si="16"/>
        <v>8</v>
      </c>
      <c r="E229" s="4" t="s">
        <v>27</v>
      </c>
      <c r="F229" s="4">
        <f t="shared" si="17"/>
        <v>800</v>
      </c>
      <c r="G229" s="5">
        <f t="shared" si="23"/>
        <v>1.01</v>
      </c>
      <c r="H229" s="6" t="str">
        <f t="shared" si="18"/>
        <v>INSERT INTO public.coupon (plancode, age, "year", couponrate, benefittype, benefitrate, premiumrate) VALUES('EN60', 2, 55, 8, 'A',800, 1.01);</v>
      </c>
      <c r="I229" s="6" t="str">
        <f t="shared" si="19"/>
        <v>{"age":"2", "year":"55", "couponrate":"8", "benefittype":"A", "benefitrate":"800", "premiumrate":"1.01"}</v>
      </c>
      <c r="J229" s="6" t="str">
        <f t="shared" si="20"/>
        <v>,</v>
      </c>
    </row>
    <row r="230" spans="1:10">
      <c r="A230" s="4" t="str">
        <f>'EN60'!A$3</f>
        <v>EN60</v>
      </c>
      <c r="B230" s="4">
        <f t="shared" si="21"/>
        <v>2</v>
      </c>
      <c r="C230" s="4">
        <f t="shared" si="22"/>
        <v>56</v>
      </c>
      <c r="D230" s="4">
        <f t="shared" si="16"/>
        <v>8</v>
      </c>
      <c r="E230" s="4" t="s">
        <v>27</v>
      </c>
      <c r="F230" s="4">
        <f t="shared" si="17"/>
        <v>800</v>
      </c>
      <c r="G230" s="5">
        <f t="shared" si="23"/>
        <v>1.01</v>
      </c>
      <c r="H230" s="6" t="str">
        <f t="shared" si="18"/>
        <v>INSERT INTO public.coupon (plancode, age, "year", couponrate, benefittype, benefitrate, premiumrate) VALUES('EN60', 2, 56, 8, 'A',800, 1.01);</v>
      </c>
      <c r="I230" s="6" t="str">
        <f t="shared" si="19"/>
        <v>{"age":"2", "year":"56", "couponrate":"8", "benefittype":"A", "benefitrate":"800", "premiumrate":"1.01"}</v>
      </c>
      <c r="J230" s="6" t="str">
        <f t="shared" si="20"/>
        <v>,</v>
      </c>
    </row>
    <row r="231" spans="1:10">
      <c r="A231" s="4" t="str">
        <f>'EN60'!A$3</f>
        <v>EN60</v>
      </c>
      <c r="B231" s="4">
        <f t="shared" si="21"/>
        <v>2</v>
      </c>
      <c r="C231" s="4">
        <f t="shared" si="22"/>
        <v>57</v>
      </c>
      <c r="D231" s="4">
        <f t="shared" si="16"/>
        <v>8</v>
      </c>
      <c r="E231" s="4" t="s">
        <v>27</v>
      </c>
      <c r="F231" s="4">
        <f t="shared" si="17"/>
        <v>800</v>
      </c>
      <c r="G231" s="5">
        <f t="shared" si="23"/>
        <v>1.01</v>
      </c>
      <c r="H231" s="6" t="str">
        <f t="shared" si="18"/>
        <v>INSERT INTO public.coupon (plancode, age, "year", couponrate, benefittype, benefitrate, premiumrate) VALUES('EN60', 2, 57, 8, 'A',800, 1.01);</v>
      </c>
      <c r="I231" s="6" t="str">
        <f t="shared" si="19"/>
        <v>{"age":"2", "year":"57", "couponrate":"8", "benefittype":"A", "benefitrate":"800", "premiumrate":"1.01"}</v>
      </c>
      <c r="J231" s="6" t="str">
        <f t="shared" si="20"/>
        <v>,</v>
      </c>
    </row>
    <row r="232" spans="1:10">
      <c r="A232" s="4" t="str">
        <f>'EN60'!A$3</f>
        <v>EN60</v>
      </c>
      <c r="B232" s="4">
        <f t="shared" si="21"/>
        <v>2</v>
      </c>
      <c r="C232" s="4">
        <f t="shared" si="22"/>
        <v>58</v>
      </c>
      <c r="D232" s="4">
        <f t="shared" si="16"/>
        <v>8</v>
      </c>
      <c r="E232" s="4" t="s">
        <v>27</v>
      </c>
      <c r="F232" s="4">
        <f t="shared" si="17"/>
        <v>800</v>
      </c>
      <c r="G232" s="5">
        <f t="shared" si="23"/>
        <v>1.01</v>
      </c>
      <c r="H232" s="6" t="str">
        <f t="shared" si="18"/>
        <v>INSERT INTO public.coupon (plancode, age, "year", couponrate, benefittype, benefitrate, premiumrate) VALUES('EN60', 2, 58, 8, 'A',800, 1.01);</v>
      </c>
      <c r="I232" s="6" t="str">
        <f t="shared" si="19"/>
        <v>{"age":"2", "year":"58", "couponrate":"8", "benefittype":"A", "benefitrate":"800", "premiumrate":"1.01"}</v>
      </c>
      <c r="J232" s="6" t="str">
        <f t="shared" si="20"/>
        <v>,</v>
      </c>
    </row>
    <row r="233" spans="1:10">
      <c r="A233" s="4" t="str">
        <f>'EN60'!A$3</f>
        <v>EN60</v>
      </c>
      <c r="B233" s="4">
        <f t="shared" si="21"/>
        <v>2</v>
      </c>
      <c r="C233" s="4">
        <f t="shared" si="22"/>
        <v>59</v>
      </c>
      <c r="D233" s="4">
        <f t="shared" si="16"/>
        <v>8</v>
      </c>
      <c r="E233" s="4" t="s">
        <v>27</v>
      </c>
      <c r="F233" s="4">
        <f t="shared" si="17"/>
        <v>800</v>
      </c>
      <c r="G233" s="5">
        <f t="shared" si="23"/>
        <v>1.01</v>
      </c>
      <c r="H233" s="6" t="str">
        <f t="shared" si="18"/>
        <v>INSERT INTO public.coupon (plancode, age, "year", couponrate, benefittype, benefitrate, premiumrate) VALUES('EN60', 2, 59, 8, 'A',800, 1.01);</v>
      </c>
      <c r="I233" s="6" t="str">
        <f t="shared" si="19"/>
        <v>{"age":"2", "year":"59", "couponrate":"8", "benefittype":"A", "benefitrate":"800", "premiumrate":"1.01"}</v>
      </c>
      <c r="J233" s="6" t="str">
        <f t="shared" si="20"/>
        <v>,</v>
      </c>
    </row>
    <row r="234" spans="1:10">
      <c r="A234" s="4" t="str">
        <f>'EN60'!A$3</f>
        <v>EN60</v>
      </c>
      <c r="B234" s="4">
        <f t="shared" si="21"/>
        <v>2</v>
      </c>
      <c r="C234" s="4">
        <f t="shared" si="22"/>
        <v>60</v>
      </c>
      <c r="D234" s="4">
        <f t="shared" si="16"/>
        <v>8</v>
      </c>
      <c r="E234" s="4" t="s">
        <v>27</v>
      </c>
      <c r="F234" s="4">
        <f t="shared" si="17"/>
        <v>800</v>
      </c>
      <c r="G234" s="5">
        <f t="shared" si="23"/>
        <v>1.01</v>
      </c>
      <c r="H234" s="6" t="str">
        <f t="shared" si="18"/>
        <v>INSERT INTO public.coupon (plancode, age, "year", couponrate, benefittype, benefitrate, premiumrate) VALUES('EN60', 2, 60, 8, 'A',800, 1.01);</v>
      </c>
      <c r="I234" s="6" t="str">
        <f t="shared" si="19"/>
        <v>{"age":"2", "year":"60", "couponrate":"8", "benefittype":"A", "benefitrate":"800", "premiumrate":"1.01"}</v>
      </c>
      <c r="J234" s="6" t="str">
        <f t="shared" si="20"/>
        <v>,</v>
      </c>
    </row>
    <row r="235" spans="1:10">
      <c r="A235" s="4" t="str">
        <f>'EN60'!A$3</f>
        <v>EN60</v>
      </c>
      <c r="B235" s="4">
        <f t="shared" si="21"/>
        <v>2</v>
      </c>
      <c r="C235" s="4">
        <f t="shared" si="22"/>
        <v>61</v>
      </c>
      <c r="D235" s="4">
        <f t="shared" si="16"/>
        <v>8</v>
      </c>
      <c r="E235" s="4" t="s">
        <v>27</v>
      </c>
      <c r="F235" s="4">
        <f t="shared" si="17"/>
        <v>800</v>
      </c>
      <c r="G235" s="5">
        <f t="shared" si="23"/>
        <v>1.01</v>
      </c>
      <c r="H235" s="6" t="str">
        <f t="shared" si="18"/>
        <v>INSERT INTO public.coupon (plancode, age, "year", couponrate, benefittype, benefitrate, premiumrate) VALUES('EN60', 2, 61, 8, 'A',800, 1.01);</v>
      </c>
      <c r="I235" s="6" t="str">
        <f t="shared" si="19"/>
        <v>{"age":"2", "year":"61", "couponrate":"8", "benefittype":"A", "benefitrate":"800", "premiumrate":"1.01"}</v>
      </c>
      <c r="J235" s="6" t="str">
        <f t="shared" si="20"/>
        <v>,</v>
      </c>
    </row>
    <row r="236" spans="1:10">
      <c r="A236" s="4" t="str">
        <f>'EN60'!A$3</f>
        <v>EN60</v>
      </c>
      <c r="B236" s="4">
        <f t="shared" si="21"/>
        <v>2</v>
      </c>
      <c r="C236" s="4">
        <f t="shared" si="22"/>
        <v>62</v>
      </c>
      <c r="D236" s="4">
        <f t="shared" si="16"/>
        <v>8</v>
      </c>
      <c r="E236" s="4" t="s">
        <v>27</v>
      </c>
      <c r="F236" s="4">
        <f t="shared" si="17"/>
        <v>800</v>
      </c>
      <c r="G236" s="5">
        <f t="shared" si="23"/>
        <v>1.01</v>
      </c>
      <c r="H236" s="6" t="str">
        <f t="shared" si="18"/>
        <v>INSERT INTO public.coupon (plancode, age, "year", couponrate, benefittype, benefitrate, premiumrate) VALUES('EN60', 2, 62, 8, 'A',800, 1.01);</v>
      </c>
      <c r="I236" s="6" t="str">
        <f t="shared" si="19"/>
        <v>{"age":"2", "year":"62", "couponrate":"8", "benefittype":"A", "benefitrate":"800", "premiumrate":"1.01"}</v>
      </c>
      <c r="J236" s="6" t="str">
        <f t="shared" si="20"/>
        <v>,</v>
      </c>
    </row>
    <row r="237" spans="1:10">
      <c r="A237" s="4" t="str">
        <f>'EN60'!A$3</f>
        <v>EN60</v>
      </c>
      <c r="B237" s="4">
        <f t="shared" si="21"/>
        <v>2</v>
      </c>
      <c r="C237" s="4">
        <f t="shared" si="22"/>
        <v>63</v>
      </c>
      <c r="D237" s="4">
        <f t="shared" si="16"/>
        <v>8</v>
      </c>
      <c r="E237" s="4" t="s">
        <v>27</v>
      </c>
      <c r="F237" s="4">
        <f t="shared" si="17"/>
        <v>800</v>
      </c>
      <c r="G237" s="5">
        <f t="shared" si="23"/>
        <v>1.01</v>
      </c>
      <c r="H237" s="6" t="str">
        <f t="shared" si="18"/>
        <v>INSERT INTO public.coupon (plancode, age, "year", couponrate, benefittype, benefitrate, premiumrate) VALUES('EN60', 2, 63, 8, 'A',800, 1.01);</v>
      </c>
      <c r="I237" s="6" t="str">
        <f t="shared" si="19"/>
        <v>{"age":"2", "year":"63", "couponrate":"8", "benefittype":"A", "benefitrate":"800", "premiumrate":"1.01"}</v>
      </c>
      <c r="J237" s="6" t="str">
        <f t="shared" si="20"/>
        <v>,</v>
      </c>
    </row>
    <row r="238" spans="1:10">
      <c r="A238" s="4" t="str">
        <f>'EN60'!A$3</f>
        <v>EN60</v>
      </c>
      <c r="B238" s="4">
        <f t="shared" si="21"/>
        <v>2</v>
      </c>
      <c r="C238" s="4">
        <f t="shared" si="22"/>
        <v>64</v>
      </c>
      <c r="D238" s="4">
        <f t="shared" si="16"/>
        <v>8</v>
      </c>
      <c r="E238" s="4" t="s">
        <v>27</v>
      </c>
      <c r="F238" s="4">
        <f t="shared" si="17"/>
        <v>800</v>
      </c>
      <c r="G238" s="5">
        <f t="shared" si="23"/>
        <v>1.01</v>
      </c>
      <c r="H238" s="6" t="str">
        <f t="shared" si="18"/>
        <v>INSERT INTO public.coupon (plancode, age, "year", couponrate, benefittype, benefitrate, premiumrate) VALUES('EN60', 2, 64, 8, 'A',800, 1.01);</v>
      </c>
      <c r="I238" s="6" t="str">
        <f t="shared" si="19"/>
        <v>{"age":"2", "year":"64", "couponrate":"8", "benefittype":"A", "benefitrate":"800", "premiumrate":"1.01"}</v>
      </c>
      <c r="J238" s="6" t="str">
        <f t="shared" si="20"/>
        <v>,</v>
      </c>
    </row>
    <row r="239" spans="1:10">
      <c r="A239" s="4" t="str">
        <f>'EN60'!A$3</f>
        <v>EN60</v>
      </c>
      <c r="B239" s="4">
        <f t="shared" si="21"/>
        <v>2</v>
      </c>
      <c r="C239" s="4">
        <f t="shared" si="22"/>
        <v>65</v>
      </c>
      <c r="D239" s="4">
        <f t="shared" si="16"/>
        <v>8</v>
      </c>
      <c r="E239" s="4" t="s">
        <v>27</v>
      </c>
      <c r="F239" s="4">
        <f t="shared" si="17"/>
        <v>800</v>
      </c>
      <c r="G239" s="5">
        <f t="shared" si="23"/>
        <v>1.01</v>
      </c>
      <c r="H239" s="6" t="str">
        <f t="shared" si="18"/>
        <v>INSERT INTO public.coupon (plancode, age, "year", couponrate, benefittype, benefitrate, premiumrate) VALUES('EN60', 2, 65, 8, 'A',800, 1.01);</v>
      </c>
      <c r="I239" s="6" t="str">
        <f t="shared" si="19"/>
        <v>{"age":"2", "year":"65", "couponrate":"8", "benefittype":"A", "benefitrate":"800", "premiumrate":"1.01"}</v>
      </c>
      <c r="J239" s="6" t="str">
        <f t="shared" si="20"/>
        <v>,</v>
      </c>
    </row>
    <row r="240" spans="1:10">
      <c r="A240" s="4" t="str">
        <f>'EN60'!A$3</f>
        <v>EN60</v>
      </c>
      <c r="B240" s="4">
        <f t="shared" si="21"/>
        <v>2</v>
      </c>
      <c r="C240" s="4">
        <f t="shared" si="22"/>
        <v>66</v>
      </c>
      <c r="D240" s="4">
        <f t="shared" si="16"/>
        <v>8</v>
      </c>
      <c r="E240" s="4" t="s">
        <v>27</v>
      </c>
      <c r="F240" s="4">
        <f t="shared" si="17"/>
        <v>800</v>
      </c>
      <c r="G240" s="5">
        <f t="shared" si="23"/>
        <v>1.01</v>
      </c>
      <c r="H240" s="6" t="str">
        <f t="shared" si="18"/>
        <v>INSERT INTO public.coupon (plancode, age, "year", couponrate, benefittype, benefitrate, premiumrate) VALUES('EN60', 2, 66, 8, 'A',800, 1.01);</v>
      </c>
      <c r="I240" s="6" t="str">
        <f t="shared" si="19"/>
        <v>{"age":"2", "year":"66", "couponrate":"8", "benefittype":"A", "benefitrate":"800", "premiumrate":"1.01"}</v>
      </c>
      <c r="J240" s="6" t="str">
        <f t="shared" si="20"/>
        <v>,</v>
      </c>
    </row>
    <row r="241" spans="1:10">
      <c r="A241" s="4" t="str">
        <f>'EN60'!A$3</f>
        <v>EN60</v>
      </c>
      <c r="B241" s="4">
        <f t="shared" si="21"/>
        <v>2</v>
      </c>
      <c r="C241" s="4">
        <f t="shared" si="22"/>
        <v>67</v>
      </c>
      <c r="D241" s="4">
        <f t="shared" si="16"/>
        <v>8</v>
      </c>
      <c r="E241" s="4" t="s">
        <v>27</v>
      </c>
      <c r="F241" s="4">
        <f t="shared" si="17"/>
        <v>800</v>
      </c>
      <c r="G241" s="5">
        <f t="shared" si="23"/>
        <v>1.01</v>
      </c>
      <c r="H241" s="6" t="str">
        <f t="shared" si="18"/>
        <v>INSERT INTO public.coupon (plancode, age, "year", couponrate, benefittype, benefitrate, premiumrate) VALUES('EN60', 2, 67, 8, 'A',800, 1.01);</v>
      </c>
      <c r="I241" s="6" t="str">
        <f t="shared" si="19"/>
        <v>{"age":"2", "year":"67", "couponrate":"8", "benefittype":"A", "benefitrate":"800", "premiumrate":"1.01"}</v>
      </c>
      <c r="J241" s="6" t="str">
        <f t="shared" si="20"/>
        <v>,</v>
      </c>
    </row>
    <row r="242" spans="1:10">
      <c r="A242" s="4" t="str">
        <f>'EN60'!A$3</f>
        <v>EN60</v>
      </c>
      <c r="B242" s="4">
        <f t="shared" si="21"/>
        <v>2</v>
      </c>
      <c r="C242" s="4">
        <f t="shared" si="22"/>
        <v>68</v>
      </c>
      <c r="D242" s="4">
        <f t="shared" si="16"/>
        <v>8</v>
      </c>
      <c r="E242" s="4" t="s">
        <v>27</v>
      </c>
      <c r="F242" s="4">
        <f t="shared" si="17"/>
        <v>800</v>
      </c>
      <c r="G242" s="5">
        <f t="shared" si="23"/>
        <v>1.01</v>
      </c>
      <c r="H242" s="6" t="str">
        <f t="shared" si="18"/>
        <v>INSERT INTO public.coupon (plancode, age, "year", couponrate, benefittype, benefitrate, premiumrate) VALUES('EN60', 2, 68, 8, 'A',800, 1.01);</v>
      </c>
      <c r="I242" s="6" t="str">
        <f t="shared" si="19"/>
        <v>{"age":"2", "year":"68", "couponrate":"8", "benefittype":"A", "benefitrate":"800", "premiumrate":"1.01"}</v>
      </c>
      <c r="J242" s="6" t="str">
        <f t="shared" si="20"/>
        <v>,</v>
      </c>
    </row>
    <row r="243" spans="1:10">
      <c r="A243" s="4" t="str">
        <f>'EN60'!A$3</f>
        <v>EN60</v>
      </c>
      <c r="B243" s="4">
        <f t="shared" si="21"/>
        <v>2</v>
      </c>
      <c r="C243" s="4">
        <f t="shared" si="22"/>
        <v>69</v>
      </c>
      <c r="D243" s="4">
        <f t="shared" si="16"/>
        <v>8</v>
      </c>
      <c r="E243" s="4" t="s">
        <v>27</v>
      </c>
      <c r="F243" s="4">
        <f t="shared" si="17"/>
        <v>800</v>
      </c>
      <c r="G243" s="5">
        <f t="shared" si="23"/>
        <v>1.01</v>
      </c>
      <c r="H243" s="6" t="str">
        <f t="shared" si="18"/>
        <v>INSERT INTO public.coupon (plancode, age, "year", couponrate, benefittype, benefitrate, premiumrate) VALUES('EN60', 2, 69, 8, 'A',800, 1.01);</v>
      </c>
      <c r="I243" s="6" t="str">
        <f t="shared" si="19"/>
        <v>{"age":"2", "year":"69", "couponrate":"8", "benefittype":"A", "benefitrate":"800", "premiumrate":"1.01"}</v>
      </c>
      <c r="J243" s="6" t="str">
        <f t="shared" si="20"/>
        <v>,</v>
      </c>
    </row>
    <row r="244" spans="1:10">
      <c r="A244" s="4" t="str">
        <f>'EN60'!A$3</f>
        <v>EN60</v>
      </c>
      <c r="B244" s="4">
        <f t="shared" si="21"/>
        <v>2</v>
      </c>
      <c r="C244" s="4">
        <f t="shared" si="22"/>
        <v>70</v>
      </c>
      <c r="D244" s="4">
        <f t="shared" si="16"/>
        <v>8</v>
      </c>
      <c r="E244" s="4" t="s">
        <v>27</v>
      </c>
      <c r="F244" s="4">
        <f t="shared" si="17"/>
        <v>800</v>
      </c>
      <c r="G244" s="5">
        <f t="shared" si="23"/>
        <v>1.01</v>
      </c>
      <c r="H244" s="6" t="str">
        <f t="shared" si="18"/>
        <v>INSERT INTO public.coupon (plancode, age, "year", couponrate, benefittype, benefitrate, premiumrate) VALUES('EN60', 2, 70, 8, 'A',800, 1.01);</v>
      </c>
      <c r="I244" s="6" t="str">
        <f t="shared" si="19"/>
        <v>{"age":"2", "year":"70", "couponrate":"8", "benefittype":"A", "benefitrate":"800", "premiumrate":"1.01"}</v>
      </c>
      <c r="J244" s="6" t="str">
        <f t="shared" si="20"/>
        <v>,</v>
      </c>
    </row>
    <row r="245" spans="1:10">
      <c r="A245" s="4" t="str">
        <f>'EN60'!A$3</f>
        <v>EN60</v>
      </c>
      <c r="B245" s="4">
        <f t="shared" si="21"/>
        <v>2</v>
      </c>
      <c r="C245" s="4">
        <f t="shared" si="22"/>
        <v>71</v>
      </c>
      <c r="D245" s="4">
        <f t="shared" si="16"/>
        <v>8</v>
      </c>
      <c r="E245" s="4" t="s">
        <v>27</v>
      </c>
      <c r="F245" s="4">
        <f t="shared" si="17"/>
        <v>800</v>
      </c>
      <c r="G245" s="5">
        <f t="shared" si="23"/>
        <v>1.01</v>
      </c>
      <c r="H245" s="6" t="str">
        <f t="shared" si="18"/>
        <v>INSERT INTO public.coupon (plancode, age, "year", couponrate, benefittype, benefitrate, premiumrate) VALUES('EN60', 2, 71, 8, 'A',800, 1.01);</v>
      </c>
      <c r="I245" s="6" t="str">
        <f t="shared" si="19"/>
        <v>{"age":"2", "year":"71", "couponrate":"8", "benefittype":"A", "benefitrate":"800", "premiumrate":"1.01"}</v>
      </c>
      <c r="J245" s="6" t="str">
        <f t="shared" si="20"/>
        <v>,</v>
      </c>
    </row>
    <row r="246" spans="1:10">
      <c r="A246" s="4" t="str">
        <f>'EN60'!A$3</f>
        <v>EN60</v>
      </c>
      <c r="B246" s="4">
        <f t="shared" si="21"/>
        <v>2</v>
      </c>
      <c r="C246" s="4">
        <f t="shared" si="22"/>
        <v>72</v>
      </c>
      <c r="D246" s="4">
        <f t="shared" si="16"/>
        <v>8</v>
      </c>
      <c r="E246" s="4" t="s">
        <v>27</v>
      </c>
      <c r="F246" s="4">
        <f t="shared" si="17"/>
        <v>800</v>
      </c>
      <c r="G246" s="5">
        <f t="shared" si="23"/>
        <v>1.01</v>
      </c>
      <c r="H246" s="6" t="str">
        <f t="shared" si="18"/>
        <v>INSERT INTO public.coupon (plancode, age, "year", couponrate, benefittype, benefitrate, premiumrate) VALUES('EN60', 2, 72, 8, 'A',800, 1.01);</v>
      </c>
      <c r="I246" s="6" t="str">
        <f t="shared" si="19"/>
        <v>{"age":"2", "year":"72", "couponrate":"8", "benefittype":"A", "benefitrate":"800", "premiumrate":"1.01"}</v>
      </c>
      <c r="J246" s="6" t="str">
        <f t="shared" si="20"/>
        <v>,</v>
      </c>
    </row>
    <row r="247" spans="1:10">
      <c r="A247" s="4" t="str">
        <f>'EN60'!A$3</f>
        <v>EN60</v>
      </c>
      <c r="B247" s="4">
        <f t="shared" si="21"/>
        <v>2</v>
      </c>
      <c r="C247" s="4">
        <f t="shared" si="22"/>
        <v>73</v>
      </c>
      <c r="D247" s="4">
        <f t="shared" si="16"/>
        <v>8</v>
      </c>
      <c r="E247" s="4" t="s">
        <v>27</v>
      </c>
      <c r="F247" s="4">
        <f t="shared" si="17"/>
        <v>800</v>
      </c>
      <c r="G247" s="5">
        <f t="shared" si="23"/>
        <v>1.01</v>
      </c>
      <c r="H247" s="6" t="str">
        <f t="shared" si="18"/>
        <v>INSERT INTO public.coupon (plancode, age, "year", couponrate, benefittype, benefitrate, premiumrate) VALUES('EN60', 2, 73, 8, 'A',800, 1.01);</v>
      </c>
      <c r="I247" s="6" t="str">
        <f t="shared" si="19"/>
        <v>{"age":"2", "year":"73", "couponrate":"8", "benefittype":"A", "benefitrate":"800", "premiumrate":"1.01"}</v>
      </c>
      <c r="J247" s="6" t="str">
        <f t="shared" si="20"/>
        <v>,</v>
      </c>
    </row>
    <row r="248" spans="1:10">
      <c r="A248" s="4" t="str">
        <f>'EN60'!A$3</f>
        <v>EN60</v>
      </c>
      <c r="B248" s="4">
        <f t="shared" si="21"/>
        <v>2</v>
      </c>
      <c r="C248" s="4">
        <f t="shared" si="22"/>
        <v>74</v>
      </c>
      <c r="D248" s="4">
        <f t="shared" si="16"/>
        <v>8</v>
      </c>
      <c r="E248" s="4" t="s">
        <v>27</v>
      </c>
      <c r="F248" s="4">
        <f t="shared" si="17"/>
        <v>800</v>
      </c>
      <c r="G248" s="5">
        <f t="shared" si="23"/>
        <v>1.01</v>
      </c>
      <c r="H248" s="6" t="str">
        <f t="shared" si="18"/>
        <v>INSERT INTO public.coupon (plancode, age, "year", couponrate, benefittype, benefitrate, premiumrate) VALUES('EN60', 2, 74, 8, 'A',800, 1.01);</v>
      </c>
      <c r="I248" s="6" t="str">
        <f t="shared" si="19"/>
        <v>{"age":"2", "year":"74", "couponrate":"8", "benefittype":"A", "benefitrate":"800", "premiumrate":"1.01"}</v>
      </c>
      <c r="J248" s="6" t="str">
        <f t="shared" si="20"/>
        <v>,</v>
      </c>
    </row>
    <row r="249" spans="1:10">
      <c r="A249" s="4" t="str">
        <f>'EN60'!A$3</f>
        <v>EN60</v>
      </c>
      <c r="B249" s="4">
        <f t="shared" si="21"/>
        <v>2</v>
      </c>
      <c r="C249" s="4">
        <f t="shared" si="22"/>
        <v>75</v>
      </c>
      <c r="D249" s="4">
        <f t="shared" si="16"/>
        <v>8</v>
      </c>
      <c r="E249" s="4" t="s">
        <v>27</v>
      </c>
      <c r="F249" s="4">
        <f t="shared" si="17"/>
        <v>800</v>
      </c>
      <c r="G249" s="5">
        <f t="shared" si="23"/>
        <v>1.01</v>
      </c>
      <c r="H249" s="6" t="str">
        <f t="shared" si="18"/>
        <v>INSERT INTO public.coupon (plancode, age, "year", couponrate, benefittype, benefitrate, premiumrate) VALUES('EN60', 2, 75, 8, 'A',800, 1.01);</v>
      </c>
      <c r="I249" s="6" t="str">
        <f t="shared" si="19"/>
        <v>{"age":"2", "year":"75", "couponrate":"8", "benefittype":"A", "benefitrate":"800", "premiumrate":"1.01"}</v>
      </c>
      <c r="J249" s="6" t="str">
        <f t="shared" si="20"/>
        <v>,</v>
      </c>
    </row>
    <row r="250" spans="1:10">
      <c r="A250" s="4" t="str">
        <f>'EN60'!A$3</f>
        <v>EN60</v>
      </c>
      <c r="B250" s="4">
        <f t="shared" si="21"/>
        <v>2</v>
      </c>
      <c r="C250" s="4">
        <f t="shared" si="22"/>
        <v>76</v>
      </c>
      <c r="D250" s="4">
        <f t="shared" si="16"/>
        <v>8</v>
      </c>
      <c r="E250" s="4" t="s">
        <v>27</v>
      </c>
      <c r="F250" s="4">
        <f t="shared" si="17"/>
        <v>800</v>
      </c>
      <c r="G250" s="5">
        <f t="shared" si="23"/>
        <v>1.01</v>
      </c>
      <c r="H250" s="6" t="str">
        <f t="shared" si="18"/>
        <v>INSERT INTO public.coupon (plancode, age, "year", couponrate, benefittype, benefitrate, premiumrate) VALUES('EN60', 2, 76, 8, 'A',800, 1.01);</v>
      </c>
      <c r="I250" s="6" t="str">
        <f t="shared" si="19"/>
        <v>{"age":"2", "year":"76", "couponrate":"8", "benefittype":"A", "benefitrate":"800", "premiumrate":"1.01"}</v>
      </c>
      <c r="J250" s="6" t="str">
        <f t="shared" si="20"/>
        <v>,</v>
      </c>
    </row>
    <row r="251" spans="1:10">
      <c r="A251" s="4" t="str">
        <f>'EN60'!A$3</f>
        <v>EN60</v>
      </c>
      <c r="B251" s="4">
        <f t="shared" si="21"/>
        <v>2</v>
      </c>
      <c r="C251" s="4">
        <f t="shared" si="22"/>
        <v>77</v>
      </c>
      <c r="D251" s="4">
        <f t="shared" si="16"/>
        <v>8</v>
      </c>
      <c r="E251" s="4" t="s">
        <v>27</v>
      </c>
      <c r="F251" s="4">
        <f t="shared" si="17"/>
        <v>800</v>
      </c>
      <c r="G251" s="5">
        <f t="shared" si="23"/>
        <v>1.01</v>
      </c>
      <c r="H251" s="6" t="str">
        <f t="shared" si="18"/>
        <v>INSERT INTO public.coupon (plancode, age, "year", couponrate, benefittype, benefitrate, premiumrate) VALUES('EN60', 2, 77, 8, 'A',800, 1.01);</v>
      </c>
      <c r="I251" s="6" t="str">
        <f t="shared" si="19"/>
        <v>{"age":"2", "year":"77", "couponrate":"8", "benefittype":"A", "benefitrate":"800", "premiumrate":"1.01"}</v>
      </c>
      <c r="J251" s="6" t="str">
        <f t="shared" si="20"/>
        <v>,</v>
      </c>
    </row>
    <row r="252" spans="1:10">
      <c r="A252" s="4" t="str">
        <f>'EN60'!A$3</f>
        <v>EN60</v>
      </c>
      <c r="B252" s="4">
        <f t="shared" si="21"/>
        <v>2</v>
      </c>
      <c r="C252" s="4">
        <f t="shared" si="22"/>
        <v>78</v>
      </c>
      <c r="D252" s="4">
        <f t="shared" si="16"/>
        <v>0</v>
      </c>
      <c r="E252" s="4" t="s">
        <v>27</v>
      </c>
      <c r="F252" s="4">
        <f t="shared" si="17"/>
        <v>800</v>
      </c>
      <c r="G252" s="5">
        <f t="shared" si="23"/>
        <v>1.01</v>
      </c>
      <c r="H252" s="6" t="str">
        <f t="shared" si="18"/>
        <v>INSERT INTO public.coupon (plancode, age, "year", couponrate, benefittype, benefitrate, premiumrate) VALUES('EN60', 2, 78, 0, 'A',800, 1.01);</v>
      </c>
      <c r="I252" s="6" t="str">
        <f t="shared" si="19"/>
        <v>{"age":"2", "year":"78", "couponrate":"0", "benefittype":"A", "benefitrate":"800", "premiumrate":"1.01"}</v>
      </c>
    </row>
    <row r="253" spans="1:10">
      <c r="C253" s="6"/>
      <c r="I253" s="6" t="s">
        <v>28</v>
      </c>
    </row>
    <row r="254" spans="1:10">
      <c r="A254" s="3" t="s">
        <v>2</v>
      </c>
      <c r="B254" s="3" t="s">
        <v>23</v>
      </c>
      <c r="C254" s="3" t="s">
        <v>24</v>
      </c>
      <c r="D254" s="3" t="s">
        <v>25</v>
      </c>
      <c r="E254" s="3" t="s">
        <v>8</v>
      </c>
      <c r="F254" s="3" t="s">
        <v>26</v>
      </c>
      <c r="G254" s="3" t="s">
        <v>4</v>
      </c>
      <c r="I254" s="6" t="str">
        <f>"[{""plancode"":"""&amp;A255&amp;""",""returncash"":"""&amp;B$7&amp;""",""ytable"":"""&amp;C$7&amp;""",""maturerate"":"""&amp;B$3&amp;""",""maturepmrate"":"""&amp;C$3&amp;""",""coupon"":["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255" spans="1:10">
      <c r="A255" s="4" t="str">
        <f>'EN60'!A$3</f>
        <v>EN60</v>
      </c>
      <c r="B255" s="8">
        <v>3</v>
      </c>
      <c r="C255" s="4">
        <v>1</v>
      </c>
      <c r="D255" s="4">
        <f t="shared" ref="D255:D331" si="24">IF(C255+B255=80,0,8)</f>
        <v>8</v>
      </c>
      <c r="E255" s="4" t="s">
        <v>27</v>
      </c>
      <c r="F255" s="4">
        <f t="shared" ref="F255:F331" si="25">IF(C255&gt;7, 800, C255*100)</f>
        <v>100</v>
      </c>
      <c r="G255" s="5">
        <f>'EN60'!C$3</f>
        <v>1.01</v>
      </c>
      <c r="H255" s="6" t="str">
        <f t="shared" ref="H255:H331" si="26">"INSERT INTO public.coupon ("&amp;A$11&amp;", "&amp;B$11&amp;", """&amp;C$11&amp;""", "&amp;D$11&amp;", "&amp;E$11&amp;", "&amp;F$11&amp;", "&amp;G$11&amp;") VALUES('"&amp;A255&amp;"', "&amp;B255&amp;", "&amp;C255&amp;", "&amp;D255&amp;", '"&amp;E255&amp;"',"&amp;F255&amp;", "&amp;G255&amp;");"</f>
        <v>INSERT INTO public.coupon (plancode, age, "year", couponrate, benefittype, benefitrate, premiumrate) VALUES('EN60', 3, 1, 8, 'A',100, 1.01);</v>
      </c>
      <c r="I255" s="6" t="str">
        <f t="shared" ref="I255:I331" si="27">"{""age"":"""&amp;B255&amp;""", ""year"":"""&amp;C255&amp;""", ""couponrate"":"""&amp;D255&amp;""", ""benefittype"":"""&amp;E255&amp;""", ""benefitrate"":"""&amp;F255&amp;""", """&amp;G$11&amp;""":"""&amp;G255&amp;"""}"</f>
        <v>{"age":"3", "year":"1", "couponrate":"8", "benefittype":"A", "benefitrate":"100", "premiumrate":"1.01"}</v>
      </c>
      <c r="J255" s="6" t="str">
        <f t="shared" ref="J255:J330" si="28">IF(OR(I256="]", I255="[", I255="]"), "", ",")</f>
        <v>,</v>
      </c>
    </row>
    <row r="256" spans="1:10">
      <c r="A256" s="4" t="str">
        <f>'EN60'!A$3</f>
        <v>EN60</v>
      </c>
      <c r="B256" s="4">
        <f t="shared" ref="B256:B331" si="29">B255</f>
        <v>3</v>
      </c>
      <c r="C256" s="4">
        <f t="shared" ref="C256:C331" si="30">C255+1</f>
        <v>2</v>
      </c>
      <c r="D256" s="4">
        <f t="shared" si="24"/>
        <v>8</v>
      </c>
      <c r="E256" s="4" t="s">
        <v>27</v>
      </c>
      <c r="F256" s="4">
        <f t="shared" si="25"/>
        <v>200</v>
      </c>
      <c r="G256" s="5">
        <f t="shared" ref="G256:G331" si="31">G255</f>
        <v>1.01</v>
      </c>
      <c r="H256" s="6" t="str">
        <f t="shared" si="26"/>
        <v>INSERT INTO public.coupon (plancode, age, "year", couponrate, benefittype, benefitrate, premiumrate) VALUES('EN60', 3, 2, 8, 'A',200, 1.01);</v>
      </c>
      <c r="I256" s="6" t="str">
        <f t="shared" si="27"/>
        <v>{"age":"3", "year":"2", "couponrate":"8", "benefittype":"A", "benefitrate":"200", "premiumrate":"1.01"}</v>
      </c>
      <c r="J256" s="6" t="str">
        <f t="shared" si="28"/>
        <v>,</v>
      </c>
    </row>
    <row r="257" spans="1:10">
      <c r="A257" s="4" t="str">
        <f>'EN60'!A$3</f>
        <v>EN60</v>
      </c>
      <c r="B257" s="4">
        <f t="shared" si="29"/>
        <v>3</v>
      </c>
      <c r="C257" s="4">
        <f t="shared" si="30"/>
        <v>3</v>
      </c>
      <c r="D257" s="4">
        <f t="shared" si="24"/>
        <v>8</v>
      </c>
      <c r="E257" s="4" t="s">
        <v>27</v>
      </c>
      <c r="F257" s="4">
        <f t="shared" si="25"/>
        <v>300</v>
      </c>
      <c r="G257" s="5">
        <f t="shared" si="31"/>
        <v>1.01</v>
      </c>
      <c r="H257" s="6" t="str">
        <f t="shared" si="26"/>
        <v>INSERT INTO public.coupon (plancode, age, "year", couponrate, benefittype, benefitrate, premiumrate) VALUES('EN60', 3, 3, 8, 'A',300, 1.01);</v>
      </c>
      <c r="I257" s="6" t="str">
        <f t="shared" si="27"/>
        <v>{"age":"3", "year":"3", "couponrate":"8", "benefittype":"A", "benefitrate":"300", "premiumrate":"1.01"}</v>
      </c>
      <c r="J257" s="6" t="str">
        <f t="shared" si="28"/>
        <v>,</v>
      </c>
    </row>
    <row r="258" spans="1:10">
      <c r="A258" s="4" t="str">
        <f>'EN60'!A$3</f>
        <v>EN60</v>
      </c>
      <c r="B258" s="4">
        <f t="shared" si="29"/>
        <v>3</v>
      </c>
      <c r="C258" s="4">
        <f t="shared" si="30"/>
        <v>4</v>
      </c>
      <c r="D258" s="4">
        <f t="shared" si="24"/>
        <v>8</v>
      </c>
      <c r="E258" s="4" t="s">
        <v>27</v>
      </c>
      <c r="F258" s="4">
        <f t="shared" si="25"/>
        <v>400</v>
      </c>
      <c r="G258" s="5">
        <f t="shared" si="31"/>
        <v>1.01</v>
      </c>
      <c r="H258" s="6" t="str">
        <f t="shared" si="26"/>
        <v>INSERT INTO public.coupon (plancode, age, "year", couponrate, benefittype, benefitrate, premiumrate) VALUES('EN60', 3, 4, 8, 'A',400, 1.01);</v>
      </c>
      <c r="I258" s="6" t="str">
        <f t="shared" si="27"/>
        <v>{"age":"3", "year":"4", "couponrate":"8", "benefittype":"A", "benefitrate":"400", "premiumrate":"1.01"}</v>
      </c>
      <c r="J258" s="6" t="str">
        <f t="shared" si="28"/>
        <v>,</v>
      </c>
    </row>
    <row r="259" spans="1:10">
      <c r="A259" s="4" t="str">
        <f>'EN60'!A$3</f>
        <v>EN60</v>
      </c>
      <c r="B259" s="4">
        <f t="shared" si="29"/>
        <v>3</v>
      </c>
      <c r="C259" s="4">
        <f t="shared" si="30"/>
        <v>5</v>
      </c>
      <c r="D259" s="4">
        <f t="shared" si="24"/>
        <v>8</v>
      </c>
      <c r="E259" s="4" t="s">
        <v>27</v>
      </c>
      <c r="F259" s="4">
        <f t="shared" si="25"/>
        <v>500</v>
      </c>
      <c r="G259" s="5">
        <f t="shared" si="31"/>
        <v>1.01</v>
      </c>
      <c r="H259" s="6" t="str">
        <f t="shared" si="26"/>
        <v>INSERT INTO public.coupon (plancode, age, "year", couponrate, benefittype, benefitrate, premiumrate) VALUES('EN60', 3, 5, 8, 'A',500, 1.01);</v>
      </c>
      <c r="I259" s="6" t="str">
        <f t="shared" si="27"/>
        <v>{"age":"3", "year":"5", "couponrate":"8", "benefittype":"A", "benefitrate":"500", "premiumrate":"1.01"}</v>
      </c>
      <c r="J259" s="6" t="str">
        <f t="shared" si="28"/>
        <v>,</v>
      </c>
    </row>
    <row r="260" spans="1:10">
      <c r="A260" s="4" t="str">
        <f>'EN60'!A$3</f>
        <v>EN60</v>
      </c>
      <c r="B260" s="4">
        <f t="shared" si="29"/>
        <v>3</v>
      </c>
      <c r="C260" s="4">
        <f t="shared" si="30"/>
        <v>6</v>
      </c>
      <c r="D260" s="4">
        <f t="shared" si="24"/>
        <v>8</v>
      </c>
      <c r="E260" s="4" t="s">
        <v>27</v>
      </c>
      <c r="F260" s="4">
        <f t="shared" si="25"/>
        <v>600</v>
      </c>
      <c r="G260" s="5">
        <f t="shared" si="31"/>
        <v>1.01</v>
      </c>
      <c r="H260" s="6" t="str">
        <f t="shared" si="26"/>
        <v>INSERT INTO public.coupon (plancode, age, "year", couponrate, benefittype, benefitrate, premiumrate) VALUES('EN60', 3, 6, 8, 'A',600, 1.01);</v>
      </c>
      <c r="I260" s="6" t="str">
        <f t="shared" si="27"/>
        <v>{"age":"3", "year":"6", "couponrate":"8", "benefittype":"A", "benefitrate":"600", "premiumrate":"1.01"}</v>
      </c>
      <c r="J260" s="6" t="str">
        <f t="shared" si="28"/>
        <v>,</v>
      </c>
    </row>
    <row r="261" spans="1:10">
      <c r="A261" s="4" t="str">
        <f>'EN60'!A$3</f>
        <v>EN60</v>
      </c>
      <c r="B261" s="4">
        <f t="shared" si="29"/>
        <v>3</v>
      </c>
      <c r="C261" s="4">
        <f t="shared" si="30"/>
        <v>7</v>
      </c>
      <c r="D261" s="4">
        <f t="shared" si="24"/>
        <v>8</v>
      </c>
      <c r="E261" s="4" t="s">
        <v>27</v>
      </c>
      <c r="F261" s="4">
        <f t="shared" si="25"/>
        <v>700</v>
      </c>
      <c r="G261" s="5">
        <f t="shared" si="31"/>
        <v>1.01</v>
      </c>
      <c r="H261" s="6" t="str">
        <f t="shared" si="26"/>
        <v>INSERT INTO public.coupon (plancode, age, "year", couponrate, benefittype, benefitrate, premiumrate) VALUES('EN60', 3, 7, 8, 'A',700, 1.01);</v>
      </c>
      <c r="I261" s="6" t="str">
        <f t="shared" si="27"/>
        <v>{"age":"3", "year":"7", "couponrate":"8", "benefittype":"A", "benefitrate":"700", "premiumrate":"1.01"}</v>
      </c>
      <c r="J261" s="6" t="str">
        <f t="shared" si="28"/>
        <v>,</v>
      </c>
    </row>
    <row r="262" spans="1:10">
      <c r="A262" s="4" t="str">
        <f>'EN60'!A$3</f>
        <v>EN60</v>
      </c>
      <c r="B262" s="4">
        <f t="shared" si="29"/>
        <v>3</v>
      </c>
      <c r="C262" s="4">
        <f t="shared" si="30"/>
        <v>8</v>
      </c>
      <c r="D262" s="4">
        <f t="shared" si="24"/>
        <v>8</v>
      </c>
      <c r="E262" s="4" t="s">
        <v>27</v>
      </c>
      <c r="F262" s="4">
        <f t="shared" si="25"/>
        <v>800</v>
      </c>
      <c r="G262" s="5">
        <f t="shared" si="31"/>
        <v>1.01</v>
      </c>
      <c r="H262" s="6" t="str">
        <f t="shared" si="26"/>
        <v>INSERT INTO public.coupon (plancode, age, "year", couponrate, benefittype, benefitrate, premiumrate) VALUES('EN60', 3, 8, 8, 'A',800, 1.01);</v>
      </c>
      <c r="I262" s="6" t="str">
        <f t="shared" si="27"/>
        <v>{"age":"3", "year":"8", "couponrate":"8", "benefittype":"A", "benefitrate":"800", "premiumrate":"1.01"}</v>
      </c>
      <c r="J262" s="6" t="str">
        <f t="shared" si="28"/>
        <v>,</v>
      </c>
    </row>
    <row r="263" spans="1:10">
      <c r="A263" s="4" t="str">
        <f>'EN60'!A$3</f>
        <v>EN60</v>
      </c>
      <c r="B263" s="4">
        <f t="shared" si="29"/>
        <v>3</v>
      </c>
      <c r="C263" s="4">
        <f t="shared" si="30"/>
        <v>9</v>
      </c>
      <c r="D263" s="4">
        <f t="shared" si="24"/>
        <v>8</v>
      </c>
      <c r="E263" s="4" t="s">
        <v>27</v>
      </c>
      <c r="F263" s="4">
        <f t="shared" si="25"/>
        <v>800</v>
      </c>
      <c r="G263" s="5">
        <f t="shared" si="31"/>
        <v>1.01</v>
      </c>
      <c r="H263" s="6" t="str">
        <f t="shared" si="26"/>
        <v>INSERT INTO public.coupon (plancode, age, "year", couponrate, benefittype, benefitrate, premiumrate) VALUES('EN60', 3, 9, 8, 'A',800, 1.01);</v>
      </c>
      <c r="I263" s="6" t="str">
        <f t="shared" si="27"/>
        <v>{"age":"3", "year":"9", "couponrate":"8", "benefittype":"A", "benefitrate":"800", "premiumrate":"1.01"}</v>
      </c>
      <c r="J263" s="6" t="str">
        <f t="shared" si="28"/>
        <v>,</v>
      </c>
    </row>
    <row r="264" spans="1:10">
      <c r="A264" s="4" t="str">
        <f>'EN60'!A$3</f>
        <v>EN60</v>
      </c>
      <c r="B264" s="4">
        <f t="shared" si="29"/>
        <v>3</v>
      </c>
      <c r="C264" s="4">
        <f t="shared" si="30"/>
        <v>10</v>
      </c>
      <c r="D264" s="4">
        <f t="shared" si="24"/>
        <v>8</v>
      </c>
      <c r="E264" s="4" t="s">
        <v>27</v>
      </c>
      <c r="F264" s="4">
        <f t="shared" si="25"/>
        <v>800</v>
      </c>
      <c r="G264" s="5">
        <f t="shared" si="31"/>
        <v>1.01</v>
      </c>
      <c r="H264" s="6" t="str">
        <f t="shared" si="26"/>
        <v>INSERT INTO public.coupon (plancode, age, "year", couponrate, benefittype, benefitrate, premiumrate) VALUES('EN60', 3, 10, 8, 'A',800, 1.01);</v>
      </c>
      <c r="I264" s="6" t="str">
        <f t="shared" si="27"/>
        <v>{"age":"3", "year":"10", "couponrate":"8", "benefittype":"A", "benefitrate":"800", "premiumrate":"1.01"}</v>
      </c>
      <c r="J264" s="6" t="str">
        <f t="shared" si="28"/>
        <v>,</v>
      </c>
    </row>
    <row r="265" spans="1:10">
      <c r="A265" s="4" t="str">
        <f>'EN60'!A$3</f>
        <v>EN60</v>
      </c>
      <c r="B265" s="4">
        <f t="shared" si="29"/>
        <v>3</v>
      </c>
      <c r="C265" s="4">
        <f t="shared" si="30"/>
        <v>11</v>
      </c>
      <c r="D265" s="4">
        <f t="shared" si="24"/>
        <v>8</v>
      </c>
      <c r="E265" s="4" t="s">
        <v>27</v>
      </c>
      <c r="F265" s="4">
        <f t="shared" si="25"/>
        <v>800</v>
      </c>
      <c r="G265" s="5">
        <f t="shared" si="31"/>
        <v>1.01</v>
      </c>
      <c r="H265" s="6" t="str">
        <f t="shared" si="26"/>
        <v>INSERT INTO public.coupon (plancode, age, "year", couponrate, benefittype, benefitrate, premiumrate) VALUES('EN60', 3, 11, 8, 'A',800, 1.01);</v>
      </c>
      <c r="I265" s="6" t="str">
        <f t="shared" si="27"/>
        <v>{"age":"3", "year":"11", "couponrate":"8", "benefittype":"A", "benefitrate":"800", "premiumrate":"1.01"}</v>
      </c>
      <c r="J265" s="6" t="str">
        <f t="shared" si="28"/>
        <v>,</v>
      </c>
    </row>
    <row r="266" spans="1:10">
      <c r="A266" s="4" t="str">
        <f>'EN60'!A$3</f>
        <v>EN60</v>
      </c>
      <c r="B266" s="4">
        <f t="shared" si="29"/>
        <v>3</v>
      </c>
      <c r="C266" s="4">
        <f t="shared" si="30"/>
        <v>12</v>
      </c>
      <c r="D266" s="4">
        <f t="shared" si="24"/>
        <v>8</v>
      </c>
      <c r="E266" s="4" t="s">
        <v>27</v>
      </c>
      <c r="F266" s="4">
        <f t="shared" si="25"/>
        <v>800</v>
      </c>
      <c r="G266" s="5">
        <f t="shared" si="31"/>
        <v>1.01</v>
      </c>
      <c r="H266" s="6" t="str">
        <f t="shared" si="26"/>
        <v>INSERT INTO public.coupon (plancode, age, "year", couponrate, benefittype, benefitrate, premiumrate) VALUES('EN60', 3, 12, 8, 'A',800, 1.01);</v>
      </c>
      <c r="I266" s="6" t="str">
        <f t="shared" si="27"/>
        <v>{"age":"3", "year":"12", "couponrate":"8", "benefittype":"A", "benefitrate":"800", "premiumrate":"1.01"}</v>
      </c>
      <c r="J266" s="6" t="str">
        <f t="shared" si="28"/>
        <v>,</v>
      </c>
    </row>
    <row r="267" spans="1:10">
      <c r="A267" s="4" t="str">
        <f>'EN60'!A$3</f>
        <v>EN60</v>
      </c>
      <c r="B267" s="4">
        <f t="shared" si="29"/>
        <v>3</v>
      </c>
      <c r="C267" s="4">
        <f t="shared" si="30"/>
        <v>13</v>
      </c>
      <c r="D267" s="4">
        <f t="shared" si="24"/>
        <v>8</v>
      </c>
      <c r="E267" s="4" t="s">
        <v>27</v>
      </c>
      <c r="F267" s="4">
        <f t="shared" si="25"/>
        <v>800</v>
      </c>
      <c r="G267" s="5">
        <f t="shared" si="31"/>
        <v>1.01</v>
      </c>
      <c r="H267" s="6" t="str">
        <f t="shared" si="26"/>
        <v>INSERT INTO public.coupon (plancode, age, "year", couponrate, benefittype, benefitrate, premiumrate) VALUES('EN60', 3, 13, 8, 'A',800, 1.01);</v>
      </c>
      <c r="I267" s="6" t="str">
        <f t="shared" si="27"/>
        <v>{"age":"3", "year":"13", "couponrate":"8", "benefittype":"A", "benefitrate":"800", "premiumrate":"1.01"}</v>
      </c>
      <c r="J267" s="6" t="str">
        <f t="shared" si="28"/>
        <v>,</v>
      </c>
    </row>
    <row r="268" spans="1:10">
      <c r="A268" s="4" t="str">
        <f>'EN60'!A$3</f>
        <v>EN60</v>
      </c>
      <c r="B268" s="4">
        <f t="shared" si="29"/>
        <v>3</v>
      </c>
      <c r="C268" s="4">
        <f t="shared" si="30"/>
        <v>14</v>
      </c>
      <c r="D268" s="4">
        <f t="shared" si="24"/>
        <v>8</v>
      </c>
      <c r="E268" s="4" t="s">
        <v>27</v>
      </c>
      <c r="F268" s="4">
        <f t="shared" si="25"/>
        <v>800</v>
      </c>
      <c r="G268" s="5">
        <f t="shared" si="31"/>
        <v>1.01</v>
      </c>
      <c r="H268" s="6" t="str">
        <f t="shared" si="26"/>
        <v>INSERT INTO public.coupon (plancode, age, "year", couponrate, benefittype, benefitrate, premiumrate) VALUES('EN60', 3, 14, 8, 'A',800, 1.01);</v>
      </c>
      <c r="I268" s="6" t="str">
        <f t="shared" si="27"/>
        <v>{"age":"3", "year":"14", "couponrate":"8", "benefittype":"A", "benefitrate":"800", "premiumrate":"1.01"}</v>
      </c>
      <c r="J268" s="6" t="str">
        <f t="shared" si="28"/>
        <v>,</v>
      </c>
    </row>
    <row r="269" spans="1:10">
      <c r="A269" s="4" t="str">
        <f>'EN60'!A$3</f>
        <v>EN60</v>
      </c>
      <c r="B269" s="4">
        <f t="shared" si="29"/>
        <v>3</v>
      </c>
      <c r="C269" s="4">
        <f t="shared" si="30"/>
        <v>15</v>
      </c>
      <c r="D269" s="4">
        <f t="shared" si="24"/>
        <v>8</v>
      </c>
      <c r="E269" s="4" t="s">
        <v>27</v>
      </c>
      <c r="F269" s="4">
        <f t="shared" si="25"/>
        <v>800</v>
      </c>
      <c r="G269" s="5">
        <f t="shared" si="31"/>
        <v>1.01</v>
      </c>
      <c r="H269" s="6" t="str">
        <f t="shared" si="26"/>
        <v>INSERT INTO public.coupon (plancode, age, "year", couponrate, benefittype, benefitrate, premiumrate) VALUES('EN60', 3, 15, 8, 'A',800, 1.01);</v>
      </c>
      <c r="I269" s="6" t="str">
        <f t="shared" si="27"/>
        <v>{"age":"3", "year":"15", "couponrate":"8", "benefittype":"A", "benefitrate":"800", "premiumrate":"1.01"}</v>
      </c>
      <c r="J269" s="6" t="str">
        <f t="shared" si="28"/>
        <v>,</v>
      </c>
    </row>
    <row r="270" spans="1:10">
      <c r="A270" s="4" t="str">
        <f>'EN60'!A$3</f>
        <v>EN60</v>
      </c>
      <c r="B270" s="4">
        <f t="shared" si="29"/>
        <v>3</v>
      </c>
      <c r="C270" s="4">
        <f t="shared" si="30"/>
        <v>16</v>
      </c>
      <c r="D270" s="4">
        <f t="shared" si="24"/>
        <v>8</v>
      </c>
      <c r="E270" s="4" t="s">
        <v>27</v>
      </c>
      <c r="F270" s="4">
        <f t="shared" si="25"/>
        <v>800</v>
      </c>
      <c r="G270" s="5">
        <f t="shared" si="31"/>
        <v>1.01</v>
      </c>
      <c r="H270" s="6" t="str">
        <f t="shared" si="26"/>
        <v>INSERT INTO public.coupon (plancode, age, "year", couponrate, benefittype, benefitrate, premiumrate) VALUES('EN60', 3, 16, 8, 'A',800, 1.01);</v>
      </c>
      <c r="I270" s="6" t="str">
        <f t="shared" si="27"/>
        <v>{"age":"3", "year":"16", "couponrate":"8", "benefittype":"A", "benefitrate":"800", "premiumrate":"1.01"}</v>
      </c>
      <c r="J270" s="6" t="str">
        <f t="shared" si="28"/>
        <v>,</v>
      </c>
    </row>
    <row r="271" spans="1:10">
      <c r="A271" s="4" t="str">
        <f>'EN60'!A$3</f>
        <v>EN60</v>
      </c>
      <c r="B271" s="4">
        <f t="shared" si="29"/>
        <v>3</v>
      </c>
      <c r="C271" s="4">
        <f t="shared" si="30"/>
        <v>17</v>
      </c>
      <c r="D271" s="4">
        <f t="shared" si="24"/>
        <v>8</v>
      </c>
      <c r="E271" s="4" t="s">
        <v>27</v>
      </c>
      <c r="F271" s="4">
        <f t="shared" si="25"/>
        <v>800</v>
      </c>
      <c r="G271" s="5">
        <f t="shared" si="31"/>
        <v>1.01</v>
      </c>
      <c r="H271" s="6" t="str">
        <f t="shared" si="26"/>
        <v>INSERT INTO public.coupon (plancode, age, "year", couponrate, benefittype, benefitrate, premiumrate) VALUES('EN60', 3, 17, 8, 'A',800, 1.01);</v>
      </c>
      <c r="I271" s="6" t="str">
        <f t="shared" si="27"/>
        <v>{"age":"3", "year":"17", "couponrate":"8", "benefittype":"A", "benefitrate":"800", "premiumrate":"1.01"}</v>
      </c>
      <c r="J271" s="6" t="str">
        <f t="shared" si="28"/>
        <v>,</v>
      </c>
    </row>
    <row r="272" spans="1:10">
      <c r="A272" s="4" t="str">
        <f>'EN60'!A$3</f>
        <v>EN60</v>
      </c>
      <c r="B272" s="4">
        <f t="shared" si="29"/>
        <v>3</v>
      </c>
      <c r="C272" s="4">
        <f t="shared" si="30"/>
        <v>18</v>
      </c>
      <c r="D272" s="4">
        <f t="shared" si="24"/>
        <v>8</v>
      </c>
      <c r="E272" s="4" t="s">
        <v>27</v>
      </c>
      <c r="F272" s="4">
        <f t="shared" si="25"/>
        <v>800</v>
      </c>
      <c r="G272" s="5">
        <f t="shared" si="31"/>
        <v>1.01</v>
      </c>
      <c r="H272" s="6" t="str">
        <f t="shared" si="26"/>
        <v>INSERT INTO public.coupon (plancode, age, "year", couponrate, benefittype, benefitrate, premiumrate) VALUES('EN60', 3, 18, 8, 'A',800, 1.01);</v>
      </c>
      <c r="I272" s="6" t="str">
        <f t="shared" si="27"/>
        <v>{"age":"3", "year":"18", "couponrate":"8", "benefittype":"A", "benefitrate":"800", "premiumrate":"1.01"}</v>
      </c>
      <c r="J272" s="6" t="str">
        <f t="shared" si="28"/>
        <v>,</v>
      </c>
    </row>
    <row r="273" spans="1:10">
      <c r="A273" s="4" t="str">
        <f>'EN60'!A$3</f>
        <v>EN60</v>
      </c>
      <c r="B273" s="4">
        <f t="shared" si="29"/>
        <v>3</v>
      </c>
      <c r="C273" s="4">
        <f t="shared" si="30"/>
        <v>19</v>
      </c>
      <c r="D273" s="4">
        <f t="shared" si="24"/>
        <v>8</v>
      </c>
      <c r="E273" s="4" t="s">
        <v>27</v>
      </c>
      <c r="F273" s="4">
        <f t="shared" si="25"/>
        <v>800</v>
      </c>
      <c r="G273" s="5">
        <f t="shared" si="31"/>
        <v>1.01</v>
      </c>
      <c r="H273" s="6" t="str">
        <f t="shared" si="26"/>
        <v>INSERT INTO public.coupon (plancode, age, "year", couponrate, benefittype, benefitrate, premiumrate) VALUES('EN60', 3, 19, 8, 'A',800, 1.01);</v>
      </c>
      <c r="I273" s="6" t="str">
        <f t="shared" si="27"/>
        <v>{"age":"3", "year":"19", "couponrate":"8", "benefittype":"A", "benefitrate":"800", "premiumrate":"1.01"}</v>
      </c>
      <c r="J273" s="6" t="str">
        <f t="shared" si="28"/>
        <v>,</v>
      </c>
    </row>
    <row r="274" spans="1:10">
      <c r="A274" s="4" t="str">
        <f>'EN60'!A$3</f>
        <v>EN60</v>
      </c>
      <c r="B274" s="4">
        <f t="shared" si="29"/>
        <v>3</v>
      </c>
      <c r="C274" s="4">
        <f t="shared" si="30"/>
        <v>20</v>
      </c>
      <c r="D274" s="4">
        <f t="shared" si="24"/>
        <v>8</v>
      </c>
      <c r="E274" s="4" t="s">
        <v>27</v>
      </c>
      <c r="F274" s="4">
        <f t="shared" si="25"/>
        <v>800</v>
      </c>
      <c r="G274" s="5">
        <f t="shared" si="31"/>
        <v>1.01</v>
      </c>
      <c r="H274" s="6" t="str">
        <f t="shared" si="26"/>
        <v>INSERT INTO public.coupon (plancode, age, "year", couponrate, benefittype, benefitrate, premiumrate) VALUES('EN60', 3, 20, 8, 'A',800, 1.01);</v>
      </c>
      <c r="I274" s="6" t="str">
        <f t="shared" si="27"/>
        <v>{"age":"3", "year":"20", "couponrate":"8", "benefittype":"A", "benefitrate":"800", "premiumrate":"1.01"}</v>
      </c>
      <c r="J274" s="6" t="str">
        <f t="shared" si="28"/>
        <v>,</v>
      </c>
    </row>
    <row r="275" spans="1:10">
      <c r="A275" s="4" t="str">
        <f>'EN60'!A$3</f>
        <v>EN60</v>
      </c>
      <c r="B275" s="4">
        <f t="shared" si="29"/>
        <v>3</v>
      </c>
      <c r="C275" s="4">
        <f t="shared" si="30"/>
        <v>21</v>
      </c>
      <c r="D275" s="4">
        <f t="shared" si="24"/>
        <v>8</v>
      </c>
      <c r="E275" s="4" t="s">
        <v>27</v>
      </c>
      <c r="F275" s="4">
        <f t="shared" si="25"/>
        <v>800</v>
      </c>
      <c r="G275" s="5">
        <f t="shared" si="31"/>
        <v>1.01</v>
      </c>
      <c r="H275" s="6" t="str">
        <f t="shared" si="26"/>
        <v>INSERT INTO public.coupon (plancode, age, "year", couponrate, benefittype, benefitrate, premiumrate) VALUES('EN60', 3, 21, 8, 'A',800, 1.01);</v>
      </c>
      <c r="I275" s="6" t="str">
        <f t="shared" si="27"/>
        <v>{"age":"3", "year":"21", "couponrate":"8", "benefittype":"A", "benefitrate":"800", "premiumrate":"1.01"}</v>
      </c>
      <c r="J275" s="6" t="str">
        <f t="shared" si="28"/>
        <v>,</v>
      </c>
    </row>
    <row r="276" spans="1:10">
      <c r="A276" s="4" t="str">
        <f>'EN60'!A$3</f>
        <v>EN60</v>
      </c>
      <c r="B276" s="4">
        <f t="shared" si="29"/>
        <v>3</v>
      </c>
      <c r="C276" s="4">
        <f t="shared" si="30"/>
        <v>22</v>
      </c>
      <c r="D276" s="4">
        <f t="shared" si="24"/>
        <v>8</v>
      </c>
      <c r="E276" s="4" t="s">
        <v>27</v>
      </c>
      <c r="F276" s="4">
        <f t="shared" si="25"/>
        <v>800</v>
      </c>
      <c r="G276" s="5">
        <f t="shared" si="31"/>
        <v>1.01</v>
      </c>
      <c r="H276" s="6" t="str">
        <f t="shared" si="26"/>
        <v>INSERT INTO public.coupon (plancode, age, "year", couponrate, benefittype, benefitrate, premiumrate) VALUES('EN60', 3, 22, 8, 'A',800, 1.01);</v>
      </c>
      <c r="I276" s="6" t="str">
        <f t="shared" si="27"/>
        <v>{"age":"3", "year":"22", "couponrate":"8", "benefittype":"A", "benefitrate":"800", "premiumrate":"1.01"}</v>
      </c>
      <c r="J276" s="6" t="str">
        <f t="shared" si="28"/>
        <v>,</v>
      </c>
    </row>
    <row r="277" spans="1:10">
      <c r="A277" s="4" t="str">
        <f>'EN60'!A$3</f>
        <v>EN60</v>
      </c>
      <c r="B277" s="4">
        <f t="shared" si="29"/>
        <v>3</v>
      </c>
      <c r="C277" s="4">
        <f t="shared" si="30"/>
        <v>23</v>
      </c>
      <c r="D277" s="4">
        <f t="shared" si="24"/>
        <v>8</v>
      </c>
      <c r="E277" s="4" t="s">
        <v>27</v>
      </c>
      <c r="F277" s="4">
        <f t="shared" si="25"/>
        <v>800</v>
      </c>
      <c r="G277" s="5">
        <f t="shared" si="31"/>
        <v>1.01</v>
      </c>
      <c r="H277" s="6" t="str">
        <f t="shared" si="26"/>
        <v>INSERT INTO public.coupon (plancode, age, "year", couponrate, benefittype, benefitrate, premiumrate) VALUES('EN60', 3, 23, 8, 'A',800, 1.01);</v>
      </c>
      <c r="I277" s="6" t="str">
        <f t="shared" si="27"/>
        <v>{"age":"3", "year":"23", "couponrate":"8", "benefittype":"A", "benefitrate":"800", "premiumrate":"1.01"}</v>
      </c>
      <c r="J277" s="6" t="str">
        <f t="shared" si="28"/>
        <v>,</v>
      </c>
    </row>
    <row r="278" spans="1:10">
      <c r="A278" s="4" t="str">
        <f>'EN60'!A$3</f>
        <v>EN60</v>
      </c>
      <c r="B278" s="4">
        <f t="shared" si="29"/>
        <v>3</v>
      </c>
      <c r="C278" s="4">
        <f t="shared" si="30"/>
        <v>24</v>
      </c>
      <c r="D278" s="4">
        <f t="shared" si="24"/>
        <v>8</v>
      </c>
      <c r="E278" s="4" t="s">
        <v>27</v>
      </c>
      <c r="F278" s="4">
        <f t="shared" si="25"/>
        <v>800</v>
      </c>
      <c r="G278" s="5">
        <f t="shared" si="31"/>
        <v>1.01</v>
      </c>
      <c r="H278" s="6" t="str">
        <f t="shared" si="26"/>
        <v>INSERT INTO public.coupon (plancode, age, "year", couponrate, benefittype, benefitrate, premiumrate) VALUES('EN60', 3, 24, 8, 'A',800, 1.01);</v>
      </c>
      <c r="I278" s="6" t="str">
        <f t="shared" si="27"/>
        <v>{"age":"3", "year":"24", "couponrate":"8", "benefittype":"A", "benefitrate":"800", "premiumrate":"1.01"}</v>
      </c>
      <c r="J278" s="6" t="str">
        <f t="shared" si="28"/>
        <v>,</v>
      </c>
    </row>
    <row r="279" spans="1:10">
      <c r="A279" s="4" t="str">
        <f>'EN60'!A$3</f>
        <v>EN60</v>
      </c>
      <c r="B279" s="4">
        <f t="shared" si="29"/>
        <v>3</v>
      </c>
      <c r="C279" s="4">
        <f t="shared" si="30"/>
        <v>25</v>
      </c>
      <c r="D279" s="4">
        <f t="shared" si="24"/>
        <v>8</v>
      </c>
      <c r="E279" s="4" t="s">
        <v>27</v>
      </c>
      <c r="F279" s="4">
        <f t="shared" si="25"/>
        <v>800</v>
      </c>
      <c r="G279" s="5">
        <f t="shared" si="31"/>
        <v>1.01</v>
      </c>
      <c r="H279" s="6" t="str">
        <f t="shared" si="26"/>
        <v>INSERT INTO public.coupon (plancode, age, "year", couponrate, benefittype, benefitrate, premiumrate) VALUES('EN60', 3, 25, 8, 'A',800, 1.01);</v>
      </c>
      <c r="I279" s="6" t="str">
        <f t="shared" si="27"/>
        <v>{"age":"3", "year":"25", "couponrate":"8", "benefittype":"A", "benefitrate":"800", "premiumrate":"1.01"}</v>
      </c>
      <c r="J279" s="6" t="str">
        <f t="shared" si="28"/>
        <v>,</v>
      </c>
    </row>
    <row r="280" spans="1:10">
      <c r="A280" s="4" t="str">
        <f>'EN60'!A$3</f>
        <v>EN60</v>
      </c>
      <c r="B280" s="4">
        <f t="shared" si="29"/>
        <v>3</v>
      </c>
      <c r="C280" s="4">
        <f t="shared" si="30"/>
        <v>26</v>
      </c>
      <c r="D280" s="4">
        <f t="shared" si="24"/>
        <v>8</v>
      </c>
      <c r="E280" s="4" t="s">
        <v>27</v>
      </c>
      <c r="F280" s="4">
        <f t="shared" si="25"/>
        <v>800</v>
      </c>
      <c r="G280" s="5">
        <f t="shared" si="31"/>
        <v>1.01</v>
      </c>
      <c r="H280" s="6" t="str">
        <f t="shared" si="26"/>
        <v>INSERT INTO public.coupon (plancode, age, "year", couponrate, benefittype, benefitrate, premiumrate) VALUES('EN60', 3, 26, 8, 'A',800, 1.01);</v>
      </c>
      <c r="I280" s="6" t="str">
        <f t="shared" si="27"/>
        <v>{"age":"3", "year":"26", "couponrate":"8", "benefittype":"A", "benefitrate":"800", "premiumrate":"1.01"}</v>
      </c>
      <c r="J280" s="6" t="str">
        <f t="shared" si="28"/>
        <v>,</v>
      </c>
    </row>
    <row r="281" spans="1:10">
      <c r="A281" s="4" t="str">
        <f>'EN60'!A$3</f>
        <v>EN60</v>
      </c>
      <c r="B281" s="4">
        <f t="shared" si="29"/>
        <v>3</v>
      </c>
      <c r="C281" s="4">
        <f t="shared" si="30"/>
        <v>27</v>
      </c>
      <c r="D281" s="4">
        <f t="shared" si="24"/>
        <v>8</v>
      </c>
      <c r="E281" s="4" t="s">
        <v>27</v>
      </c>
      <c r="F281" s="4">
        <f t="shared" si="25"/>
        <v>800</v>
      </c>
      <c r="G281" s="5">
        <f t="shared" si="31"/>
        <v>1.01</v>
      </c>
      <c r="H281" s="6" t="str">
        <f t="shared" si="26"/>
        <v>INSERT INTO public.coupon (plancode, age, "year", couponrate, benefittype, benefitrate, premiumrate) VALUES('EN60', 3, 27, 8, 'A',800, 1.01);</v>
      </c>
      <c r="I281" s="6" t="str">
        <f t="shared" si="27"/>
        <v>{"age":"3", "year":"27", "couponrate":"8", "benefittype":"A", "benefitrate":"800", "premiumrate":"1.01"}</v>
      </c>
      <c r="J281" s="6" t="str">
        <f t="shared" si="28"/>
        <v>,</v>
      </c>
    </row>
    <row r="282" spans="1:10">
      <c r="A282" s="4" t="str">
        <f>'EN60'!A$3</f>
        <v>EN60</v>
      </c>
      <c r="B282" s="4">
        <f t="shared" si="29"/>
        <v>3</v>
      </c>
      <c r="C282" s="4">
        <f t="shared" si="30"/>
        <v>28</v>
      </c>
      <c r="D282" s="4">
        <f t="shared" si="24"/>
        <v>8</v>
      </c>
      <c r="E282" s="4" t="s">
        <v>27</v>
      </c>
      <c r="F282" s="4">
        <f t="shared" si="25"/>
        <v>800</v>
      </c>
      <c r="G282" s="5">
        <f t="shared" si="31"/>
        <v>1.01</v>
      </c>
      <c r="H282" s="6" t="str">
        <f t="shared" si="26"/>
        <v>INSERT INTO public.coupon (plancode, age, "year", couponrate, benefittype, benefitrate, premiumrate) VALUES('EN60', 3, 28, 8, 'A',800, 1.01);</v>
      </c>
      <c r="I282" s="6" t="str">
        <f t="shared" si="27"/>
        <v>{"age":"3", "year":"28", "couponrate":"8", "benefittype":"A", "benefitrate":"800", "premiumrate":"1.01"}</v>
      </c>
      <c r="J282" s="6" t="str">
        <f t="shared" si="28"/>
        <v>,</v>
      </c>
    </row>
    <row r="283" spans="1:10">
      <c r="A283" s="4" t="str">
        <f>'EN60'!A$3</f>
        <v>EN60</v>
      </c>
      <c r="B283" s="4">
        <f t="shared" si="29"/>
        <v>3</v>
      </c>
      <c r="C283" s="4">
        <f t="shared" si="30"/>
        <v>29</v>
      </c>
      <c r="D283" s="4">
        <f t="shared" si="24"/>
        <v>8</v>
      </c>
      <c r="E283" s="4" t="s">
        <v>27</v>
      </c>
      <c r="F283" s="4">
        <f t="shared" si="25"/>
        <v>800</v>
      </c>
      <c r="G283" s="5">
        <f t="shared" si="31"/>
        <v>1.01</v>
      </c>
      <c r="H283" s="6" t="str">
        <f t="shared" si="26"/>
        <v>INSERT INTO public.coupon (plancode, age, "year", couponrate, benefittype, benefitrate, premiumrate) VALUES('EN60', 3, 29, 8, 'A',800, 1.01);</v>
      </c>
      <c r="I283" s="6" t="str">
        <f t="shared" si="27"/>
        <v>{"age":"3", "year":"29", "couponrate":"8", "benefittype":"A", "benefitrate":"800", "premiumrate":"1.01"}</v>
      </c>
      <c r="J283" s="6" t="str">
        <f t="shared" si="28"/>
        <v>,</v>
      </c>
    </row>
    <row r="284" spans="1:10">
      <c r="A284" s="4" t="str">
        <f>'EN60'!A$3</f>
        <v>EN60</v>
      </c>
      <c r="B284" s="4">
        <f t="shared" si="29"/>
        <v>3</v>
      </c>
      <c r="C284" s="4">
        <f t="shared" si="30"/>
        <v>30</v>
      </c>
      <c r="D284" s="4">
        <f t="shared" si="24"/>
        <v>8</v>
      </c>
      <c r="E284" s="4" t="s">
        <v>27</v>
      </c>
      <c r="F284" s="4">
        <f t="shared" si="25"/>
        <v>800</v>
      </c>
      <c r="G284" s="5">
        <f t="shared" si="31"/>
        <v>1.01</v>
      </c>
      <c r="H284" s="6" t="str">
        <f t="shared" si="26"/>
        <v>INSERT INTO public.coupon (plancode, age, "year", couponrate, benefittype, benefitrate, premiumrate) VALUES('EN60', 3, 30, 8, 'A',800, 1.01);</v>
      </c>
      <c r="I284" s="6" t="str">
        <f t="shared" si="27"/>
        <v>{"age":"3", "year":"30", "couponrate":"8", "benefittype":"A", "benefitrate":"800", "premiumrate":"1.01"}</v>
      </c>
      <c r="J284" s="6" t="str">
        <f t="shared" si="28"/>
        <v>,</v>
      </c>
    </row>
    <row r="285" spans="1:10">
      <c r="A285" s="4" t="str">
        <f>'EN60'!A$3</f>
        <v>EN60</v>
      </c>
      <c r="B285" s="4">
        <f t="shared" si="29"/>
        <v>3</v>
      </c>
      <c r="C285" s="4">
        <f t="shared" si="30"/>
        <v>31</v>
      </c>
      <c r="D285" s="4">
        <f t="shared" si="24"/>
        <v>8</v>
      </c>
      <c r="E285" s="4" t="s">
        <v>27</v>
      </c>
      <c r="F285" s="4">
        <f t="shared" si="25"/>
        <v>800</v>
      </c>
      <c r="G285" s="5">
        <f t="shared" si="31"/>
        <v>1.01</v>
      </c>
      <c r="H285" s="6" t="str">
        <f t="shared" si="26"/>
        <v>INSERT INTO public.coupon (plancode, age, "year", couponrate, benefittype, benefitrate, premiumrate) VALUES('EN60', 3, 31, 8, 'A',800, 1.01);</v>
      </c>
      <c r="I285" s="6" t="str">
        <f t="shared" si="27"/>
        <v>{"age":"3", "year":"31", "couponrate":"8", "benefittype":"A", "benefitrate":"800", "premiumrate":"1.01"}</v>
      </c>
      <c r="J285" s="6" t="str">
        <f t="shared" si="28"/>
        <v>,</v>
      </c>
    </row>
    <row r="286" spans="1:10">
      <c r="A286" s="4" t="str">
        <f>'EN60'!A$3</f>
        <v>EN60</v>
      </c>
      <c r="B286" s="4">
        <f t="shared" si="29"/>
        <v>3</v>
      </c>
      <c r="C286" s="4">
        <f t="shared" si="30"/>
        <v>32</v>
      </c>
      <c r="D286" s="4">
        <f t="shared" si="24"/>
        <v>8</v>
      </c>
      <c r="E286" s="4" t="s">
        <v>27</v>
      </c>
      <c r="F286" s="4">
        <f t="shared" si="25"/>
        <v>800</v>
      </c>
      <c r="G286" s="5">
        <f t="shared" si="31"/>
        <v>1.01</v>
      </c>
      <c r="H286" s="6" t="str">
        <f t="shared" si="26"/>
        <v>INSERT INTO public.coupon (plancode, age, "year", couponrate, benefittype, benefitrate, premiumrate) VALUES('EN60', 3, 32, 8, 'A',800, 1.01);</v>
      </c>
      <c r="I286" s="6" t="str">
        <f t="shared" si="27"/>
        <v>{"age":"3", "year":"32", "couponrate":"8", "benefittype":"A", "benefitrate":"800", "premiumrate":"1.01"}</v>
      </c>
      <c r="J286" s="6" t="str">
        <f t="shared" si="28"/>
        <v>,</v>
      </c>
    </row>
    <row r="287" spans="1:10">
      <c r="A287" s="4" t="str">
        <f>'EN60'!A$3</f>
        <v>EN60</v>
      </c>
      <c r="B287" s="4">
        <f t="shared" si="29"/>
        <v>3</v>
      </c>
      <c r="C287" s="4">
        <f t="shared" si="30"/>
        <v>33</v>
      </c>
      <c r="D287" s="4">
        <f t="shared" si="24"/>
        <v>8</v>
      </c>
      <c r="E287" s="4" t="s">
        <v>27</v>
      </c>
      <c r="F287" s="4">
        <f t="shared" si="25"/>
        <v>800</v>
      </c>
      <c r="G287" s="5">
        <f t="shared" si="31"/>
        <v>1.01</v>
      </c>
      <c r="H287" s="6" t="str">
        <f t="shared" si="26"/>
        <v>INSERT INTO public.coupon (plancode, age, "year", couponrate, benefittype, benefitrate, premiumrate) VALUES('EN60', 3, 33, 8, 'A',800, 1.01);</v>
      </c>
      <c r="I287" s="6" t="str">
        <f t="shared" si="27"/>
        <v>{"age":"3", "year":"33", "couponrate":"8", "benefittype":"A", "benefitrate":"800", "premiumrate":"1.01"}</v>
      </c>
      <c r="J287" s="6" t="str">
        <f t="shared" si="28"/>
        <v>,</v>
      </c>
    </row>
    <row r="288" spans="1:10">
      <c r="A288" s="4" t="str">
        <f>'EN60'!A$3</f>
        <v>EN60</v>
      </c>
      <c r="B288" s="4">
        <f t="shared" si="29"/>
        <v>3</v>
      </c>
      <c r="C288" s="4">
        <f t="shared" si="30"/>
        <v>34</v>
      </c>
      <c r="D288" s="4">
        <f t="shared" si="24"/>
        <v>8</v>
      </c>
      <c r="E288" s="4" t="s">
        <v>27</v>
      </c>
      <c r="F288" s="4">
        <f t="shared" si="25"/>
        <v>800</v>
      </c>
      <c r="G288" s="5">
        <f t="shared" si="31"/>
        <v>1.01</v>
      </c>
      <c r="H288" s="6" t="str">
        <f t="shared" si="26"/>
        <v>INSERT INTO public.coupon (plancode, age, "year", couponrate, benefittype, benefitrate, premiumrate) VALUES('EN60', 3, 34, 8, 'A',800, 1.01);</v>
      </c>
      <c r="I288" s="6" t="str">
        <f t="shared" si="27"/>
        <v>{"age":"3", "year":"34", "couponrate":"8", "benefittype":"A", "benefitrate":"800", "premiumrate":"1.01"}</v>
      </c>
      <c r="J288" s="6" t="str">
        <f t="shared" si="28"/>
        <v>,</v>
      </c>
    </row>
    <row r="289" spans="1:10">
      <c r="A289" s="4" t="str">
        <f>'EN60'!A$3</f>
        <v>EN60</v>
      </c>
      <c r="B289" s="4">
        <f t="shared" si="29"/>
        <v>3</v>
      </c>
      <c r="C289" s="4">
        <f t="shared" si="30"/>
        <v>35</v>
      </c>
      <c r="D289" s="4">
        <f t="shared" si="24"/>
        <v>8</v>
      </c>
      <c r="E289" s="4" t="s">
        <v>27</v>
      </c>
      <c r="F289" s="4">
        <f t="shared" si="25"/>
        <v>800</v>
      </c>
      <c r="G289" s="5">
        <f t="shared" si="31"/>
        <v>1.01</v>
      </c>
      <c r="H289" s="6" t="str">
        <f t="shared" si="26"/>
        <v>INSERT INTO public.coupon (plancode, age, "year", couponrate, benefittype, benefitrate, premiumrate) VALUES('EN60', 3, 35, 8, 'A',800, 1.01);</v>
      </c>
      <c r="I289" s="6" t="str">
        <f t="shared" si="27"/>
        <v>{"age":"3", "year":"35", "couponrate":"8", "benefittype":"A", "benefitrate":"800", "premiumrate":"1.01"}</v>
      </c>
      <c r="J289" s="6" t="str">
        <f t="shared" si="28"/>
        <v>,</v>
      </c>
    </row>
    <row r="290" spans="1:10">
      <c r="A290" s="4" t="str">
        <f>'EN60'!A$3</f>
        <v>EN60</v>
      </c>
      <c r="B290" s="4">
        <f t="shared" si="29"/>
        <v>3</v>
      </c>
      <c r="C290" s="4">
        <f t="shared" si="30"/>
        <v>36</v>
      </c>
      <c r="D290" s="4">
        <f t="shared" si="24"/>
        <v>8</v>
      </c>
      <c r="E290" s="4" t="s">
        <v>27</v>
      </c>
      <c r="F290" s="4">
        <f t="shared" si="25"/>
        <v>800</v>
      </c>
      <c r="G290" s="5">
        <f t="shared" si="31"/>
        <v>1.01</v>
      </c>
      <c r="H290" s="6" t="str">
        <f t="shared" si="26"/>
        <v>INSERT INTO public.coupon (plancode, age, "year", couponrate, benefittype, benefitrate, premiumrate) VALUES('EN60', 3, 36, 8, 'A',800, 1.01);</v>
      </c>
      <c r="I290" s="6" t="str">
        <f t="shared" si="27"/>
        <v>{"age":"3", "year":"36", "couponrate":"8", "benefittype":"A", "benefitrate":"800", "premiumrate":"1.01"}</v>
      </c>
      <c r="J290" s="6" t="str">
        <f t="shared" si="28"/>
        <v>,</v>
      </c>
    </row>
    <row r="291" spans="1:10">
      <c r="A291" s="4" t="str">
        <f>'EN60'!A$3</f>
        <v>EN60</v>
      </c>
      <c r="B291" s="4">
        <f t="shared" si="29"/>
        <v>3</v>
      </c>
      <c r="C291" s="4">
        <f t="shared" si="30"/>
        <v>37</v>
      </c>
      <c r="D291" s="4">
        <f t="shared" si="24"/>
        <v>8</v>
      </c>
      <c r="E291" s="4" t="s">
        <v>27</v>
      </c>
      <c r="F291" s="4">
        <f t="shared" si="25"/>
        <v>800</v>
      </c>
      <c r="G291" s="5">
        <f t="shared" si="31"/>
        <v>1.01</v>
      </c>
      <c r="H291" s="6" t="str">
        <f t="shared" si="26"/>
        <v>INSERT INTO public.coupon (plancode, age, "year", couponrate, benefittype, benefitrate, premiumrate) VALUES('EN60', 3, 37, 8, 'A',800, 1.01);</v>
      </c>
      <c r="I291" s="6" t="str">
        <f t="shared" si="27"/>
        <v>{"age":"3", "year":"37", "couponrate":"8", "benefittype":"A", "benefitrate":"800", "premiumrate":"1.01"}</v>
      </c>
      <c r="J291" s="6" t="str">
        <f t="shared" si="28"/>
        <v>,</v>
      </c>
    </row>
    <row r="292" spans="1:10">
      <c r="A292" s="4" t="str">
        <f>'EN60'!A$3</f>
        <v>EN60</v>
      </c>
      <c r="B292" s="4">
        <f t="shared" si="29"/>
        <v>3</v>
      </c>
      <c r="C292" s="4">
        <f t="shared" si="30"/>
        <v>38</v>
      </c>
      <c r="D292" s="4">
        <f t="shared" si="24"/>
        <v>8</v>
      </c>
      <c r="E292" s="4" t="s">
        <v>27</v>
      </c>
      <c r="F292" s="4">
        <f t="shared" si="25"/>
        <v>800</v>
      </c>
      <c r="G292" s="5">
        <f t="shared" si="31"/>
        <v>1.01</v>
      </c>
      <c r="H292" s="6" t="str">
        <f t="shared" si="26"/>
        <v>INSERT INTO public.coupon (plancode, age, "year", couponrate, benefittype, benefitrate, premiumrate) VALUES('EN60', 3, 38, 8, 'A',800, 1.01);</v>
      </c>
      <c r="I292" s="6" t="str">
        <f t="shared" si="27"/>
        <v>{"age":"3", "year":"38", "couponrate":"8", "benefittype":"A", "benefitrate":"800", "premiumrate":"1.01"}</v>
      </c>
      <c r="J292" s="6" t="str">
        <f t="shared" si="28"/>
        <v>,</v>
      </c>
    </row>
    <row r="293" spans="1:10">
      <c r="A293" s="4" t="str">
        <f>'EN60'!A$3</f>
        <v>EN60</v>
      </c>
      <c r="B293" s="4">
        <f t="shared" si="29"/>
        <v>3</v>
      </c>
      <c r="C293" s="4">
        <f t="shared" si="30"/>
        <v>39</v>
      </c>
      <c r="D293" s="4">
        <f t="shared" si="24"/>
        <v>8</v>
      </c>
      <c r="E293" s="4" t="s">
        <v>27</v>
      </c>
      <c r="F293" s="4">
        <f t="shared" si="25"/>
        <v>800</v>
      </c>
      <c r="G293" s="5">
        <f t="shared" si="31"/>
        <v>1.01</v>
      </c>
      <c r="H293" s="6" t="str">
        <f t="shared" si="26"/>
        <v>INSERT INTO public.coupon (plancode, age, "year", couponrate, benefittype, benefitrate, premiumrate) VALUES('EN60', 3, 39, 8, 'A',800, 1.01);</v>
      </c>
      <c r="I293" s="6" t="str">
        <f t="shared" si="27"/>
        <v>{"age":"3", "year":"39", "couponrate":"8", "benefittype":"A", "benefitrate":"800", "premiumrate":"1.01"}</v>
      </c>
      <c r="J293" s="6" t="str">
        <f t="shared" si="28"/>
        <v>,</v>
      </c>
    </row>
    <row r="294" spans="1:10">
      <c r="A294" s="4" t="str">
        <f>'EN60'!A$3</f>
        <v>EN60</v>
      </c>
      <c r="B294" s="4">
        <f t="shared" si="29"/>
        <v>3</v>
      </c>
      <c r="C294" s="4">
        <f t="shared" si="30"/>
        <v>40</v>
      </c>
      <c r="D294" s="4">
        <f t="shared" si="24"/>
        <v>8</v>
      </c>
      <c r="E294" s="4" t="s">
        <v>27</v>
      </c>
      <c r="F294" s="4">
        <f t="shared" si="25"/>
        <v>800</v>
      </c>
      <c r="G294" s="5">
        <f t="shared" si="31"/>
        <v>1.01</v>
      </c>
      <c r="H294" s="6" t="str">
        <f t="shared" si="26"/>
        <v>INSERT INTO public.coupon (plancode, age, "year", couponrate, benefittype, benefitrate, premiumrate) VALUES('EN60', 3, 40, 8, 'A',800, 1.01);</v>
      </c>
      <c r="I294" s="6" t="str">
        <f t="shared" si="27"/>
        <v>{"age":"3", "year":"40", "couponrate":"8", "benefittype":"A", "benefitrate":"800", "premiumrate":"1.01"}</v>
      </c>
      <c r="J294" s="6" t="str">
        <f t="shared" si="28"/>
        <v>,</v>
      </c>
    </row>
    <row r="295" spans="1:10">
      <c r="A295" s="4" t="str">
        <f>'EN60'!A$3</f>
        <v>EN60</v>
      </c>
      <c r="B295" s="4">
        <f t="shared" si="29"/>
        <v>3</v>
      </c>
      <c r="C295" s="4">
        <f t="shared" si="30"/>
        <v>41</v>
      </c>
      <c r="D295" s="4">
        <f t="shared" si="24"/>
        <v>8</v>
      </c>
      <c r="E295" s="4" t="s">
        <v>27</v>
      </c>
      <c r="F295" s="4">
        <f t="shared" si="25"/>
        <v>800</v>
      </c>
      <c r="G295" s="5">
        <f t="shared" si="31"/>
        <v>1.01</v>
      </c>
      <c r="H295" s="6" t="str">
        <f t="shared" si="26"/>
        <v>INSERT INTO public.coupon (plancode, age, "year", couponrate, benefittype, benefitrate, premiumrate) VALUES('EN60', 3, 41, 8, 'A',800, 1.01);</v>
      </c>
      <c r="I295" s="6" t="str">
        <f t="shared" si="27"/>
        <v>{"age":"3", "year":"41", "couponrate":"8", "benefittype":"A", "benefitrate":"800", "premiumrate":"1.01"}</v>
      </c>
      <c r="J295" s="6" t="str">
        <f t="shared" si="28"/>
        <v>,</v>
      </c>
    </row>
    <row r="296" spans="1:10">
      <c r="A296" s="4" t="str">
        <f>'EN60'!A$3</f>
        <v>EN60</v>
      </c>
      <c r="B296" s="4">
        <f t="shared" si="29"/>
        <v>3</v>
      </c>
      <c r="C296" s="4">
        <f t="shared" si="30"/>
        <v>42</v>
      </c>
      <c r="D296" s="4">
        <f t="shared" si="24"/>
        <v>8</v>
      </c>
      <c r="E296" s="4" t="s">
        <v>27</v>
      </c>
      <c r="F296" s="4">
        <f t="shared" si="25"/>
        <v>800</v>
      </c>
      <c r="G296" s="5">
        <f t="shared" si="31"/>
        <v>1.01</v>
      </c>
      <c r="H296" s="6" t="str">
        <f t="shared" si="26"/>
        <v>INSERT INTO public.coupon (plancode, age, "year", couponrate, benefittype, benefitrate, premiumrate) VALUES('EN60', 3, 42, 8, 'A',800, 1.01);</v>
      </c>
      <c r="I296" s="6" t="str">
        <f t="shared" si="27"/>
        <v>{"age":"3", "year":"42", "couponrate":"8", "benefittype":"A", "benefitrate":"800", "premiumrate":"1.01"}</v>
      </c>
      <c r="J296" s="6" t="str">
        <f t="shared" si="28"/>
        <v>,</v>
      </c>
    </row>
    <row r="297" spans="1:10">
      <c r="A297" s="4" t="str">
        <f>'EN60'!A$3</f>
        <v>EN60</v>
      </c>
      <c r="B297" s="4">
        <f t="shared" si="29"/>
        <v>3</v>
      </c>
      <c r="C297" s="4">
        <f t="shared" si="30"/>
        <v>43</v>
      </c>
      <c r="D297" s="4">
        <f t="shared" si="24"/>
        <v>8</v>
      </c>
      <c r="E297" s="4" t="s">
        <v>27</v>
      </c>
      <c r="F297" s="4">
        <f t="shared" si="25"/>
        <v>800</v>
      </c>
      <c r="G297" s="5">
        <f t="shared" si="31"/>
        <v>1.01</v>
      </c>
      <c r="H297" s="6" t="str">
        <f t="shared" si="26"/>
        <v>INSERT INTO public.coupon (plancode, age, "year", couponrate, benefittype, benefitrate, premiumrate) VALUES('EN60', 3, 43, 8, 'A',800, 1.01);</v>
      </c>
      <c r="I297" s="6" t="str">
        <f t="shared" si="27"/>
        <v>{"age":"3", "year":"43", "couponrate":"8", "benefittype":"A", "benefitrate":"800", "premiumrate":"1.01"}</v>
      </c>
      <c r="J297" s="6" t="str">
        <f t="shared" si="28"/>
        <v>,</v>
      </c>
    </row>
    <row r="298" spans="1:10">
      <c r="A298" s="4" t="str">
        <f>'EN60'!A$3</f>
        <v>EN60</v>
      </c>
      <c r="B298" s="4">
        <f t="shared" si="29"/>
        <v>3</v>
      </c>
      <c r="C298" s="4">
        <f t="shared" si="30"/>
        <v>44</v>
      </c>
      <c r="D298" s="4">
        <f t="shared" si="24"/>
        <v>8</v>
      </c>
      <c r="E298" s="4" t="s">
        <v>27</v>
      </c>
      <c r="F298" s="4">
        <f t="shared" si="25"/>
        <v>800</v>
      </c>
      <c r="G298" s="5">
        <f t="shared" si="31"/>
        <v>1.01</v>
      </c>
      <c r="H298" s="6" t="str">
        <f t="shared" si="26"/>
        <v>INSERT INTO public.coupon (plancode, age, "year", couponrate, benefittype, benefitrate, premiumrate) VALUES('EN60', 3, 44, 8, 'A',800, 1.01);</v>
      </c>
      <c r="I298" s="6" t="str">
        <f t="shared" si="27"/>
        <v>{"age":"3", "year":"44", "couponrate":"8", "benefittype":"A", "benefitrate":"800", "premiumrate":"1.01"}</v>
      </c>
      <c r="J298" s="6" t="str">
        <f t="shared" si="28"/>
        <v>,</v>
      </c>
    </row>
    <row r="299" spans="1:10">
      <c r="A299" s="4" t="str">
        <f>'EN60'!A$3</f>
        <v>EN60</v>
      </c>
      <c r="B299" s="4">
        <f t="shared" si="29"/>
        <v>3</v>
      </c>
      <c r="C299" s="4">
        <f t="shared" si="30"/>
        <v>45</v>
      </c>
      <c r="D299" s="4">
        <f t="shared" si="24"/>
        <v>8</v>
      </c>
      <c r="E299" s="4" t="s">
        <v>27</v>
      </c>
      <c r="F299" s="4">
        <f t="shared" si="25"/>
        <v>800</v>
      </c>
      <c r="G299" s="5">
        <f t="shared" si="31"/>
        <v>1.01</v>
      </c>
      <c r="H299" s="6" t="str">
        <f t="shared" si="26"/>
        <v>INSERT INTO public.coupon (plancode, age, "year", couponrate, benefittype, benefitrate, premiumrate) VALUES('EN60', 3, 45, 8, 'A',800, 1.01);</v>
      </c>
      <c r="I299" s="6" t="str">
        <f t="shared" si="27"/>
        <v>{"age":"3", "year":"45", "couponrate":"8", "benefittype":"A", "benefitrate":"800", "premiumrate":"1.01"}</v>
      </c>
      <c r="J299" s="6" t="str">
        <f t="shared" si="28"/>
        <v>,</v>
      </c>
    </row>
    <row r="300" spans="1:10">
      <c r="A300" s="4" t="str">
        <f>'EN60'!A$3</f>
        <v>EN60</v>
      </c>
      <c r="B300" s="4">
        <f t="shared" si="29"/>
        <v>3</v>
      </c>
      <c r="C300" s="4">
        <f t="shared" si="30"/>
        <v>46</v>
      </c>
      <c r="D300" s="4">
        <f t="shared" si="24"/>
        <v>8</v>
      </c>
      <c r="E300" s="4" t="s">
        <v>27</v>
      </c>
      <c r="F300" s="4">
        <f t="shared" si="25"/>
        <v>800</v>
      </c>
      <c r="G300" s="5">
        <f t="shared" si="31"/>
        <v>1.01</v>
      </c>
      <c r="H300" s="6" t="str">
        <f t="shared" si="26"/>
        <v>INSERT INTO public.coupon (plancode, age, "year", couponrate, benefittype, benefitrate, premiumrate) VALUES('EN60', 3, 46, 8, 'A',800, 1.01);</v>
      </c>
      <c r="I300" s="6" t="str">
        <f t="shared" si="27"/>
        <v>{"age":"3", "year":"46", "couponrate":"8", "benefittype":"A", "benefitrate":"800", "premiumrate":"1.01"}</v>
      </c>
      <c r="J300" s="6" t="str">
        <f t="shared" si="28"/>
        <v>,</v>
      </c>
    </row>
    <row r="301" spans="1:10">
      <c r="A301" s="4" t="str">
        <f>'EN60'!A$3</f>
        <v>EN60</v>
      </c>
      <c r="B301" s="4">
        <f t="shared" si="29"/>
        <v>3</v>
      </c>
      <c r="C301" s="4">
        <f t="shared" si="30"/>
        <v>47</v>
      </c>
      <c r="D301" s="4">
        <f t="shared" si="24"/>
        <v>8</v>
      </c>
      <c r="E301" s="4" t="s">
        <v>27</v>
      </c>
      <c r="F301" s="4">
        <f t="shared" si="25"/>
        <v>800</v>
      </c>
      <c r="G301" s="5">
        <f t="shared" si="31"/>
        <v>1.01</v>
      </c>
      <c r="H301" s="6" t="str">
        <f t="shared" si="26"/>
        <v>INSERT INTO public.coupon (plancode, age, "year", couponrate, benefittype, benefitrate, premiumrate) VALUES('EN60', 3, 47, 8, 'A',800, 1.01);</v>
      </c>
      <c r="I301" s="6" t="str">
        <f t="shared" si="27"/>
        <v>{"age":"3", "year":"47", "couponrate":"8", "benefittype":"A", "benefitrate":"800", "premiumrate":"1.01"}</v>
      </c>
      <c r="J301" s="6" t="str">
        <f t="shared" si="28"/>
        <v>,</v>
      </c>
    </row>
    <row r="302" spans="1:10">
      <c r="A302" s="4" t="str">
        <f>'EN60'!A$3</f>
        <v>EN60</v>
      </c>
      <c r="B302" s="4">
        <f t="shared" si="29"/>
        <v>3</v>
      </c>
      <c r="C302" s="4">
        <f t="shared" si="30"/>
        <v>48</v>
      </c>
      <c r="D302" s="4">
        <f t="shared" si="24"/>
        <v>8</v>
      </c>
      <c r="E302" s="4" t="s">
        <v>27</v>
      </c>
      <c r="F302" s="4">
        <f t="shared" si="25"/>
        <v>800</v>
      </c>
      <c r="G302" s="5">
        <f t="shared" si="31"/>
        <v>1.01</v>
      </c>
      <c r="H302" s="6" t="str">
        <f t="shared" si="26"/>
        <v>INSERT INTO public.coupon (plancode, age, "year", couponrate, benefittype, benefitrate, premiumrate) VALUES('EN60', 3, 48, 8, 'A',800, 1.01);</v>
      </c>
      <c r="I302" s="6" t="str">
        <f t="shared" si="27"/>
        <v>{"age":"3", "year":"48", "couponrate":"8", "benefittype":"A", "benefitrate":"800", "premiumrate":"1.01"}</v>
      </c>
      <c r="J302" s="6" t="str">
        <f t="shared" si="28"/>
        <v>,</v>
      </c>
    </row>
    <row r="303" spans="1:10">
      <c r="A303" s="4" t="str">
        <f>'EN60'!A$3</f>
        <v>EN60</v>
      </c>
      <c r="B303" s="4">
        <f t="shared" si="29"/>
        <v>3</v>
      </c>
      <c r="C303" s="4">
        <f t="shared" si="30"/>
        <v>49</v>
      </c>
      <c r="D303" s="4">
        <f t="shared" si="24"/>
        <v>8</v>
      </c>
      <c r="E303" s="4" t="s">
        <v>27</v>
      </c>
      <c r="F303" s="4">
        <f t="shared" si="25"/>
        <v>800</v>
      </c>
      <c r="G303" s="5">
        <f t="shared" si="31"/>
        <v>1.01</v>
      </c>
      <c r="H303" s="6" t="str">
        <f t="shared" si="26"/>
        <v>INSERT INTO public.coupon (plancode, age, "year", couponrate, benefittype, benefitrate, premiumrate) VALUES('EN60', 3, 49, 8, 'A',800, 1.01);</v>
      </c>
      <c r="I303" s="6" t="str">
        <f t="shared" si="27"/>
        <v>{"age":"3", "year":"49", "couponrate":"8", "benefittype":"A", "benefitrate":"800", "premiumrate":"1.01"}</v>
      </c>
      <c r="J303" s="6" t="str">
        <f t="shared" si="28"/>
        <v>,</v>
      </c>
    </row>
    <row r="304" spans="1:10">
      <c r="A304" s="4" t="str">
        <f>'EN60'!A$3</f>
        <v>EN60</v>
      </c>
      <c r="B304" s="4">
        <f t="shared" si="29"/>
        <v>3</v>
      </c>
      <c r="C304" s="4">
        <f t="shared" si="30"/>
        <v>50</v>
      </c>
      <c r="D304" s="4">
        <f t="shared" si="24"/>
        <v>8</v>
      </c>
      <c r="E304" s="4" t="s">
        <v>27</v>
      </c>
      <c r="F304" s="4">
        <f t="shared" si="25"/>
        <v>800</v>
      </c>
      <c r="G304" s="5">
        <f t="shared" si="31"/>
        <v>1.01</v>
      </c>
      <c r="H304" s="6" t="str">
        <f t="shared" si="26"/>
        <v>INSERT INTO public.coupon (plancode, age, "year", couponrate, benefittype, benefitrate, premiumrate) VALUES('EN60', 3, 50, 8, 'A',800, 1.01);</v>
      </c>
      <c r="I304" s="6" t="str">
        <f t="shared" si="27"/>
        <v>{"age":"3", "year":"50", "couponrate":"8", "benefittype":"A", "benefitrate":"800", "premiumrate":"1.01"}</v>
      </c>
      <c r="J304" s="6" t="str">
        <f t="shared" si="28"/>
        <v>,</v>
      </c>
    </row>
    <row r="305" spans="1:10">
      <c r="A305" s="4" t="str">
        <f>'EN60'!A$3</f>
        <v>EN60</v>
      </c>
      <c r="B305" s="4">
        <f t="shared" si="29"/>
        <v>3</v>
      </c>
      <c r="C305" s="4">
        <f t="shared" si="30"/>
        <v>51</v>
      </c>
      <c r="D305" s="4">
        <f t="shared" si="24"/>
        <v>8</v>
      </c>
      <c r="E305" s="4" t="s">
        <v>27</v>
      </c>
      <c r="F305" s="4">
        <f t="shared" si="25"/>
        <v>800</v>
      </c>
      <c r="G305" s="5">
        <f t="shared" si="31"/>
        <v>1.01</v>
      </c>
      <c r="H305" s="6" t="str">
        <f t="shared" si="26"/>
        <v>INSERT INTO public.coupon (plancode, age, "year", couponrate, benefittype, benefitrate, premiumrate) VALUES('EN60', 3, 51, 8, 'A',800, 1.01);</v>
      </c>
      <c r="I305" s="6" t="str">
        <f t="shared" si="27"/>
        <v>{"age":"3", "year":"51", "couponrate":"8", "benefittype":"A", "benefitrate":"800", "premiumrate":"1.01"}</v>
      </c>
      <c r="J305" s="6" t="str">
        <f t="shared" si="28"/>
        <v>,</v>
      </c>
    </row>
    <row r="306" spans="1:10">
      <c r="A306" s="4" t="str">
        <f>'EN60'!A$3</f>
        <v>EN60</v>
      </c>
      <c r="B306" s="4">
        <f t="shared" si="29"/>
        <v>3</v>
      </c>
      <c r="C306" s="4">
        <f t="shared" si="30"/>
        <v>52</v>
      </c>
      <c r="D306" s="4">
        <f t="shared" si="24"/>
        <v>8</v>
      </c>
      <c r="E306" s="4" t="s">
        <v>27</v>
      </c>
      <c r="F306" s="4">
        <f t="shared" si="25"/>
        <v>800</v>
      </c>
      <c r="G306" s="5">
        <f t="shared" si="31"/>
        <v>1.01</v>
      </c>
      <c r="H306" s="6" t="str">
        <f t="shared" si="26"/>
        <v>INSERT INTO public.coupon (plancode, age, "year", couponrate, benefittype, benefitrate, premiumrate) VALUES('EN60', 3, 52, 8, 'A',800, 1.01);</v>
      </c>
      <c r="I306" s="6" t="str">
        <f t="shared" si="27"/>
        <v>{"age":"3", "year":"52", "couponrate":"8", "benefittype":"A", "benefitrate":"800", "premiumrate":"1.01"}</v>
      </c>
      <c r="J306" s="6" t="str">
        <f t="shared" si="28"/>
        <v>,</v>
      </c>
    </row>
    <row r="307" spans="1:10">
      <c r="A307" s="4" t="str">
        <f>'EN60'!A$3</f>
        <v>EN60</v>
      </c>
      <c r="B307" s="4">
        <f t="shared" si="29"/>
        <v>3</v>
      </c>
      <c r="C307" s="4">
        <f t="shared" si="30"/>
        <v>53</v>
      </c>
      <c r="D307" s="4">
        <f t="shared" si="24"/>
        <v>8</v>
      </c>
      <c r="E307" s="4" t="s">
        <v>27</v>
      </c>
      <c r="F307" s="4">
        <f t="shared" si="25"/>
        <v>800</v>
      </c>
      <c r="G307" s="5">
        <f t="shared" si="31"/>
        <v>1.01</v>
      </c>
      <c r="H307" s="6" t="str">
        <f t="shared" si="26"/>
        <v>INSERT INTO public.coupon (plancode, age, "year", couponrate, benefittype, benefitrate, premiumrate) VALUES('EN60', 3, 53, 8, 'A',800, 1.01);</v>
      </c>
      <c r="I307" s="6" t="str">
        <f t="shared" si="27"/>
        <v>{"age":"3", "year":"53", "couponrate":"8", "benefittype":"A", "benefitrate":"800", "premiumrate":"1.01"}</v>
      </c>
      <c r="J307" s="6" t="str">
        <f t="shared" si="28"/>
        <v>,</v>
      </c>
    </row>
    <row r="308" spans="1:10">
      <c r="A308" s="4" t="str">
        <f>'EN60'!A$3</f>
        <v>EN60</v>
      </c>
      <c r="B308" s="4">
        <f t="shared" si="29"/>
        <v>3</v>
      </c>
      <c r="C308" s="4">
        <f t="shared" si="30"/>
        <v>54</v>
      </c>
      <c r="D308" s="4">
        <f t="shared" si="24"/>
        <v>8</v>
      </c>
      <c r="E308" s="4" t="s">
        <v>27</v>
      </c>
      <c r="F308" s="4">
        <f t="shared" si="25"/>
        <v>800</v>
      </c>
      <c r="G308" s="5">
        <f t="shared" si="31"/>
        <v>1.01</v>
      </c>
      <c r="H308" s="6" t="str">
        <f t="shared" si="26"/>
        <v>INSERT INTO public.coupon (plancode, age, "year", couponrate, benefittype, benefitrate, premiumrate) VALUES('EN60', 3, 54, 8, 'A',800, 1.01);</v>
      </c>
      <c r="I308" s="6" t="str">
        <f t="shared" si="27"/>
        <v>{"age":"3", "year":"54", "couponrate":"8", "benefittype":"A", "benefitrate":"800", "premiumrate":"1.01"}</v>
      </c>
      <c r="J308" s="6" t="str">
        <f t="shared" si="28"/>
        <v>,</v>
      </c>
    </row>
    <row r="309" spans="1:10">
      <c r="A309" s="4" t="str">
        <f>'EN60'!A$3</f>
        <v>EN60</v>
      </c>
      <c r="B309" s="4">
        <f t="shared" si="29"/>
        <v>3</v>
      </c>
      <c r="C309" s="4">
        <f t="shared" si="30"/>
        <v>55</v>
      </c>
      <c r="D309" s="4">
        <f t="shared" si="24"/>
        <v>8</v>
      </c>
      <c r="E309" s="4" t="s">
        <v>27</v>
      </c>
      <c r="F309" s="4">
        <f t="shared" si="25"/>
        <v>800</v>
      </c>
      <c r="G309" s="5">
        <f t="shared" si="31"/>
        <v>1.01</v>
      </c>
      <c r="H309" s="6" t="str">
        <f t="shared" si="26"/>
        <v>INSERT INTO public.coupon (plancode, age, "year", couponrate, benefittype, benefitrate, premiumrate) VALUES('EN60', 3, 55, 8, 'A',800, 1.01);</v>
      </c>
      <c r="I309" s="6" t="str">
        <f t="shared" si="27"/>
        <v>{"age":"3", "year":"55", "couponrate":"8", "benefittype":"A", "benefitrate":"800", "premiumrate":"1.01"}</v>
      </c>
      <c r="J309" s="6" t="str">
        <f t="shared" si="28"/>
        <v>,</v>
      </c>
    </row>
    <row r="310" spans="1:10">
      <c r="A310" s="4" t="str">
        <f>'EN60'!A$3</f>
        <v>EN60</v>
      </c>
      <c r="B310" s="4">
        <f t="shared" si="29"/>
        <v>3</v>
      </c>
      <c r="C310" s="4">
        <f t="shared" si="30"/>
        <v>56</v>
      </c>
      <c r="D310" s="4">
        <f t="shared" si="24"/>
        <v>8</v>
      </c>
      <c r="E310" s="4" t="s">
        <v>27</v>
      </c>
      <c r="F310" s="4">
        <f t="shared" si="25"/>
        <v>800</v>
      </c>
      <c r="G310" s="5">
        <f t="shared" si="31"/>
        <v>1.01</v>
      </c>
      <c r="H310" s="6" t="str">
        <f t="shared" si="26"/>
        <v>INSERT INTO public.coupon (plancode, age, "year", couponrate, benefittype, benefitrate, premiumrate) VALUES('EN60', 3, 56, 8, 'A',800, 1.01);</v>
      </c>
      <c r="I310" s="6" t="str">
        <f t="shared" si="27"/>
        <v>{"age":"3", "year":"56", "couponrate":"8", "benefittype":"A", "benefitrate":"800", "premiumrate":"1.01"}</v>
      </c>
      <c r="J310" s="6" t="str">
        <f t="shared" si="28"/>
        <v>,</v>
      </c>
    </row>
    <row r="311" spans="1:10">
      <c r="A311" s="4" t="str">
        <f>'EN60'!A$3</f>
        <v>EN60</v>
      </c>
      <c r="B311" s="4">
        <f t="shared" si="29"/>
        <v>3</v>
      </c>
      <c r="C311" s="4">
        <f t="shared" si="30"/>
        <v>57</v>
      </c>
      <c r="D311" s="4">
        <f t="shared" si="24"/>
        <v>8</v>
      </c>
      <c r="E311" s="4" t="s">
        <v>27</v>
      </c>
      <c r="F311" s="4">
        <f t="shared" si="25"/>
        <v>800</v>
      </c>
      <c r="G311" s="5">
        <f t="shared" si="31"/>
        <v>1.01</v>
      </c>
      <c r="H311" s="6" t="str">
        <f t="shared" si="26"/>
        <v>INSERT INTO public.coupon (plancode, age, "year", couponrate, benefittype, benefitrate, premiumrate) VALUES('EN60', 3, 57, 8, 'A',800, 1.01);</v>
      </c>
      <c r="I311" s="6" t="str">
        <f t="shared" si="27"/>
        <v>{"age":"3", "year":"57", "couponrate":"8", "benefittype":"A", "benefitrate":"800", "premiumrate":"1.01"}</v>
      </c>
      <c r="J311" s="6" t="str">
        <f t="shared" si="28"/>
        <v>,</v>
      </c>
    </row>
    <row r="312" spans="1:10">
      <c r="A312" s="4" t="str">
        <f>'EN60'!A$3</f>
        <v>EN60</v>
      </c>
      <c r="B312" s="4">
        <f t="shared" si="29"/>
        <v>3</v>
      </c>
      <c r="C312" s="4">
        <f t="shared" si="30"/>
        <v>58</v>
      </c>
      <c r="D312" s="4">
        <f t="shared" si="24"/>
        <v>8</v>
      </c>
      <c r="E312" s="4" t="s">
        <v>27</v>
      </c>
      <c r="F312" s="4">
        <f t="shared" si="25"/>
        <v>800</v>
      </c>
      <c r="G312" s="5">
        <f t="shared" si="31"/>
        <v>1.01</v>
      </c>
      <c r="H312" s="6" t="str">
        <f t="shared" si="26"/>
        <v>INSERT INTO public.coupon (plancode, age, "year", couponrate, benefittype, benefitrate, premiumrate) VALUES('EN60', 3, 58, 8, 'A',800, 1.01);</v>
      </c>
      <c r="I312" s="6" t="str">
        <f t="shared" si="27"/>
        <v>{"age":"3", "year":"58", "couponrate":"8", "benefittype":"A", "benefitrate":"800", "premiumrate":"1.01"}</v>
      </c>
      <c r="J312" s="6" t="str">
        <f t="shared" si="28"/>
        <v>,</v>
      </c>
    </row>
    <row r="313" spans="1:10">
      <c r="A313" s="4" t="str">
        <f>'EN60'!A$3</f>
        <v>EN60</v>
      </c>
      <c r="B313" s="4">
        <f t="shared" si="29"/>
        <v>3</v>
      </c>
      <c r="C313" s="4">
        <f t="shared" si="30"/>
        <v>59</v>
      </c>
      <c r="D313" s="4">
        <f t="shared" si="24"/>
        <v>8</v>
      </c>
      <c r="E313" s="4" t="s">
        <v>27</v>
      </c>
      <c r="F313" s="4">
        <f t="shared" si="25"/>
        <v>800</v>
      </c>
      <c r="G313" s="5">
        <f t="shared" si="31"/>
        <v>1.01</v>
      </c>
      <c r="H313" s="6" t="str">
        <f t="shared" si="26"/>
        <v>INSERT INTO public.coupon (plancode, age, "year", couponrate, benefittype, benefitrate, premiumrate) VALUES('EN60', 3, 59, 8, 'A',800, 1.01);</v>
      </c>
      <c r="I313" s="6" t="str">
        <f t="shared" si="27"/>
        <v>{"age":"3", "year":"59", "couponrate":"8", "benefittype":"A", "benefitrate":"800", "premiumrate":"1.01"}</v>
      </c>
      <c r="J313" s="6" t="str">
        <f t="shared" si="28"/>
        <v>,</v>
      </c>
    </row>
    <row r="314" spans="1:10">
      <c r="A314" s="4" t="str">
        <f>'EN60'!A$3</f>
        <v>EN60</v>
      </c>
      <c r="B314" s="4">
        <f t="shared" si="29"/>
        <v>3</v>
      </c>
      <c r="C314" s="4">
        <f t="shared" si="30"/>
        <v>60</v>
      </c>
      <c r="D314" s="4">
        <f t="shared" si="24"/>
        <v>8</v>
      </c>
      <c r="E314" s="4" t="s">
        <v>27</v>
      </c>
      <c r="F314" s="4">
        <f t="shared" si="25"/>
        <v>800</v>
      </c>
      <c r="G314" s="5">
        <f t="shared" si="31"/>
        <v>1.01</v>
      </c>
      <c r="H314" s="6" t="str">
        <f t="shared" si="26"/>
        <v>INSERT INTO public.coupon (plancode, age, "year", couponrate, benefittype, benefitrate, premiumrate) VALUES('EN60', 3, 60, 8, 'A',800, 1.01);</v>
      </c>
      <c r="I314" s="6" t="str">
        <f t="shared" si="27"/>
        <v>{"age":"3", "year":"60", "couponrate":"8", "benefittype":"A", "benefitrate":"800", "premiumrate":"1.01"}</v>
      </c>
      <c r="J314" s="6" t="str">
        <f t="shared" si="28"/>
        <v>,</v>
      </c>
    </row>
    <row r="315" spans="1:10">
      <c r="A315" s="4" t="str">
        <f>'EN60'!A$3</f>
        <v>EN60</v>
      </c>
      <c r="B315" s="4">
        <f t="shared" si="29"/>
        <v>3</v>
      </c>
      <c r="C315" s="4">
        <f t="shared" si="30"/>
        <v>61</v>
      </c>
      <c r="D315" s="4">
        <f t="shared" si="24"/>
        <v>8</v>
      </c>
      <c r="E315" s="4" t="s">
        <v>27</v>
      </c>
      <c r="F315" s="4">
        <f t="shared" si="25"/>
        <v>800</v>
      </c>
      <c r="G315" s="5">
        <f t="shared" si="31"/>
        <v>1.01</v>
      </c>
      <c r="H315" s="6" t="str">
        <f t="shared" si="26"/>
        <v>INSERT INTO public.coupon (plancode, age, "year", couponrate, benefittype, benefitrate, premiumrate) VALUES('EN60', 3, 61, 8, 'A',800, 1.01);</v>
      </c>
      <c r="I315" s="6" t="str">
        <f t="shared" si="27"/>
        <v>{"age":"3", "year":"61", "couponrate":"8", "benefittype":"A", "benefitrate":"800", "premiumrate":"1.01"}</v>
      </c>
      <c r="J315" s="6" t="str">
        <f t="shared" si="28"/>
        <v>,</v>
      </c>
    </row>
    <row r="316" spans="1:10">
      <c r="A316" s="4" t="str">
        <f>'EN60'!A$3</f>
        <v>EN60</v>
      </c>
      <c r="B316" s="4">
        <f t="shared" si="29"/>
        <v>3</v>
      </c>
      <c r="C316" s="4">
        <f t="shared" si="30"/>
        <v>62</v>
      </c>
      <c r="D316" s="4">
        <f t="shared" si="24"/>
        <v>8</v>
      </c>
      <c r="E316" s="4" t="s">
        <v>27</v>
      </c>
      <c r="F316" s="4">
        <f t="shared" si="25"/>
        <v>800</v>
      </c>
      <c r="G316" s="5">
        <f t="shared" si="31"/>
        <v>1.01</v>
      </c>
      <c r="H316" s="6" t="str">
        <f t="shared" si="26"/>
        <v>INSERT INTO public.coupon (plancode, age, "year", couponrate, benefittype, benefitrate, premiumrate) VALUES('EN60', 3, 62, 8, 'A',800, 1.01);</v>
      </c>
      <c r="I316" s="6" t="str">
        <f t="shared" si="27"/>
        <v>{"age":"3", "year":"62", "couponrate":"8", "benefittype":"A", "benefitrate":"800", "premiumrate":"1.01"}</v>
      </c>
      <c r="J316" s="6" t="str">
        <f t="shared" si="28"/>
        <v>,</v>
      </c>
    </row>
    <row r="317" spans="1:10">
      <c r="A317" s="4" t="str">
        <f>'EN60'!A$3</f>
        <v>EN60</v>
      </c>
      <c r="B317" s="4">
        <f t="shared" si="29"/>
        <v>3</v>
      </c>
      <c r="C317" s="4">
        <f t="shared" si="30"/>
        <v>63</v>
      </c>
      <c r="D317" s="4">
        <f t="shared" si="24"/>
        <v>8</v>
      </c>
      <c r="E317" s="4" t="s">
        <v>27</v>
      </c>
      <c r="F317" s="4">
        <f t="shared" si="25"/>
        <v>800</v>
      </c>
      <c r="G317" s="5">
        <f t="shared" si="31"/>
        <v>1.01</v>
      </c>
      <c r="H317" s="6" t="str">
        <f t="shared" si="26"/>
        <v>INSERT INTO public.coupon (plancode, age, "year", couponrate, benefittype, benefitrate, premiumrate) VALUES('EN60', 3, 63, 8, 'A',800, 1.01);</v>
      </c>
      <c r="I317" s="6" t="str">
        <f t="shared" si="27"/>
        <v>{"age":"3", "year":"63", "couponrate":"8", "benefittype":"A", "benefitrate":"800", "premiumrate":"1.01"}</v>
      </c>
      <c r="J317" s="6" t="str">
        <f t="shared" si="28"/>
        <v>,</v>
      </c>
    </row>
    <row r="318" spans="1:10">
      <c r="A318" s="4" t="str">
        <f>'EN60'!A$3</f>
        <v>EN60</v>
      </c>
      <c r="B318" s="4">
        <f t="shared" si="29"/>
        <v>3</v>
      </c>
      <c r="C318" s="4">
        <f t="shared" si="30"/>
        <v>64</v>
      </c>
      <c r="D318" s="4">
        <f t="shared" si="24"/>
        <v>8</v>
      </c>
      <c r="E318" s="4" t="s">
        <v>27</v>
      </c>
      <c r="F318" s="4">
        <f t="shared" si="25"/>
        <v>800</v>
      </c>
      <c r="G318" s="5">
        <f t="shared" si="31"/>
        <v>1.01</v>
      </c>
      <c r="H318" s="6" t="str">
        <f t="shared" si="26"/>
        <v>INSERT INTO public.coupon (plancode, age, "year", couponrate, benefittype, benefitrate, premiumrate) VALUES('EN60', 3, 64, 8, 'A',800, 1.01);</v>
      </c>
      <c r="I318" s="6" t="str">
        <f t="shared" si="27"/>
        <v>{"age":"3", "year":"64", "couponrate":"8", "benefittype":"A", "benefitrate":"800", "premiumrate":"1.01"}</v>
      </c>
      <c r="J318" s="6" t="str">
        <f t="shared" si="28"/>
        <v>,</v>
      </c>
    </row>
    <row r="319" spans="1:10">
      <c r="A319" s="4" t="str">
        <f>'EN60'!A$3</f>
        <v>EN60</v>
      </c>
      <c r="B319" s="4">
        <f t="shared" si="29"/>
        <v>3</v>
      </c>
      <c r="C319" s="4">
        <f t="shared" si="30"/>
        <v>65</v>
      </c>
      <c r="D319" s="4">
        <f t="shared" si="24"/>
        <v>8</v>
      </c>
      <c r="E319" s="4" t="s">
        <v>27</v>
      </c>
      <c r="F319" s="4">
        <f t="shared" si="25"/>
        <v>800</v>
      </c>
      <c r="G319" s="5">
        <f t="shared" si="31"/>
        <v>1.01</v>
      </c>
      <c r="H319" s="6" t="str">
        <f t="shared" si="26"/>
        <v>INSERT INTO public.coupon (plancode, age, "year", couponrate, benefittype, benefitrate, premiumrate) VALUES('EN60', 3, 65, 8, 'A',800, 1.01);</v>
      </c>
      <c r="I319" s="6" t="str">
        <f t="shared" si="27"/>
        <v>{"age":"3", "year":"65", "couponrate":"8", "benefittype":"A", "benefitrate":"800", "premiumrate":"1.01"}</v>
      </c>
      <c r="J319" s="6" t="str">
        <f t="shared" si="28"/>
        <v>,</v>
      </c>
    </row>
    <row r="320" spans="1:10">
      <c r="A320" s="4" t="str">
        <f>'EN60'!A$3</f>
        <v>EN60</v>
      </c>
      <c r="B320" s="4">
        <f t="shared" si="29"/>
        <v>3</v>
      </c>
      <c r="C320" s="4">
        <f t="shared" si="30"/>
        <v>66</v>
      </c>
      <c r="D320" s="4">
        <f t="shared" si="24"/>
        <v>8</v>
      </c>
      <c r="E320" s="4" t="s">
        <v>27</v>
      </c>
      <c r="F320" s="4">
        <f t="shared" si="25"/>
        <v>800</v>
      </c>
      <c r="G320" s="5">
        <f t="shared" si="31"/>
        <v>1.01</v>
      </c>
      <c r="H320" s="6" t="str">
        <f t="shared" si="26"/>
        <v>INSERT INTO public.coupon (plancode, age, "year", couponrate, benefittype, benefitrate, premiumrate) VALUES('EN60', 3, 66, 8, 'A',800, 1.01);</v>
      </c>
      <c r="I320" s="6" t="str">
        <f t="shared" si="27"/>
        <v>{"age":"3", "year":"66", "couponrate":"8", "benefittype":"A", "benefitrate":"800", "premiumrate":"1.01"}</v>
      </c>
      <c r="J320" s="6" t="str">
        <f t="shared" si="28"/>
        <v>,</v>
      </c>
    </row>
    <row r="321" spans="1:10">
      <c r="A321" s="4" t="str">
        <f>'EN60'!A$3</f>
        <v>EN60</v>
      </c>
      <c r="B321" s="4">
        <f t="shared" si="29"/>
        <v>3</v>
      </c>
      <c r="C321" s="4">
        <f t="shared" si="30"/>
        <v>67</v>
      </c>
      <c r="D321" s="4">
        <f t="shared" si="24"/>
        <v>8</v>
      </c>
      <c r="E321" s="4" t="s">
        <v>27</v>
      </c>
      <c r="F321" s="4">
        <f t="shared" si="25"/>
        <v>800</v>
      </c>
      <c r="G321" s="5">
        <f t="shared" si="31"/>
        <v>1.01</v>
      </c>
      <c r="H321" s="6" t="str">
        <f t="shared" si="26"/>
        <v>INSERT INTO public.coupon (plancode, age, "year", couponrate, benefittype, benefitrate, premiumrate) VALUES('EN60', 3, 67, 8, 'A',800, 1.01);</v>
      </c>
      <c r="I321" s="6" t="str">
        <f t="shared" si="27"/>
        <v>{"age":"3", "year":"67", "couponrate":"8", "benefittype":"A", "benefitrate":"800", "premiumrate":"1.01"}</v>
      </c>
      <c r="J321" s="6" t="str">
        <f t="shared" si="28"/>
        <v>,</v>
      </c>
    </row>
    <row r="322" spans="1:10">
      <c r="A322" s="4" t="str">
        <f>'EN60'!A$3</f>
        <v>EN60</v>
      </c>
      <c r="B322" s="4">
        <f t="shared" si="29"/>
        <v>3</v>
      </c>
      <c r="C322" s="4">
        <f t="shared" si="30"/>
        <v>68</v>
      </c>
      <c r="D322" s="4">
        <f t="shared" si="24"/>
        <v>8</v>
      </c>
      <c r="E322" s="4" t="s">
        <v>27</v>
      </c>
      <c r="F322" s="4">
        <f t="shared" si="25"/>
        <v>800</v>
      </c>
      <c r="G322" s="5">
        <f t="shared" si="31"/>
        <v>1.01</v>
      </c>
      <c r="H322" s="6" t="str">
        <f t="shared" si="26"/>
        <v>INSERT INTO public.coupon (plancode, age, "year", couponrate, benefittype, benefitrate, premiumrate) VALUES('EN60', 3, 68, 8, 'A',800, 1.01);</v>
      </c>
      <c r="I322" s="6" t="str">
        <f t="shared" si="27"/>
        <v>{"age":"3", "year":"68", "couponrate":"8", "benefittype":"A", "benefitrate":"800", "premiumrate":"1.01"}</v>
      </c>
      <c r="J322" s="6" t="str">
        <f t="shared" si="28"/>
        <v>,</v>
      </c>
    </row>
    <row r="323" spans="1:10">
      <c r="A323" s="4" t="str">
        <f>'EN60'!A$3</f>
        <v>EN60</v>
      </c>
      <c r="B323" s="4">
        <f t="shared" si="29"/>
        <v>3</v>
      </c>
      <c r="C323" s="4">
        <f t="shared" si="30"/>
        <v>69</v>
      </c>
      <c r="D323" s="4">
        <f t="shared" si="24"/>
        <v>8</v>
      </c>
      <c r="E323" s="4" t="s">
        <v>27</v>
      </c>
      <c r="F323" s="4">
        <f t="shared" si="25"/>
        <v>800</v>
      </c>
      <c r="G323" s="5">
        <f t="shared" si="31"/>
        <v>1.01</v>
      </c>
      <c r="H323" s="6" t="str">
        <f t="shared" si="26"/>
        <v>INSERT INTO public.coupon (plancode, age, "year", couponrate, benefittype, benefitrate, premiumrate) VALUES('EN60', 3, 69, 8, 'A',800, 1.01);</v>
      </c>
      <c r="I323" s="6" t="str">
        <f t="shared" si="27"/>
        <v>{"age":"3", "year":"69", "couponrate":"8", "benefittype":"A", "benefitrate":"800", "premiumrate":"1.01"}</v>
      </c>
      <c r="J323" s="6" t="str">
        <f t="shared" si="28"/>
        <v>,</v>
      </c>
    </row>
    <row r="324" spans="1:10">
      <c r="A324" s="4" t="str">
        <f>'EN60'!A$3</f>
        <v>EN60</v>
      </c>
      <c r="B324" s="4">
        <f t="shared" si="29"/>
        <v>3</v>
      </c>
      <c r="C324" s="4">
        <f t="shared" si="30"/>
        <v>70</v>
      </c>
      <c r="D324" s="4">
        <f t="shared" si="24"/>
        <v>8</v>
      </c>
      <c r="E324" s="4" t="s">
        <v>27</v>
      </c>
      <c r="F324" s="4">
        <f t="shared" si="25"/>
        <v>800</v>
      </c>
      <c r="G324" s="5">
        <f t="shared" si="31"/>
        <v>1.01</v>
      </c>
      <c r="H324" s="6" t="str">
        <f t="shared" si="26"/>
        <v>INSERT INTO public.coupon (plancode, age, "year", couponrate, benefittype, benefitrate, premiumrate) VALUES('EN60', 3, 70, 8, 'A',800, 1.01);</v>
      </c>
      <c r="I324" s="6" t="str">
        <f t="shared" si="27"/>
        <v>{"age":"3", "year":"70", "couponrate":"8", "benefittype":"A", "benefitrate":"800", "premiumrate":"1.01"}</v>
      </c>
      <c r="J324" s="6" t="str">
        <f t="shared" si="28"/>
        <v>,</v>
      </c>
    </row>
    <row r="325" spans="1:10">
      <c r="A325" s="4" t="str">
        <f>'EN60'!A$3</f>
        <v>EN60</v>
      </c>
      <c r="B325" s="4">
        <f t="shared" si="29"/>
        <v>3</v>
      </c>
      <c r="C325" s="4">
        <f t="shared" si="30"/>
        <v>71</v>
      </c>
      <c r="D325" s="4">
        <f t="shared" si="24"/>
        <v>8</v>
      </c>
      <c r="E325" s="4" t="s">
        <v>27</v>
      </c>
      <c r="F325" s="4">
        <f t="shared" si="25"/>
        <v>800</v>
      </c>
      <c r="G325" s="5">
        <f t="shared" si="31"/>
        <v>1.01</v>
      </c>
      <c r="H325" s="6" t="str">
        <f t="shared" si="26"/>
        <v>INSERT INTO public.coupon (plancode, age, "year", couponrate, benefittype, benefitrate, premiumrate) VALUES('EN60', 3, 71, 8, 'A',800, 1.01);</v>
      </c>
      <c r="I325" s="6" t="str">
        <f t="shared" si="27"/>
        <v>{"age":"3", "year":"71", "couponrate":"8", "benefittype":"A", "benefitrate":"800", "premiumrate":"1.01"}</v>
      </c>
      <c r="J325" s="6" t="str">
        <f t="shared" si="28"/>
        <v>,</v>
      </c>
    </row>
    <row r="326" spans="1:10">
      <c r="A326" s="4" t="str">
        <f>'EN60'!A$3</f>
        <v>EN60</v>
      </c>
      <c r="B326" s="4">
        <f t="shared" si="29"/>
        <v>3</v>
      </c>
      <c r="C326" s="4">
        <f t="shared" si="30"/>
        <v>72</v>
      </c>
      <c r="D326" s="4">
        <f t="shared" si="24"/>
        <v>8</v>
      </c>
      <c r="E326" s="4" t="s">
        <v>27</v>
      </c>
      <c r="F326" s="4">
        <f t="shared" si="25"/>
        <v>800</v>
      </c>
      <c r="G326" s="5">
        <f t="shared" si="31"/>
        <v>1.01</v>
      </c>
      <c r="H326" s="6" t="str">
        <f t="shared" si="26"/>
        <v>INSERT INTO public.coupon (plancode, age, "year", couponrate, benefittype, benefitrate, premiumrate) VALUES('EN60', 3, 72, 8, 'A',800, 1.01);</v>
      </c>
      <c r="I326" s="6" t="str">
        <f t="shared" si="27"/>
        <v>{"age":"3", "year":"72", "couponrate":"8", "benefittype":"A", "benefitrate":"800", "premiumrate":"1.01"}</v>
      </c>
      <c r="J326" s="6" t="str">
        <f t="shared" si="28"/>
        <v>,</v>
      </c>
    </row>
    <row r="327" spans="1:10">
      <c r="A327" s="4" t="str">
        <f>'EN60'!A$3</f>
        <v>EN60</v>
      </c>
      <c r="B327" s="4">
        <f t="shared" si="29"/>
        <v>3</v>
      </c>
      <c r="C327" s="4">
        <f t="shared" si="30"/>
        <v>73</v>
      </c>
      <c r="D327" s="4">
        <f t="shared" si="24"/>
        <v>8</v>
      </c>
      <c r="E327" s="4" t="s">
        <v>27</v>
      </c>
      <c r="F327" s="4">
        <f t="shared" si="25"/>
        <v>800</v>
      </c>
      <c r="G327" s="5">
        <f t="shared" si="31"/>
        <v>1.01</v>
      </c>
      <c r="H327" s="6" t="str">
        <f t="shared" si="26"/>
        <v>INSERT INTO public.coupon (plancode, age, "year", couponrate, benefittype, benefitrate, premiumrate) VALUES('EN60', 3, 73, 8, 'A',800, 1.01);</v>
      </c>
      <c r="I327" s="6" t="str">
        <f t="shared" si="27"/>
        <v>{"age":"3", "year":"73", "couponrate":"8", "benefittype":"A", "benefitrate":"800", "premiumrate":"1.01"}</v>
      </c>
      <c r="J327" s="6" t="str">
        <f t="shared" si="28"/>
        <v>,</v>
      </c>
    </row>
    <row r="328" spans="1:10">
      <c r="A328" s="4" t="str">
        <f>'EN60'!A$3</f>
        <v>EN60</v>
      </c>
      <c r="B328" s="4">
        <f t="shared" si="29"/>
        <v>3</v>
      </c>
      <c r="C328" s="4">
        <f t="shared" si="30"/>
        <v>74</v>
      </c>
      <c r="D328" s="4">
        <f t="shared" si="24"/>
        <v>8</v>
      </c>
      <c r="E328" s="4" t="s">
        <v>27</v>
      </c>
      <c r="F328" s="4">
        <f t="shared" si="25"/>
        <v>800</v>
      </c>
      <c r="G328" s="5">
        <f t="shared" si="31"/>
        <v>1.01</v>
      </c>
      <c r="H328" s="6" t="str">
        <f t="shared" si="26"/>
        <v>INSERT INTO public.coupon (plancode, age, "year", couponrate, benefittype, benefitrate, premiumrate) VALUES('EN60', 3, 74, 8, 'A',800, 1.01);</v>
      </c>
      <c r="I328" s="6" t="str">
        <f t="shared" si="27"/>
        <v>{"age":"3", "year":"74", "couponrate":"8", "benefittype":"A", "benefitrate":"800", "premiumrate":"1.01"}</v>
      </c>
      <c r="J328" s="6" t="str">
        <f t="shared" si="28"/>
        <v>,</v>
      </c>
    </row>
    <row r="329" spans="1:10">
      <c r="A329" s="4" t="str">
        <f>'EN60'!A$3</f>
        <v>EN60</v>
      </c>
      <c r="B329" s="4">
        <f t="shared" si="29"/>
        <v>3</v>
      </c>
      <c r="C329" s="4">
        <f t="shared" si="30"/>
        <v>75</v>
      </c>
      <c r="D329" s="4">
        <f t="shared" si="24"/>
        <v>8</v>
      </c>
      <c r="E329" s="4" t="s">
        <v>27</v>
      </c>
      <c r="F329" s="4">
        <f t="shared" si="25"/>
        <v>800</v>
      </c>
      <c r="G329" s="5">
        <f t="shared" si="31"/>
        <v>1.01</v>
      </c>
      <c r="H329" s="6" t="str">
        <f t="shared" si="26"/>
        <v>INSERT INTO public.coupon (plancode, age, "year", couponrate, benefittype, benefitrate, premiumrate) VALUES('EN60', 3, 75, 8, 'A',800, 1.01);</v>
      </c>
      <c r="I329" s="6" t="str">
        <f t="shared" si="27"/>
        <v>{"age":"3", "year":"75", "couponrate":"8", "benefittype":"A", "benefitrate":"800", "premiumrate":"1.01"}</v>
      </c>
      <c r="J329" s="6" t="str">
        <f t="shared" si="28"/>
        <v>,</v>
      </c>
    </row>
    <row r="330" spans="1:10">
      <c r="A330" s="4" t="str">
        <f>'EN60'!A$3</f>
        <v>EN60</v>
      </c>
      <c r="B330" s="4">
        <f t="shared" si="29"/>
        <v>3</v>
      </c>
      <c r="C330" s="4">
        <f t="shared" si="30"/>
        <v>76</v>
      </c>
      <c r="D330" s="4">
        <f t="shared" si="24"/>
        <v>8</v>
      </c>
      <c r="E330" s="4" t="s">
        <v>27</v>
      </c>
      <c r="F330" s="4">
        <f t="shared" si="25"/>
        <v>800</v>
      </c>
      <c r="G330" s="5">
        <f t="shared" si="31"/>
        <v>1.01</v>
      </c>
      <c r="H330" s="6" t="str">
        <f t="shared" si="26"/>
        <v>INSERT INTO public.coupon (plancode, age, "year", couponrate, benefittype, benefitrate, premiumrate) VALUES('EN60', 3, 76, 8, 'A',800, 1.01);</v>
      </c>
      <c r="I330" s="6" t="str">
        <f t="shared" si="27"/>
        <v>{"age":"3", "year":"76", "couponrate":"8", "benefittype":"A", "benefitrate":"800", "premiumrate":"1.01"}</v>
      </c>
      <c r="J330" s="6" t="str">
        <f t="shared" si="28"/>
        <v>,</v>
      </c>
    </row>
    <row r="331" spans="1:10">
      <c r="A331" s="4" t="str">
        <f>'EN60'!A$3</f>
        <v>EN60</v>
      </c>
      <c r="B331" s="4">
        <f t="shared" si="29"/>
        <v>3</v>
      </c>
      <c r="C331" s="4">
        <f t="shared" si="30"/>
        <v>77</v>
      </c>
      <c r="D331" s="4">
        <f t="shared" si="24"/>
        <v>0</v>
      </c>
      <c r="E331" s="4" t="s">
        <v>27</v>
      </c>
      <c r="F331" s="4">
        <f t="shared" si="25"/>
        <v>800</v>
      </c>
      <c r="G331" s="5">
        <f t="shared" si="31"/>
        <v>1.01</v>
      </c>
      <c r="H331" s="6" t="str">
        <f t="shared" si="26"/>
        <v>INSERT INTO public.coupon (plancode, age, "year", couponrate, benefittype, benefitrate, premiumrate) VALUES('EN60', 3, 77, 0, 'A',800, 1.01);</v>
      </c>
      <c r="I331" s="6" t="str">
        <f t="shared" si="27"/>
        <v>{"age":"3", "year":"77", "couponrate":"0", "benefittype":"A", "benefitrate":"800", "premiumrate":"1.01"}</v>
      </c>
    </row>
    <row r="332" spans="1:10">
      <c r="C332" s="6"/>
      <c r="I332" s="6" t="s">
        <v>28</v>
      </c>
    </row>
    <row r="333" spans="1:10">
      <c r="A333" s="3" t="s">
        <v>2</v>
      </c>
      <c r="B333" s="3" t="s">
        <v>23</v>
      </c>
      <c r="C333" s="3" t="s">
        <v>24</v>
      </c>
      <c r="D333" s="3" t="s">
        <v>25</v>
      </c>
      <c r="E333" s="3" t="s">
        <v>8</v>
      </c>
      <c r="F333" s="3" t="s">
        <v>26</v>
      </c>
      <c r="G333" s="3" t="s">
        <v>4</v>
      </c>
      <c r="I333" s="6" t="str">
        <f>"[{""plancode"":"""&amp;A334&amp;""",""returncash"":"""&amp;B$7&amp;""",""ytable"":"""&amp;C$7&amp;""",""maturerate"":"""&amp;B$3&amp;""",""maturepmrate"":"""&amp;C$3&amp;""",""coupon"":["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334" spans="1:10">
      <c r="A334" s="4" t="str">
        <f>'EN60'!A$3</f>
        <v>EN60</v>
      </c>
      <c r="B334" s="8">
        <v>4</v>
      </c>
      <c r="C334" s="4">
        <v>1</v>
      </c>
      <c r="D334" s="4">
        <f t="shared" ref="D334:D409" si="32">IF(C334+B334=80,0,8)</f>
        <v>8</v>
      </c>
      <c r="E334" s="4" t="s">
        <v>27</v>
      </c>
      <c r="F334" s="4">
        <f t="shared" ref="F334:F409" si="33">IF(C334&gt;7, 800, C334*100)</f>
        <v>100</v>
      </c>
      <c r="G334" s="5">
        <f>'EN60'!C$3</f>
        <v>1.01</v>
      </c>
      <c r="H334" s="6" t="str">
        <f t="shared" ref="H334:H409" si="34">"INSERT INTO public.coupon ("&amp;A$11&amp;", "&amp;B$11&amp;", """&amp;C$11&amp;""", "&amp;D$11&amp;", "&amp;E$11&amp;", "&amp;F$11&amp;", "&amp;G$11&amp;") VALUES('"&amp;A334&amp;"', "&amp;B334&amp;", "&amp;C334&amp;", "&amp;D334&amp;", '"&amp;E334&amp;"',"&amp;F334&amp;", "&amp;G334&amp;");"</f>
        <v>INSERT INTO public.coupon (plancode, age, "year", couponrate, benefittype, benefitrate, premiumrate) VALUES('EN60', 4, 1, 8, 'A',100, 1.01);</v>
      </c>
      <c r="I334" s="6" t="str">
        <f t="shared" ref="I334:I409" si="35">"{""age"":"""&amp;B334&amp;""", ""year"":"""&amp;C334&amp;""", ""couponrate"":"""&amp;D334&amp;""", ""benefittype"":"""&amp;E334&amp;""", ""benefitrate"":"""&amp;F334&amp;""", """&amp;G$11&amp;""":"""&amp;G334&amp;"""}"</f>
        <v>{"age":"4", "year":"1", "couponrate":"8", "benefittype":"A", "benefitrate":"100", "premiumrate":"1.01"}</v>
      </c>
      <c r="J334" s="6" t="str">
        <f t="shared" ref="J334:J408" si="36">IF(OR(I335="]", I334="[", I334="]"), "", ",")</f>
        <v>,</v>
      </c>
    </row>
    <row r="335" spans="1:10">
      <c r="A335" s="4" t="str">
        <f>'EN60'!A$3</f>
        <v>EN60</v>
      </c>
      <c r="B335" s="4">
        <f t="shared" ref="B335:B409" si="37">B334</f>
        <v>4</v>
      </c>
      <c r="C335" s="4">
        <f t="shared" ref="C335:C409" si="38">C334+1</f>
        <v>2</v>
      </c>
      <c r="D335" s="4">
        <f t="shared" si="32"/>
        <v>8</v>
      </c>
      <c r="E335" s="4" t="s">
        <v>27</v>
      </c>
      <c r="F335" s="4">
        <f t="shared" si="33"/>
        <v>200</v>
      </c>
      <c r="G335" s="5">
        <f t="shared" ref="G335:G409" si="39">G334</f>
        <v>1.01</v>
      </c>
      <c r="H335" s="6" t="str">
        <f t="shared" si="34"/>
        <v>INSERT INTO public.coupon (plancode, age, "year", couponrate, benefittype, benefitrate, premiumrate) VALUES('EN60', 4, 2, 8, 'A',200, 1.01);</v>
      </c>
      <c r="I335" s="6" t="str">
        <f t="shared" si="35"/>
        <v>{"age":"4", "year":"2", "couponrate":"8", "benefittype":"A", "benefitrate":"200", "premiumrate":"1.01"}</v>
      </c>
      <c r="J335" s="6" t="str">
        <f t="shared" si="36"/>
        <v>,</v>
      </c>
    </row>
    <row r="336" spans="1:10">
      <c r="A336" s="4" t="str">
        <f>'EN60'!A$3</f>
        <v>EN60</v>
      </c>
      <c r="B336" s="4">
        <f t="shared" si="37"/>
        <v>4</v>
      </c>
      <c r="C336" s="4">
        <f t="shared" si="38"/>
        <v>3</v>
      </c>
      <c r="D336" s="4">
        <f t="shared" si="32"/>
        <v>8</v>
      </c>
      <c r="E336" s="4" t="s">
        <v>27</v>
      </c>
      <c r="F336" s="4">
        <f t="shared" si="33"/>
        <v>300</v>
      </c>
      <c r="G336" s="5">
        <f t="shared" si="39"/>
        <v>1.01</v>
      </c>
      <c r="H336" s="6" t="str">
        <f t="shared" si="34"/>
        <v>INSERT INTO public.coupon (plancode, age, "year", couponrate, benefittype, benefitrate, premiumrate) VALUES('EN60', 4, 3, 8, 'A',300, 1.01);</v>
      </c>
      <c r="I336" s="6" t="str">
        <f t="shared" si="35"/>
        <v>{"age":"4", "year":"3", "couponrate":"8", "benefittype":"A", "benefitrate":"300", "premiumrate":"1.01"}</v>
      </c>
      <c r="J336" s="6" t="str">
        <f t="shared" si="36"/>
        <v>,</v>
      </c>
    </row>
    <row r="337" spans="1:10">
      <c r="A337" s="4" t="str">
        <f>'EN60'!A$3</f>
        <v>EN60</v>
      </c>
      <c r="B337" s="4">
        <f t="shared" si="37"/>
        <v>4</v>
      </c>
      <c r="C337" s="4">
        <f t="shared" si="38"/>
        <v>4</v>
      </c>
      <c r="D337" s="4">
        <f t="shared" si="32"/>
        <v>8</v>
      </c>
      <c r="E337" s="4" t="s">
        <v>27</v>
      </c>
      <c r="F337" s="4">
        <f t="shared" si="33"/>
        <v>400</v>
      </c>
      <c r="G337" s="5">
        <f t="shared" si="39"/>
        <v>1.01</v>
      </c>
      <c r="H337" s="6" t="str">
        <f t="shared" si="34"/>
        <v>INSERT INTO public.coupon (plancode, age, "year", couponrate, benefittype, benefitrate, premiumrate) VALUES('EN60', 4, 4, 8, 'A',400, 1.01);</v>
      </c>
      <c r="I337" s="6" t="str">
        <f t="shared" si="35"/>
        <v>{"age":"4", "year":"4", "couponrate":"8", "benefittype":"A", "benefitrate":"400", "premiumrate":"1.01"}</v>
      </c>
      <c r="J337" s="6" t="str">
        <f t="shared" si="36"/>
        <v>,</v>
      </c>
    </row>
    <row r="338" spans="1:10">
      <c r="A338" s="4" t="str">
        <f>'EN60'!A$3</f>
        <v>EN60</v>
      </c>
      <c r="B338" s="4">
        <f t="shared" si="37"/>
        <v>4</v>
      </c>
      <c r="C338" s="4">
        <f t="shared" si="38"/>
        <v>5</v>
      </c>
      <c r="D338" s="4">
        <f t="shared" si="32"/>
        <v>8</v>
      </c>
      <c r="E338" s="4" t="s">
        <v>27</v>
      </c>
      <c r="F338" s="4">
        <f t="shared" si="33"/>
        <v>500</v>
      </c>
      <c r="G338" s="5">
        <f t="shared" si="39"/>
        <v>1.01</v>
      </c>
      <c r="H338" s="6" t="str">
        <f t="shared" si="34"/>
        <v>INSERT INTO public.coupon (plancode, age, "year", couponrate, benefittype, benefitrate, premiumrate) VALUES('EN60', 4, 5, 8, 'A',500, 1.01);</v>
      </c>
      <c r="I338" s="6" t="str">
        <f t="shared" si="35"/>
        <v>{"age":"4", "year":"5", "couponrate":"8", "benefittype":"A", "benefitrate":"500", "premiumrate":"1.01"}</v>
      </c>
      <c r="J338" s="6" t="str">
        <f t="shared" si="36"/>
        <v>,</v>
      </c>
    </row>
    <row r="339" spans="1:10">
      <c r="A339" s="4" t="str">
        <f>'EN60'!A$3</f>
        <v>EN60</v>
      </c>
      <c r="B339" s="4">
        <f t="shared" si="37"/>
        <v>4</v>
      </c>
      <c r="C339" s="4">
        <f t="shared" si="38"/>
        <v>6</v>
      </c>
      <c r="D339" s="4">
        <f t="shared" si="32"/>
        <v>8</v>
      </c>
      <c r="E339" s="4" t="s">
        <v>27</v>
      </c>
      <c r="F339" s="4">
        <f t="shared" si="33"/>
        <v>600</v>
      </c>
      <c r="G339" s="5">
        <f t="shared" si="39"/>
        <v>1.01</v>
      </c>
      <c r="H339" s="6" t="str">
        <f t="shared" si="34"/>
        <v>INSERT INTO public.coupon (plancode, age, "year", couponrate, benefittype, benefitrate, premiumrate) VALUES('EN60', 4, 6, 8, 'A',600, 1.01);</v>
      </c>
      <c r="I339" s="6" t="str">
        <f t="shared" si="35"/>
        <v>{"age":"4", "year":"6", "couponrate":"8", "benefittype":"A", "benefitrate":"600", "premiumrate":"1.01"}</v>
      </c>
      <c r="J339" s="6" t="str">
        <f t="shared" si="36"/>
        <v>,</v>
      </c>
    </row>
    <row r="340" spans="1:10">
      <c r="A340" s="4" t="str">
        <f>'EN60'!A$3</f>
        <v>EN60</v>
      </c>
      <c r="B340" s="4">
        <f t="shared" si="37"/>
        <v>4</v>
      </c>
      <c r="C340" s="4">
        <f t="shared" si="38"/>
        <v>7</v>
      </c>
      <c r="D340" s="4">
        <f t="shared" si="32"/>
        <v>8</v>
      </c>
      <c r="E340" s="4" t="s">
        <v>27</v>
      </c>
      <c r="F340" s="4">
        <f t="shared" si="33"/>
        <v>700</v>
      </c>
      <c r="G340" s="5">
        <f t="shared" si="39"/>
        <v>1.01</v>
      </c>
      <c r="H340" s="6" t="str">
        <f t="shared" si="34"/>
        <v>INSERT INTO public.coupon (plancode, age, "year", couponrate, benefittype, benefitrate, premiumrate) VALUES('EN60', 4, 7, 8, 'A',700, 1.01);</v>
      </c>
      <c r="I340" s="6" t="str">
        <f t="shared" si="35"/>
        <v>{"age":"4", "year":"7", "couponrate":"8", "benefittype":"A", "benefitrate":"700", "premiumrate":"1.01"}</v>
      </c>
      <c r="J340" s="6" t="str">
        <f t="shared" si="36"/>
        <v>,</v>
      </c>
    </row>
    <row r="341" spans="1:10">
      <c r="A341" s="4" t="str">
        <f>'EN60'!A$3</f>
        <v>EN60</v>
      </c>
      <c r="B341" s="4">
        <f t="shared" si="37"/>
        <v>4</v>
      </c>
      <c r="C341" s="4">
        <f t="shared" si="38"/>
        <v>8</v>
      </c>
      <c r="D341" s="4">
        <f t="shared" si="32"/>
        <v>8</v>
      </c>
      <c r="E341" s="4" t="s">
        <v>27</v>
      </c>
      <c r="F341" s="4">
        <f t="shared" si="33"/>
        <v>800</v>
      </c>
      <c r="G341" s="5">
        <f t="shared" si="39"/>
        <v>1.01</v>
      </c>
      <c r="H341" s="6" t="str">
        <f t="shared" si="34"/>
        <v>INSERT INTO public.coupon (plancode, age, "year", couponrate, benefittype, benefitrate, premiumrate) VALUES('EN60', 4, 8, 8, 'A',800, 1.01);</v>
      </c>
      <c r="I341" s="6" t="str">
        <f t="shared" si="35"/>
        <v>{"age":"4", "year":"8", "couponrate":"8", "benefittype":"A", "benefitrate":"800", "premiumrate":"1.01"}</v>
      </c>
      <c r="J341" s="6" t="str">
        <f t="shared" si="36"/>
        <v>,</v>
      </c>
    </row>
    <row r="342" spans="1:10">
      <c r="A342" s="4" t="str">
        <f>'EN60'!A$3</f>
        <v>EN60</v>
      </c>
      <c r="B342" s="4">
        <f t="shared" si="37"/>
        <v>4</v>
      </c>
      <c r="C342" s="4">
        <f t="shared" si="38"/>
        <v>9</v>
      </c>
      <c r="D342" s="4">
        <f t="shared" si="32"/>
        <v>8</v>
      </c>
      <c r="E342" s="4" t="s">
        <v>27</v>
      </c>
      <c r="F342" s="4">
        <f t="shared" si="33"/>
        <v>800</v>
      </c>
      <c r="G342" s="5">
        <f t="shared" si="39"/>
        <v>1.01</v>
      </c>
      <c r="H342" s="6" t="str">
        <f t="shared" si="34"/>
        <v>INSERT INTO public.coupon (plancode, age, "year", couponrate, benefittype, benefitrate, premiumrate) VALUES('EN60', 4, 9, 8, 'A',800, 1.01);</v>
      </c>
      <c r="I342" s="6" t="str">
        <f t="shared" si="35"/>
        <v>{"age":"4", "year":"9", "couponrate":"8", "benefittype":"A", "benefitrate":"800", "premiumrate":"1.01"}</v>
      </c>
      <c r="J342" s="6" t="str">
        <f t="shared" si="36"/>
        <v>,</v>
      </c>
    </row>
    <row r="343" spans="1:10">
      <c r="A343" s="4" t="str">
        <f>'EN60'!A$3</f>
        <v>EN60</v>
      </c>
      <c r="B343" s="4">
        <f t="shared" si="37"/>
        <v>4</v>
      </c>
      <c r="C343" s="4">
        <f t="shared" si="38"/>
        <v>10</v>
      </c>
      <c r="D343" s="4">
        <f t="shared" si="32"/>
        <v>8</v>
      </c>
      <c r="E343" s="4" t="s">
        <v>27</v>
      </c>
      <c r="F343" s="4">
        <f t="shared" si="33"/>
        <v>800</v>
      </c>
      <c r="G343" s="5">
        <f t="shared" si="39"/>
        <v>1.01</v>
      </c>
      <c r="H343" s="6" t="str">
        <f t="shared" si="34"/>
        <v>INSERT INTO public.coupon (plancode, age, "year", couponrate, benefittype, benefitrate, premiumrate) VALUES('EN60', 4, 10, 8, 'A',800, 1.01);</v>
      </c>
      <c r="I343" s="6" t="str">
        <f t="shared" si="35"/>
        <v>{"age":"4", "year":"10", "couponrate":"8", "benefittype":"A", "benefitrate":"800", "premiumrate":"1.01"}</v>
      </c>
      <c r="J343" s="6" t="str">
        <f t="shared" si="36"/>
        <v>,</v>
      </c>
    </row>
    <row r="344" spans="1:10">
      <c r="A344" s="4" t="str">
        <f>'EN60'!A$3</f>
        <v>EN60</v>
      </c>
      <c r="B344" s="4">
        <f t="shared" si="37"/>
        <v>4</v>
      </c>
      <c r="C344" s="4">
        <f t="shared" si="38"/>
        <v>11</v>
      </c>
      <c r="D344" s="4">
        <f t="shared" si="32"/>
        <v>8</v>
      </c>
      <c r="E344" s="4" t="s">
        <v>27</v>
      </c>
      <c r="F344" s="4">
        <f t="shared" si="33"/>
        <v>800</v>
      </c>
      <c r="G344" s="5">
        <f t="shared" si="39"/>
        <v>1.01</v>
      </c>
      <c r="H344" s="6" t="str">
        <f t="shared" si="34"/>
        <v>INSERT INTO public.coupon (plancode, age, "year", couponrate, benefittype, benefitrate, premiumrate) VALUES('EN60', 4, 11, 8, 'A',800, 1.01);</v>
      </c>
      <c r="I344" s="6" t="str">
        <f t="shared" si="35"/>
        <v>{"age":"4", "year":"11", "couponrate":"8", "benefittype":"A", "benefitrate":"800", "premiumrate":"1.01"}</v>
      </c>
      <c r="J344" s="6" t="str">
        <f t="shared" si="36"/>
        <v>,</v>
      </c>
    </row>
    <row r="345" spans="1:10">
      <c r="A345" s="4" t="str">
        <f>'EN60'!A$3</f>
        <v>EN60</v>
      </c>
      <c r="B345" s="4">
        <f t="shared" si="37"/>
        <v>4</v>
      </c>
      <c r="C345" s="4">
        <f t="shared" si="38"/>
        <v>12</v>
      </c>
      <c r="D345" s="4">
        <f t="shared" si="32"/>
        <v>8</v>
      </c>
      <c r="E345" s="4" t="s">
        <v>27</v>
      </c>
      <c r="F345" s="4">
        <f t="shared" si="33"/>
        <v>800</v>
      </c>
      <c r="G345" s="5">
        <f t="shared" si="39"/>
        <v>1.01</v>
      </c>
      <c r="H345" s="6" t="str">
        <f t="shared" si="34"/>
        <v>INSERT INTO public.coupon (plancode, age, "year", couponrate, benefittype, benefitrate, premiumrate) VALUES('EN60', 4, 12, 8, 'A',800, 1.01);</v>
      </c>
      <c r="I345" s="6" t="str">
        <f t="shared" si="35"/>
        <v>{"age":"4", "year":"12", "couponrate":"8", "benefittype":"A", "benefitrate":"800", "premiumrate":"1.01"}</v>
      </c>
      <c r="J345" s="6" t="str">
        <f t="shared" si="36"/>
        <v>,</v>
      </c>
    </row>
    <row r="346" spans="1:10">
      <c r="A346" s="4" t="str">
        <f>'EN60'!A$3</f>
        <v>EN60</v>
      </c>
      <c r="B346" s="4">
        <f t="shared" si="37"/>
        <v>4</v>
      </c>
      <c r="C346" s="4">
        <f t="shared" si="38"/>
        <v>13</v>
      </c>
      <c r="D346" s="4">
        <f t="shared" si="32"/>
        <v>8</v>
      </c>
      <c r="E346" s="4" t="s">
        <v>27</v>
      </c>
      <c r="F346" s="4">
        <f t="shared" si="33"/>
        <v>800</v>
      </c>
      <c r="G346" s="5">
        <f t="shared" si="39"/>
        <v>1.01</v>
      </c>
      <c r="H346" s="6" t="str">
        <f t="shared" si="34"/>
        <v>INSERT INTO public.coupon (plancode, age, "year", couponrate, benefittype, benefitrate, premiumrate) VALUES('EN60', 4, 13, 8, 'A',800, 1.01);</v>
      </c>
      <c r="I346" s="6" t="str">
        <f t="shared" si="35"/>
        <v>{"age":"4", "year":"13", "couponrate":"8", "benefittype":"A", "benefitrate":"800", "premiumrate":"1.01"}</v>
      </c>
      <c r="J346" s="6" t="str">
        <f t="shared" si="36"/>
        <v>,</v>
      </c>
    </row>
    <row r="347" spans="1:10">
      <c r="A347" s="4" t="str">
        <f>'EN60'!A$3</f>
        <v>EN60</v>
      </c>
      <c r="B347" s="4">
        <f t="shared" si="37"/>
        <v>4</v>
      </c>
      <c r="C347" s="4">
        <f t="shared" si="38"/>
        <v>14</v>
      </c>
      <c r="D347" s="4">
        <f t="shared" si="32"/>
        <v>8</v>
      </c>
      <c r="E347" s="4" t="s">
        <v>27</v>
      </c>
      <c r="F347" s="4">
        <f t="shared" si="33"/>
        <v>800</v>
      </c>
      <c r="G347" s="5">
        <f t="shared" si="39"/>
        <v>1.01</v>
      </c>
      <c r="H347" s="6" t="str">
        <f t="shared" si="34"/>
        <v>INSERT INTO public.coupon (plancode, age, "year", couponrate, benefittype, benefitrate, premiumrate) VALUES('EN60', 4, 14, 8, 'A',800, 1.01);</v>
      </c>
      <c r="I347" s="6" t="str">
        <f t="shared" si="35"/>
        <v>{"age":"4", "year":"14", "couponrate":"8", "benefittype":"A", "benefitrate":"800", "premiumrate":"1.01"}</v>
      </c>
      <c r="J347" s="6" t="str">
        <f t="shared" si="36"/>
        <v>,</v>
      </c>
    </row>
    <row r="348" spans="1:10">
      <c r="A348" s="4" t="str">
        <f>'EN60'!A$3</f>
        <v>EN60</v>
      </c>
      <c r="B348" s="4">
        <f t="shared" si="37"/>
        <v>4</v>
      </c>
      <c r="C348" s="4">
        <f t="shared" si="38"/>
        <v>15</v>
      </c>
      <c r="D348" s="4">
        <f t="shared" si="32"/>
        <v>8</v>
      </c>
      <c r="E348" s="4" t="s">
        <v>27</v>
      </c>
      <c r="F348" s="4">
        <f t="shared" si="33"/>
        <v>800</v>
      </c>
      <c r="G348" s="5">
        <f t="shared" si="39"/>
        <v>1.01</v>
      </c>
      <c r="H348" s="6" t="str">
        <f t="shared" si="34"/>
        <v>INSERT INTO public.coupon (plancode, age, "year", couponrate, benefittype, benefitrate, premiumrate) VALUES('EN60', 4, 15, 8, 'A',800, 1.01);</v>
      </c>
      <c r="I348" s="6" t="str">
        <f t="shared" si="35"/>
        <v>{"age":"4", "year":"15", "couponrate":"8", "benefittype":"A", "benefitrate":"800", "premiumrate":"1.01"}</v>
      </c>
      <c r="J348" s="6" t="str">
        <f t="shared" si="36"/>
        <v>,</v>
      </c>
    </row>
    <row r="349" spans="1:10">
      <c r="A349" s="4" t="str">
        <f>'EN60'!A$3</f>
        <v>EN60</v>
      </c>
      <c r="B349" s="4">
        <f t="shared" si="37"/>
        <v>4</v>
      </c>
      <c r="C349" s="4">
        <f t="shared" si="38"/>
        <v>16</v>
      </c>
      <c r="D349" s="4">
        <f t="shared" si="32"/>
        <v>8</v>
      </c>
      <c r="E349" s="4" t="s">
        <v>27</v>
      </c>
      <c r="F349" s="4">
        <f t="shared" si="33"/>
        <v>800</v>
      </c>
      <c r="G349" s="5">
        <f t="shared" si="39"/>
        <v>1.01</v>
      </c>
      <c r="H349" s="6" t="str">
        <f t="shared" si="34"/>
        <v>INSERT INTO public.coupon (plancode, age, "year", couponrate, benefittype, benefitrate, premiumrate) VALUES('EN60', 4, 16, 8, 'A',800, 1.01);</v>
      </c>
      <c r="I349" s="6" t="str">
        <f t="shared" si="35"/>
        <v>{"age":"4", "year":"16", "couponrate":"8", "benefittype":"A", "benefitrate":"800", "premiumrate":"1.01"}</v>
      </c>
      <c r="J349" s="6" t="str">
        <f t="shared" si="36"/>
        <v>,</v>
      </c>
    </row>
    <row r="350" spans="1:10">
      <c r="A350" s="4" t="str">
        <f>'EN60'!A$3</f>
        <v>EN60</v>
      </c>
      <c r="B350" s="4">
        <f t="shared" si="37"/>
        <v>4</v>
      </c>
      <c r="C350" s="4">
        <f t="shared" si="38"/>
        <v>17</v>
      </c>
      <c r="D350" s="4">
        <f t="shared" si="32"/>
        <v>8</v>
      </c>
      <c r="E350" s="4" t="s">
        <v>27</v>
      </c>
      <c r="F350" s="4">
        <f t="shared" si="33"/>
        <v>800</v>
      </c>
      <c r="G350" s="5">
        <f t="shared" si="39"/>
        <v>1.01</v>
      </c>
      <c r="H350" s="6" t="str">
        <f t="shared" si="34"/>
        <v>INSERT INTO public.coupon (plancode, age, "year", couponrate, benefittype, benefitrate, premiumrate) VALUES('EN60', 4, 17, 8, 'A',800, 1.01);</v>
      </c>
      <c r="I350" s="6" t="str">
        <f t="shared" si="35"/>
        <v>{"age":"4", "year":"17", "couponrate":"8", "benefittype":"A", "benefitrate":"800", "premiumrate":"1.01"}</v>
      </c>
      <c r="J350" s="6" t="str">
        <f t="shared" si="36"/>
        <v>,</v>
      </c>
    </row>
    <row r="351" spans="1:10">
      <c r="A351" s="4" t="str">
        <f>'EN60'!A$3</f>
        <v>EN60</v>
      </c>
      <c r="B351" s="4">
        <f t="shared" si="37"/>
        <v>4</v>
      </c>
      <c r="C351" s="4">
        <f t="shared" si="38"/>
        <v>18</v>
      </c>
      <c r="D351" s="4">
        <f t="shared" si="32"/>
        <v>8</v>
      </c>
      <c r="E351" s="4" t="s">
        <v>27</v>
      </c>
      <c r="F351" s="4">
        <f t="shared" si="33"/>
        <v>800</v>
      </c>
      <c r="G351" s="5">
        <f t="shared" si="39"/>
        <v>1.01</v>
      </c>
      <c r="H351" s="6" t="str">
        <f t="shared" si="34"/>
        <v>INSERT INTO public.coupon (plancode, age, "year", couponrate, benefittype, benefitrate, premiumrate) VALUES('EN60', 4, 18, 8, 'A',800, 1.01);</v>
      </c>
      <c r="I351" s="6" t="str">
        <f t="shared" si="35"/>
        <v>{"age":"4", "year":"18", "couponrate":"8", "benefittype":"A", "benefitrate":"800", "premiumrate":"1.01"}</v>
      </c>
      <c r="J351" s="6" t="str">
        <f t="shared" si="36"/>
        <v>,</v>
      </c>
    </row>
    <row r="352" spans="1:10">
      <c r="A352" s="4" t="str">
        <f>'EN60'!A$3</f>
        <v>EN60</v>
      </c>
      <c r="B352" s="4">
        <f t="shared" si="37"/>
        <v>4</v>
      </c>
      <c r="C352" s="4">
        <f t="shared" si="38"/>
        <v>19</v>
      </c>
      <c r="D352" s="4">
        <f t="shared" si="32"/>
        <v>8</v>
      </c>
      <c r="E352" s="4" t="s">
        <v>27</v>
      </c>
      <c r="F352" s="4">
        <f t="shared" si="33"/>
        <v>800</v>
      </c>
      <c r="G352" s="5">
        <f t="shared" si="39"/>
        <v>1.01</v>
      </c>
      <c r="H352" s="6" t="str">
        <f t="shared" si="34"/>
        <v>INSERT INTO public.coupon (plancode, age, "year", couponrate, benefittype, benefitrate, premiumrate) VALUES('EN60', 4, 19, 8, 'A',800, 1.01);</v>
      </c>
      <c r="I352" s="6" t="str">
        <f t="shared" si="35"/>
        <v>{"age":"4", "year":"19", "couponrate":"8", "benefittype":"A", "benefitrate":"800", "premiumrate":"1.01"}</v>
      </c>
      <c r="J352" s="6" t="str">
        <f t="shared" si="36"/>
        <v>,</v>
      </c>
    </row>
    <row r="353" spans="1:10">
      <c r="A353" s="4" t="str">
        <f>'EN60'!A$3</f>
        <v>EN60</v>
      </c>
      <c r="B353" s="4">
        <f t="shared" si="37"/>
        <v>4</v>
      </c>
      <c r="C353" s="4">
        <f t="shared" si="38"/>
        <v>20</v>
      </c>
      <c r="D353" s="4">
        <f t="shared" si="32"/>
        <v>8</v>
      </c>
      <c r="E353" s="4" t="s">
        <v>27</v>
      </c>
      <c r="F353" s="4">
        <f t="shared" si="33"/>
        <v>800</v>
      </c>
      <c r="G353" s="5">
        <f t="shared" si="39"/>
        <v>1.01</v>
      </c>
      <c r="H353" s="6" t="str">
        <f t="shared" si="34"/>
        <v>INSERT INTO public.coupon (plancode, age, "year", couponrate, benefittype, benefitrate, premiumrate) VALUES('EN60', 4, 20, 8, 'A',800, 1.01);</v>
      </c>
      <c r="I353" s="6" t="str">
        <f t="shared" si="35"/>
        <v>{"age":"4", "year":"20", "couponrate":"8", "benefittype":"A", "benefitrate":"800", "premiumrate":"1.01"}</v>
      </c>
      <c r="J353" s="6" t="str">
        <f t="shared" si="36"/>
        <v>,</v>
      </c>
    </row>
    <row r="354" spans="1:10">
      <c r="A354" s="4" t="str">
        <f>'EN60'!A$3</f>
        <v>EN60</v>
      </c>
      <c r="B354" s="4">
        <f t="shared" si="37"/>
        <v>4</v>
      </c>
      <c r="C354" s="4">
        <f t="shared" si="38"/>
        <v>21</v>
      </c>
      <c r="D354" s="4">
        <f t="shared" si="32"/>
        <v>8</v>
      </c>
      <c r="E354" s="4" t="s">
        <v>27</v>
      </c>
      <c r="F354" s="4">
        <f t="shared" si="33"/>
        <v>800</v>
      </c>
      <c r="G354" s="5">
        <f t="shared" si="39"/>
        <v>1.01</v>
      </c>
      <c r="H354" s="6" t="str">
        <f t="shared" si="34"/>
        <v>INSERT INTO public.coupon (plancode, age, "year", couponrate, benefittype, benefitrate, premiumrate) VALUES('EN60', 4, 21, 8, 'A',800, 1.01);</v>
      </c>
      <c r="I354" s="6" t="str">
        <f t="shared" si="35"/>
        <v>{"age":"4", "year":"21", "couponrate":"8", "benefittype":"A", "benefitrate":"800", "premiumrate":"1.01"}</v>
      </c>
      <c r="J354" s="6" t="str">
        <f t="shared" si="36"/>
        <v>,</v>
      </c>
    </row>
    <row r="355" spans="1:10">
      <c r="A355" s="4" t="str">
        <f>'EN60'!A$3</f>
        <v>EN60</v>
      </c>
      <c r="B355" s="4">
        <f t="shared" si="37"/>
        <v>4</v>
      </c>
      <c r="C355" s="4">
        <f t="shared" si="38"/>
        <v>22</v>
      </c>
      <c r="D355" s="4">
        <f t="shared" si="32"/>
        <v>8</v>
      </c>
      <c r="E355" s="4" t="s">
        <v>27</v>
      </c>
      <c r="F355" s="4">
        <f t="shared" si="33"/>
        <v>800</v>
      </c>
      <c r="G355" s="5">
        <f t="shared" si="39"/>
        <v>1.01</v>
      </c>
      <c r="H355" s="6" t="str">
        <f t="shared" si="34"/>
        <v>INSERT INTO public.coupon (plancode, age, "year", couponrate, benefittype, benefitrate, premiumrate) VALUES('EN60', 4, 22, 8, 'A',800, 1.01);</v>
      </c>
      <c r="I355" s="6" t="str">
        <f t="shared" si="35"/>
        <v>{"age":"4", "year":"22", "couponrate":"8", "benefittype":"A", "benefitrate":"800", "premiumrate":"1.01"}</v>
      </c>
      <c r="J355" s="6" t="str">
        <f t="shared" si="36"/>
        <v>,</v>
      </c>
    </row>
    <row r="356" spans="1:10">
      <c r="A356" s="4" t="str">
        <f>'EN60'!A$3</f>
        <v>EN60</v>
      </c>
      <c r="B356" s="4">
        <f t="shared" si="37"/>
        <v>4</v>
      </c>
      <c r="C356" s="4">
        <f t="shared" si="38"/>
        <v>23</v>
      </c>
      <c r="D356" s="4">
        <f t="shared" si="32"/>
        <v>8</v>
      </c>
      <c r="E356" s="4" t="s">
        <v>27</v>
      </c>
      <c r="F356" s="4">
        <f t="shared" si="33"/>
        <v>800</v>
      </c>
      <c r="G356" s="5">
        <f t="shared" si="39"/>
        <v>1.01</v>
      </c>
      <c r="H356" s="6" t="str">
        <f t="shared" si="34"/>
        <v>INSERT INTO public.coupon (plancode, age, "year", couponrate, benefittype, benefitrate, premiumrate) VALUES('EN60', 4, 23, 8, 'A',800, 1.01);</v>
      </c>
      <c r="I356" s="6" t="str">
        <f t="shared" si="35"/>
        <v>{"age":"4", "year":"23", "couponrate":"8", "benefittype":"A", "benefitrate":"800", "premiumrate":"1.01"}</v>
      </c>
      <c r="J356" s="6" t="str">
        <f t="shared" si="36"/>
        <v>,</v>
      </c>
    </row>
    <row r="357" spans="1:10">
      <c r="A357" s="4" t="str">
        <f>'EN60'!A$3</f>
        <v>EN60</v>
      </c>
      <c r="B357" s="4">
        <f t="shared" si="37"/>
        <v>4</v>
      </c>
      <c r="C357" s="4">
        <f t="shared" si="38"/>
        <v>24</v>
      </c>
      <c r="D357" s="4">
        <f t="shared" si="32"/>
        <v>8</v>
      </c>
      <c r="E357" s="4" t="s">
        <v>27</v>
      </c>
      <c r="F357" s="4">
        <f t="shared" si="33"/>
        <v>800</v>
      </c>
      <c r="G357" s="5">
        <f t="shared" si="39"/>
        <v>1.01</v>
      </c>
      <c r="H357" s="6" t="str">
        <f t="shared" si="34"/>
        <v>INSERT INTO public.coupon (plancode, age, "year", couponrate, benefittype, benefitrate, premiumrate) VALUES('EN60', 4, 24, 8, 'A',800, 1.01);</v>
      </c>
      <c r="I357" s="6" t="str">
        <f t="shared" si="35"/>
        <v>{"age":"4", "year":"24", "couponrate":"8", "benefittype":"A", "benefitrate":"800", "premiumrate":"1.01"}</v>
      </c>
      <c r="J357" s="6" t="str">
        <f t="shared" si="36"/>
        <v>,</v>
      </c>
    </row>
    <row r="358" spans="1:10">
      <c r="A358" s="4" t="str">
        <f>'EN60'!A$3</f>
        <v>EN60</v>
      </c>
      <c r="B358" s="4">
        <f t="shared" si="37"/>
        <v>4</v>
      </c>
      <c r="C358" s="4">
        <f t="shared" si="38"/>
        <v>25</v>
      </c>
      <c r="D358" s="4">
        <f t="shared" si="32"/>
        <v>8</v>
      </c>
      <c r="E358" s="4" t="s">
        <v>27</v>
      </c>
      <c r="F358" s="4">
        <f t="shared" si="33"/>
        <v>800</v>
      </c>
      <c r="G358" s="5">
        <f t="shared" si="39"/>
        <v>1.01</v>
      </c>
      <c r="H358" s="6" t="str">
        <f t="shared" si="34"/>
        <v>INSERT INTO public.coupon (plancode, age, "year", couponrate, benefittype, benefitrate, premiumrate) VALUES('EN60', 4, 25, 8, 'A',800, 1.01);</v>
      </c>
      <c r="I358" s="6" t="str">
        <f t="shared" si="35"/>
        <v>{"age":"4", "year":"25", "couponrate":"8", "benefittype":"A", "benefitrate":"800", "premiumrate":"1.01"}</v>
      </c>
      <c r="J358" s="6" t="str">
        <f t="shared" si="36"/>
        <v>,</v>
      </c>
    </row>
    <row r="359" spans="1:10">
      <c r="A359" s="4" t="str">
        <f>'EN60'!A$3</f>
        <v>EN60</v>
      </c>
      <c r="B359" s="4">
        <f t="shared" si="37"/>
        <v>4</v>
      </c>
      <c r="C359" s="4">
        <f t="shared" si="38"/>
        <v>26</v>
      </c>
      <c r="D359" s="4">
        <f t="shared" si="32"/>
        <v>8</v>
      </c>
      <c r="E359" s="4" t="s">
        <v>27</v>
      </c>
      <c r="F359" s="4">
        <f t="shared" si="33"/>
        <v>800</v>
      </c>
      <c r="G359" s="5">
        <f t="shared" si="39"/>
        <v>1.01</v>
      </c>
      <c r="H359" s="6" t="str">
        <f t="shared" si="34"/>
        <v>INSERT INTO public.coupon (plancode, age, "year", couponrate, benefittype, benefitrate, premiumrate) VALUES('EN60', 4, 26, 8, 'A',800, 1.01);</v>
      </c>
      <c r="I359" s="6" t="str">
        <f t="shared" si="35"/>
        <v>{"age":"4", "year":"26", "couponrate":"8", "benefittype":"A", "benefitrate":"800", "premiumrate":"1.01"}</v>
      </c>
      <c r="J359" s="6" t="str">
        <f t="shared" si="36"/>
        <v>,</v>
      </c>
    </row>
    <row r="360" spans="1:10">
      <c r="A360" s="4" t="str">
        <f>'EN60'!A$3</f>
        <v>EN60</v>
      </c>
      <c r="B360" s="4">
        <f t="shared" si="37"/>
        <v>4</v>
      </c>
      <c r="C360" s="4">
        <f t="shared" si="38"/>
        <v>27</v>
      </c>
      <c r="D360" s="4">
        <f t="shared" si="32"/>
        <v>8</v>
      </c>
      <c r="E360" s="4" t="s">
        <v>27</v>
      </c>
      <c r="F360" s="4">
        <f t="shared" si="33"/>
        <v>800</v>
      </c>
      <c r="G360" s="5">
        <f t="shared" si="39"/>
        <v>1.01</v>
      </c>
      <c r="H360" s="6" t="str">
        <f t="shared" si="34"/>
        <v>INSERT INTO public.coupon (plancode, age, "year", couponrate, benefittype, benefitrate, premiumrate) VALUES('EN60', 4, 27, 8, 'A',800, 1.01);</v>
      </c>
      <c r="I360" s="6" t="str">
        <f t="shared" si="35"/>
        <v>{"age":"4", "year":"27", "couponrate":"8", "benefittype":"A", "benefitrate":"800", "premiumrate":"1.01"}</v>
      </c>
      <c r="J360" s="6" t="str">
        <f t="shared" si="36"/>
        <v>,</v>
      </c>
    </row>
    <row r="361" spans="1:10">
      <c r="A361" s="4" t="str">
        <f>'EN60'!A$3</f>
        <v>EN60</v>
      </c>
      <c r="B361" s="4">
        <f t="shared" si="37"/>
        <v>4</v>
      </c>
      <c r="C361" s="4">
        <f t="shared" si="38"/>
        <v>28</v>
      </c>
      <c r="D361" s="4">
        <f t="shared" si="32"/>
        <v>8</v>
      </c>
      <c r="E361" s="4" t="s">
        <v>27</v>
      </c>
      <c r="F361" s="4">
        <f t="shared" si="33"/>
        <v>800</v>
      </c>
      <c r="G361" s="5">
        <f t="shared" si="39"/>
        <v>1.01</v>
      </c>
      <c r="H361" s="6" t="str">
        <f t="shared" si="34"/>
        <v>INSERT INTO public.coupon (plancode, age, "year", couponrate, benefittype, benefitrate, premiumrate) VALUES('EN60', 4, 28, 8, 'A',800, 1.01);</v>
      </c>
      <c r="I361" s="6" t="str">
        <f t="shared" si="35"/>
        <v>{"age":"4", "year":"28", "couponrate":"8", "benefittype":"A", "benefitrate":"800", "premiumrate":"1.01"}</v>
      </c>
      <c r="J361" s="6" t="str">
        <f t="shared" si="36"/>
        <v>,</v>
      </c>
    </row>
    <row r="362" spans="1:10">
      <c r="A362" s="4" t="str">
        <f>'EN60'!A$3</f>
        <v>EN60</v>
      </c>
      <c r="B362" s="4">
        <f t="shared" si="37"/>
        <v>4</v>
      </c>
      <c r="C362" s="4">
        <f t="shared" si="38"/>
        <v>29</v>
      </c>
      <c r="D362" s="4">
        <f t="shared" si="32"/>
        <v>8</v>
      </c>
      <c r="E362" s="4" t="s">
        <v>27</v>
      </c>
      <c r="F362" s="4">
        <f t="shared" si="33"/>
        <v>800</v>
      </c>
      <c r="G362" s="5">
        <f t="shared" si="39"/>
        <v>1.01</v>
      </c>
      <c r="H362" s="6" t="str">
        <f t="shared" si="34"/>
        <v>INSERT INTO public.coupon (plancode, age, "year", couponrate, benefittype, benefitrate, premiumrate) VALUES('EN60', 4, 29, 8, 'A',800, 1.01);</v>
      </c>
      <c r="I362" s="6" t="str">
        <f t="shared" si="35"/>
        <v>{"age":"4", "year":"29", "couponrate":"8", "benefittype":"A", "benefitrate":"800", "premiumrate":"1.01"}</v>
      </c>
      <c r="J362" s="6" t="str">
        <f t="shared" si="36"/>
        <v>,</v>
      </c>
    </row>
    <row r="363" spans="1:10">
      <c r="A363" s="4" t="str">
        <f>'EN60'!A$3</f>
        <v>EN60</v>
      </c>
      <c r="B363" s="4">
        <f t="shared" si="37"/>
        <v>4</v>
      </c>
      <c r="C363" s="4">
        <f t="shared" si="38"/>
        <v>30</v>
      </c>
      <c r="D363" s="4">
        <f t="shared" si="32"/>
        <v>8</v>
      </c>
      <c r="E363" s="4" t="s">
        <v>27</v>
      </c>
      <c r="F363" s="4">
        <f t="shared" si="33"/>
        <v>800</v>
      </c>
      <c r="G363" s="5">
        <f t="shared" si="39"/>
        <v>1.01</v>
      </c>
      <c r="H363" s="6" t="str">
        <f t="shared" si="34"/>
        <v>INSERT INTO public.coupon (plancode, age, "year", couponrate, benefittype, benefitrate, premiumrate) VALUES('EN60', 4, 30, 8, 'A',800, 1.01);</v>
      </c>
      <c r="I363" s="6" t="str">
        <f t="shared" si="35"/>
        <v>{"age":"4", "year":"30", "couponrate":"8", "benefittype":"A", "benefitrate":"800", "premiumrate":"1.01"}</v>
      </c>
      <c r="J363" s="6" t="str">
        <f t="shared" si="36"/>
        <v>,</v>
      </c>
    </row>
    <row r="364" spans="1:10">
      <c r="A364" s="4" t="str">
        <f>'EN60'!A$3</f>
        <v>EN60</v>
      </c>
      <c r="B364" s="4">
        <f t="shared" si="37"/>
        <v>4</v>
      </c>
      <c r="C364" s="4">
        <f t="shared" si="38"/>
        <v>31</v>
      </c>
      <c r="D364" s="4">
        <f t="shared" si="32"/>
        <v>8</v>
      </c>
      <c r="E364" s="4" t="s">
        <v>27</v>
      </c>
      <c r="F364" s="4">
        <f t="shared" si="33"/>
        <v>800</v>
      </c>
      <c r="G364" s="5">
        <f t="shared" si="39"/>
        <v>1.01</v>
      </c>
      <c r="H364" s="6" t="str">
        <f t="shared" si="34"/>
        <v>INSERT INTO public.coupon (plancode, age, "year", couponrate, benefittype, benefitrate, premiumrate) VALUES('EN60', 4, 31, 8, 'A',800, 1.01);</v>
      </c>
      <c r="I364" s="6" t="str">
        <f t="shared" si="35"/>
        <v>{"age":"4", "year":"31", "couponrate":"8", "benefittype":"A", "benefitrate":"800", "premiumrate":"1.01"}</v>
      </c>
      <c r="J364" s="6" t="str">
        <f t="shared" si="36"/>
        <v>,</v>
      </c>
    </row>
    <row r="365" spans="1:10">
      <c r="A365" s="4" t="str">
        <f>'EN60'!A$3</f>
        <v>EN60</v>
      </c>
      <c r="B365" s="4">
        <f t="shared" si="37"/>
        <v>4</v>
      </c>
      <c r="C365" s="4">
        <f t="shared" si="38"/>
        <v>32</v>
      </c>
      <c r="D365" s="4">
        <f t="shared" si="32"/>
        <v>8</v>
      </c>
      <c r="E365" s="4" t="s">
        <v>27</v>
      </c>
      <c r="F365" s="4">
        <f t="shared" si="33"/>
        <v>800</v>
      </c>
      <c r="G365" s="5">
        <f t="shared" si="39"/>
        <v>1.01</v>
      </c>
      <c r="H365" s="6" t="str">
        <f t="shared" si="34"/>
        <v>INSERT INTO public.coupon (plancode, age, "year", couponrate, benefittype, benefitrate, premiumrate) VALUES('EN60', 4, 32, 8, 'A',800, 1.01);</v>
      </c>
      <c r="I365" s="6" t="str">
        <f t="shared" si="35"/>
        <v>{"age":"4", "year":"32", "couponrate":"8", "benefittype":"A", "benefitrate":"800", "premiumrate":"1.01"}</v>
      </c>
      <c r="J365" s="6" t="str">
        <f t="shared" si="36"/>
        <v>,</v>
      </c>
    </row>
    <row r="366" spans="1:10">
      <c r="A366" s="4" t="str">
        <f>'EN60'!A$3</f>
        <v>EN60</v>
      </c>
      <c r="B366" s="4">
        <f t="shared" si="37"/>
        <v>4</v>
      </c>
      <c r="C366" s="4">
        <f t="shared" si="38"/>
        <v>33</v>
      </c>
      <c r="D366" s="4">
        <f t="shared" si="32"/>
        <v>8</v>
      </c>
      <c r="E366" s="4" t="s">
        <v>27</v>
      </c>
      <c r="F366" s="4">
        <f t="shared" si="33"/>
        <v>800</v>
      </c>
      <c r="G366" s="5">
        <f t="shared" si="39"/>
        <v>1.01</v>
      </c>
      <c r="H366" s="6" t="str">
        <f t="shared" si="34"/>
        <v>INSERT INTO public.coupon (plancode, age, "year", couponrate, benefittype, benefitrate, premiumrate) VALUES('EN60', 4, 33, 8, 'A',800, 1.01);</v>
      </c>
      <c r="I366" s="6" t="str">
        <f t="shared" si="35"/>
        <v>{"age":"4", "year":"33", "couponrate":"8", "benefittype":"A", "benefitrate":"800", "premiumrate":"1.01"}</v>
      </c>
      <c r="J366" s="6" t="str">
        <f t="shared" si="36"/>
        <v>,</v>
      </c>
    </row>
    <row r="367" spans="1:10">
      <c r="A367" s="4" t="str">
        <f>'EN60'!A$3</f>
        <v>EN60</v>
      </c>
      <c r="B367" s="4">
        <f t="shared" si="37"/>
        <v>4</v>
      </c>
      <c r="C367" s="4">
        <f t="shared" si="38"/>
        <v>34</v>
      </c>
      <c r="D367" s="4">
        <f t="shared" si="32"/>
        <v>8</v>
      </c>
      <c r="E367" s="4" t="s">
        <v>27</v>
      </c>
      <c r="F367" s="4">
        <f t="shared" si="33"/>
        <v>800</v>
      </c>
      <c r="G367" s="5">
        <f t="shared" si="39"/>
        <v>1.01</v>
      </c>
      <c r="H367" s="6" t="str">
        <f t="shared" si="34"/>
        <v>INSERT INTO public.coupon (plancode, age, "year", couponrate, benefittype, benefitrate, premiumrate) VALUES('EN60', 4, 34, 8, 'A',800, 1.01);</v>
      </c>
      <c r="I367" s="6" t="str">
        <f t="shared" si="35"/>
        <v>{"age":"4", "year":"34", "couponrate":"8", "benefittype":"A", "benefitrate":"800", "premiumrate":"1.01"}</v>
      </c>
      <c r="J367" s="6" t="str">
        <f t="shared" si="36"/>
        <v>,</v>
      </c>
    </row>
    <row r="368" spans="1:10">
      <c r="A368" s="4" t="str">
        <f>'EN60'!A$3</f>
        <v>EN60</v>
      </c>
      <c r="B368" s="4">
        <f t="shared" si="37"/>
        <v>4</v>
      </c>
      <c r="C368" s="4">
        <f t="shared" si="38"/>
        <v>35</v>
      </c>
      <c r="D368" s="4">
        <f t="shared" si="32"/>
        <v>8</v>
      </c>
      <c r="E368" s="4" t="s">
        <v>27</v>
      </c>
      <c r="F368" s="4">
        <f t="shared" si="33"/>
        <v>800</v>
      </c>
      <c r="G368" s="5">
        <f t="shared" si="39"/>
        <v>1.01</v>
      </c>
      <c r="H368" s="6" t="str">
        <f t="shared" si="34"/>
        <v>INSERT INTO public.coupon (plancode, age, "year", couponrate, benefittype, benefitrate, premiumrate) VALUES('EN60', 4, 35, 8, 'A',800, 1.01);</v>
      </c>
      <c r="I368" s="6" t="str">
        <f t="shared" si="35"/>
        <v>{"age":"4", "year":"35", "couponrate":"8", "benefittype":"A", "benefitrate":"800", "premiumrate":"1.01"}</v>
      </c>
      <c r="J368" s="6" t="str">
        <f t="shared" si="36"/>
        <v>,</v>
      </c>
    </row>
    <row r="369" spans="1:10">
      <c r="A369" s="4" t="str">
        <f>'EN60'!A$3</f>
        <v>EN60</v>
      </c>
      <c r="B369" s="4">
        <f t="shared" si="37"/>
        <v>4</v>
      </c>
      <c r="C369" s="4">
        <f t="shared" si="38"/>
        <v>36</v>
      </c>
      <c r="D369" s="4">
        <f t="shared" si="32"/>
        <v>8</v>
      </c>
      <c r="E369" s="4" t="s">
        <v>27</v>
      </c>
      <c r="F369" s="4">
        <f t="shared" si="33"/>
        <v>800</v>
      </c>
      <c r="G369" s="5">
        <f t="shared" si="39"/>
        <v>1.01</v>
      </c>
      <c r="H369" s="6" t="str">
        <f t="shared" si="34"/>
        <v>INSERT INTO public.coupon (plancode, age, "year", couponrate, benefittype, benefitrate, premiumrate) VALUES('EN60', 4, 36, 8, 'A',800, 1.01);</v>
      </c>
      <c r="I369" s="6" t="str">
        <f t="shared" si="35"/>
        <v>{"age":"4", "year":"36", "couponrate":"8", "benefittype":"A", "benefitrate":"800", "premiumrate":"1.01"}</v>
      </c>
      <c r="J369" s="6" t="str">
        <f t="shared" si="36"/>
        <v>,</v>
      </c>
    </row>
    <row r="370" spans="1:10">
      <c r="A370" s="4" t="str">
        <f>'EN60'!A$3</f>
        <v>EN60</v>
      </c>
      <c r="B370" s="4">
        <f t="shared" si="37"/>
        <v>4</v>
      </c>
      <c r="C370" s="4">
        <f t="shared" si="38"/>
        <v>37</v>
      </c>
      <c r="D370" s="4">
        <f t="shared" si="32"/>
        <v>8</v>
      </c>
      <c r="E370" s="4" t="s">
        <v>27</v>
      </c>
      <c r="F370" s="4">
        <f t="shared" si="33"/>
        <v>800</v>
      </c>
      <c r="G370" s="5">
        <f t="shared" si="39"/>
        <v>1.01</v>
      </c>
      <c r="H370" s="6" t="str">
        <f t="shared" si="34"/>
        <v>INSERT INTO public.coupon (plancode, age, "year", couponrate, benefittype, benefitrate, premiumrate) VALUES('EN60', 4, 37, 8, 'A',800, 1.01);</v>
      </c>
      <c r="I370" s="6" t="str">
        <f t="shared" si="35"/>
        <v>{"age":"4", "year":"37", "couponrate":"8", "benefittype":"A", "benefitrate":"800", "premiumrate":"1.01"}</v>
      </c>
      <c r="J370" s="6" t="str">
        <f t="shared" si="36"/>
        <v>,</v>
      </c>
    </row>
    <row r="371" spans="1:10">
      <c r="A371" s="4" t="str">
        <f>'EN60'!A$3</f>
        <v>EN60</v>
      </c>
      <c r="B371" s="4">
        <f t="shared" si="37"/>
        <v>4</v>
      </c>
      <c r="C371" s="4">
        <f t="shared" si="38"/>
        <v>38</v>
      </c>
      <c r="D371" s="4">
        <f t="shared" si="32"/>
        <v>8</v>
      </c>
      <c r="E371" s="4" t="s">
        <v>27</v>
      </c>
      <c r="F371" s="4">
        <f t="shared" si="33"/>
        <v>800</v>
      </c>
      <c r="G371" s="5">
        <f t="shared" si="39"/>
        <v>1.01</v>
      </c>
      <c r="H371" s="6" t="str">
        <f t="shared" si="34"/>
        <v>INSERT INTO public.coupon (plancode, age, "year", couponrate, benefittype, benefitrate, premiumrate) VALUES('EN60', 4, 38, 8, 'A',800, 1.01);</v>
      </c>
      <c r="I371" s="6" t="str">
        <f t="shared" si="35"/>
        <v>{"age":"4", "year":"38", "couponrate":"8", "benefittype":"A", "benefitrate":"800", "premiumrate":"1.01"}</v>
      </c>
      <c r="J371" s="6" t="str">
        <f t="shared" si="36"/>
        <v>,</v>
      </c>
    </row>
    <row r="372" spans="1:10">
      <c r="A372" s="4" t="str">
        <f>'EN60'!A$3</f>
        <v>EN60</v>
      </c>
      <c r="B372" s="4">
        <f t="shared" si="37"/>
        <v>4</v>
      </c>
      <c r="C372" s="4">
        <f t="shared" si="38"/>
        <v>39</v>
      </c>
      <c r="D372" s="4">
        <f t="shared" si="32"/>
        <v>8</v>
      </c>
      <c r="E372" s="4" t="s">
        <v>27</v>
      </c>
      <c r="F372" s="4">
        <f t="shared" si="33"/>
        <v>800</v>
      </c>
      <c r="G372" s="5">
        <f t="shared" si="39"/>
        <v>1.01</v>
      </c>
      <c r="H372" s="6" t="str">
        <f t="shared" si="34"/>
        <v>INSERT INTO public.coupon (plancode, age, "year", couponrate, benefittype, benefitrate, premiumrate) VALUES('EN60', 4, 39, 8, 'A',800, 1.01);</v>
      </c>
      <c r="I372" s="6" t="str">
        <f t="shared" si="35"/>
        <v>{"age":"4", "year":"39", "couponrate":"8", "benefittype":"A", "benefitrate":"800", "premiumrate":"1.01"}</v>
      </c>
      <c r="J372" s="6" t="str">
        <f t="shared" si="36"/>
        <v>,</v>
      </c>
    </row>
    <row r="373" spans="1:10">
      <c r="A373" s="4" t="str">
        <f>'EN60'!A$3</f>
        <v>EN60</v>
      </c>
      <c r="B373" s="4">
        <f t="shared" si="37"/>
        <v>4</v>
      </c>
      <c r="C373" s="4">
        <f t="shared" si="38"/>
        <v>40</v>
      </c>
      <c r="D373" s="4">
        <f t="shared" si="32"/>
        <v>8</v>
      </c>
      <c r="E373" s="4" t="s">
        <v>27</v>
      </c>
      <c r="F373" s="4">
        <f t="shared" si="33"/>
        <v>800</v>
      </c>
      <c r="G373" s="5">
        <f t="shared" si="39"/>
        <v>1.01</v>
      </c>
      <c r="H373" s="6" t="str">
        <f t="shared" si="34"/>
        <v>INSERT INTO public.coupon (plancode, age, "year", couponrate, benefittype, benefitrate, premiumrate) VALUES('EN60', 4, 40, 8, 'A',800, 1.01);</v>
      </c>
      <c r="I373" s="6" t="str">
        <f t="shared" si="35"/>
        <v>{"age":"4", "year":"40", "couponrate":"8", "benefittype":"A", "benefitrate":"800", "premiumrate":"1.01"}</v>
      </c>
      <c r="J373" s="6" t="str">
        <f t="shared" si="36"/>
        <v>,</v>
      </c>
    </row>
    <row r="374" spans="1:10">
      <c r="A374" s="4" t="str">
        <f>'EN60'!A$3</f>
        <v>EN60</v>
      </c>
      <c r="B374" s="4">
        <f t="shared" si="37"/>
        <v>4</v>
      </c>
      <c r="C374" s="4">
        <f t="shared" si="38"/>
        <v>41</v>
      </c>
      <c r="D374" s="4">
        <f t="shared" si="32"/>
        <v>8</v>
      </c>
      <c r="E374" s="4" t="s">
        <v>27</v>
      </c>
      <c r="F374" s="4">
        <f t="shared" si="33"/>
        <v>800</v>
      </c>
      <c r="G374" s="5">
        <f t="shared" si="39"/>
        <v>1.01</v>
      </c>
      <c r="H374" s="6" t="str">
        <f t="shared" si="34"/>
        <v>INSERT INTO public.coupon (plancode, age, "year", couponrate, benefittype, benefitrate, premiumrate) VALUES('EN60', 4, 41, 8, 'A',800, 1.01);</v>
      </c>
      <c r="I374" s="6" t="str">
        <f t="shared" si="35"/>
        <v>{"age":"4", "year":"41", "couponrate":"8", "benefittype":"A", "benefitrate":"800", "premiumrate":"1.01"}</v>
      </c>
      <c r="J374" s="6" t="str">
        <f t="shared" si="36"/>
        <v>,</v>
      </c>
    </row>
    <row r="375" spans="1:10">
      <c r="A375" s="4" t="str">
        <f>'EN60'!A$3</f>
        <v>EN60</v>
      </c>
      <c r="B375" s="4">
        <f t="shared" si="37"/>
        <v>4</v>
      </c>
      <c r="C375" s="4">
        <f t="shared" si="38"/>
        <v>42</v>
      </c>
      <c r="D375" s="4">
        <f t="shared" si="32"/>
        <v>8</v>
      </c>
      <c r="E375" s="4" t="s">
        <v>27</v>
      </c>
      <c r="F375" s="4">
        <f t="shared" si="33"/>
        <v>800</v>
      </c>
      <c r="G375" s="5">
        <f t="shared" si="39"/>
        <v>1.01</v>
      </c>
      <c r="H375" s="6" t="str">
        <f t="shared" si="34"/>
        <v>INSERT INTO public.coupon (plancode, age, "year", couponrate, benefittype, benefitrate, premiumrate) VALUES('EN60', 4, 42, 8, 'A',800, 1.01);</v>
      </c>
      <c r="I375" s="6" t="str">
        <f t="shared" si="35"/>
        <v>{"age":"4", "year":"42", "couponrate":"8", "benefittype":"A", "benefitrate":"800", "premiumrate":"1.01"}</v>
      </c>
      <c r="J375" s="6" t="str">
        <f t="shared" si="36"/>
        <v>,</v>
      </c>
    </row>
    <row r="376" spans="1:10">
      <c r="A376" s="4" t="str">
        <f>'EN60'!A$3</f>
        <v>EN60</v>
      </c>
      <c r="B376" s="4">
        <f t="shared" si="37"/>
        <v>4</v>
      </c>
      <c r="C376" s="4">
        <f t="shared" si="38"/>
        <v>43</v>
      </c>
      <c r="D376" s="4">
        <f t="shared" si="32"/>
        <v>8</v>
      </c>
      <c r="E376" s="4" t="s">
        <v>27</v>
      </c>
      <c r="F376" s="4">
        <f t="shared" si="33"/>
        <v>800</v>
      </c>
      <c r="G376" s="5">
        <f t="shared" si="39"/>
        <v>1.01</v>
      </c>
      <c r="H376" s="6" t="str">
        <f t="shared" si="34"/>
        <v>INSERT INTO public.coupon (plancode, age, "year", couponrate, benefittype, benefitrate, premiumrate) VALUES('EN60', 4, 43, 8, 'A',800, 1.01);</v>
      </c>
      <c r="I376" s="6" t="str">
        <f t="shared" si="35"/>
        <v>{"age":"4", "year":"43", "couponrate":"8", "benefittype":"A", "benefitrate":"800", "premiumrate":"1.01"}</v>
      </c>
      <c r="J376" s="6" t="str">
        <f t="shared" si="36"/>
        <v>,</v>
      </c>
    </row>
    <row r="377" spans="1:10">
      <c r="A377" s="4" t="str">
        <f>'EN60'!A$3</f>
        <v>EN60</v>
      </c>
      <c r="B377" s="4">
        <f t="shared" si="37"/>
        <v>4</v>
      </c>
      <c r="C377" s="4">
        <f t="shared" si="38"/>
        <v>44</v>
      </c>
      <c r="D377" s="4">
        <f t="shared" si="32"/>
        <v>8</v>
      </c>
      <c r="E377" s="4" t="s">
        <v>27</v>
      </c>
      <c r="F377" s="4">
        <f t="shared" si="33"/>
        <v>800</v>
      </c>
      <c r="G377" s="5">
        <f t="shared" si="39"/>
        <v>1.01</v>
      </c>
      <c r="H377" s="6" t="str">
        <f t="shared" si="34"/>
        <v>INSERT INTO public.coupon (plancode, age, "year", couponrate, benefittype, benefitrate, premiumrate) VALUES('EN60', 4, 44, 8, 'A',800, 1.01);</v>
      </c>
      <c r="I377" s="6" t="str">
        <f t="shared" si="35"/>
        <v>{"age":"4", "year":"44", "couponrate":"8", "benefittype":"A", "benefitrate":"800", "premiumrate":"1.01"}</v>
      </c>
      <c r="J377" s="6" t="str">
        <f t="shared" si="36"/>
        <v>,</v>
      </c>
    </row>
    <row r="378" spans="1:10">
      <c r="A378" s="4" t="str">
        <f>'EN60'!A$3</f>
        <v>EN60</v>
      </c>
      <c r="B378" s="4">
        <f t="shared" si="37"/>
        <v>4</v>
      </c>
      <c r="C378" s="4">
        <f t="shared" si="38"/>
        <v>45</v>
      </c>
      <c r="D378" s="4">
        <f t="shared" si="32"/>
        <v>8</v>
      </c>
      <c r="E378" s="4" t="s">
        <v>27</v>
      </c>
      <c r="F378" s="4">
        <f t="shared" si="33"/>
        <v>800</v>
      </c>
      <c r="G378" s="5">
        <f t="shared" si="39"/>
        <v>1.01</v>
      </c>
      <c r="H378" s="6" t="str">
        <f t="shared" si="34"/>
        <v>INSERT INTO public.coupon (plancode, age, "year", couponrate, benefittype, benefitrate, premiumrate) VALUES('EN60', 4, 45, 8, 'A',800, 1.01);</v>
      </c>
      <c r="I378" s="6" t="str">
        <f t="shared" si="35"/>
        <v>{"age":"4", "year":"45", "couponrate":"8", "benefittype":"A", "benefitrate":"800", "premiumrate":"1.01"}</v>
      </c>
      <c r="J378" s="6" t="str">
        <f t="shared" si="36"/>
        <v>,</v>
      </c>
    </row>
    <row r="379" spans="1:10">
      <c r="A379" s="4" t="str">
        <f>'EN60'!A$3</f>
        <v>EN60</v>
      </c>
      <c r="B379" s="4">
        <f t="shared" si="37"/>
        <v>4</v>
      </c>
      <c r="C379" s="4">
        <f t="shared" si="38"/>
        <v>46</v>
      </c>
      <c r="D379" s="4">
        <f t="shared" si="32"/>
        <v>8</v>
      </c>
      <c r="E379" s="4" t="s">
        <v>27</v>
      </c>
      <c r="F379" s="4">
        <f t="shared" si="33"/>
        <v>800</v>
      </c>
      <c r="G379" s="5">
        <f t="shared" si="39"/>
        <v>1.01</v>
      </c>
      <c r="H379" s="6" t="str">
        <f t="shared" si="34"/>
        <v>INSERT INTO public.coupon (plancode, age, "year", couponrate, benefittype, benefitrate, premiumrate) VALUES('EN60', 4, 46, 8, 'A',800, 1.01);</v>
      </c>
      <c r="I379" s="6" t="str">
        <f t="shared" si="35"/>
        <v>{"age":"4", "year":"46", "couponrate":"8", "benefittype":"A", "benefitrate":"800", "premiumrate":"1.01"}</v>
      </c>
      <c r="J379" s="6" t="str">
        <f t="shared" si="36"/>
        <v>,</v>
      </c>
    </row>
    <row r="380" spans="1:10">
      <c r="A380" s="4" t="str">
        <f>'EN60'!A$3</f>
        <v>EN60</v>
      </c>
      <c r="B380" s="4">
        <f t="shared" si="37"/>
        <v>4</v>
      </c>
      <c r="C380" s="4">
        <f t="shared" si="38"/>
        <v>47</v>
      </c>
      <c r="D380" s="4">
        <f t="shared" si="32"/>
        <v>8</v>
      </c>
      <c r="E380" s="4" t="s">
        <v>27</v>
      </c>
      <c r="F380" s="4">
        <f t="shared" si="33"/>
        <v>800</v>
      </c>
      <c r="G380" s="5">
        <f t="shared" si="39"/>
        <v>1.01</v>
      </c>
      <c r="H380" s="6" t="str">
        <f t="shared" si="34"/>
        <v>INSERT INTO public.coupon (plancode, age, "year", couponrate, benefittype, benefitrate, premiumrate) VALUES('EN60', 4, 47, 8, 'A',800, 1.01);</v>
      </c>
      <c r="I380" s="6" t="str">
        <f t="shared" si="35"/>
        <v>{"age":"4", "year":"47", "couponrate":"8", "benefittype":"A", "benefitrate":"800", "premiumrate":"1.01"}</v>
      </c>
      <c r="J380" s="6" t="str">
        <f t="shared" si="36"/>
        <v>,</v>
      </c>
    </row>
    <row r="381" spans="1:10">
      <c r="A381" s="4" t="str">
        <f>'EN60'!A$3</f>
        <v>EN60</v>
      </c>
      <c r="B381" s="4">
        <f t="shared" si="37"/>
        <v>4</v>
      </c>
      <c r="C381" s="4">
        <f t="shared" si="38"/>
        <v>48</v>
      </c>
      <c r="D381" s="4">
        <f t="shared" si="32"/>
        <v>8</v>
      </c>
      <c r="E381" s="4" t="s">
        <v>27</v>
      </c>
      <c r="F381" s="4">
        <f t="shared" si="33"/>
        <v>800</v>
      </c>
      <c r="G381" s="5">
        <f t="shared" si="39"/>
        <v>1.01</v>
      </c>
      <c r="H381" s="6" t="str">
        <f t="shared" si="34"/>
        <v>INSERT INTO public.coupon (plancode, age, "year", couponrate, benefittype, benefitrate, premiumrate) VALUES('EN60', 4, 48, 8, 'A',800, 1.01);</v>
      </c>
      <c r="I381" s="6" t="str">
        <f t="shared" si="35"/>
        <v>{"age":"4", "year":"48", "couponrate":"8", "benefittype":"A", "benefitrate":"800", "premiumrate":"1.01"}</v>
      </c>
      <c r="J381" s="6" t="str">
        <f t="shared" si="36"/>
        <v>,</v>
      </c>
    </row>
    <row r="382" spans="1:10">
      <c r="A382" s="4" t="str">
        <f>'EN60'!A$3</f>
        <v>EN60</v>
      </c>
      <c r="B382" s="4">
        <f t="shared" si="37"/>
        <v>4</v>
      </c>
      <c r="C382" s="4">
        <f t="shared" si="38"/>
        <v>49</v>
      </c>
      <c r="D382" s="4">
        <f t="shared" si="32"/>
        <v>8</v>
      </c>
      <c r="E382" s="4" t="s">
        <v>27</v>
      </c>
      <c r="F382" s="4">
        <f t="shared" si="33"/>
        <v>800</v>
      </c>
      <c r="G382" s="5">
        <f t="shared" si="39"/>
        <v>1.01</v>
      </c>
      <c r="H382" s="6" t="str">
        <f t="shared" si="34"/>
        <v>INSERT INTO public.coupon (plancode, age, "year", couponrate, benefittype, benefitrate, premiumrate) VALUES('EN60', 4, 49, 8, 'A',800, 1.01);</v>
      </c>
      <c r="I382" s="6" t="str">
        <f t="shared" si="35"/>
        <v>{"age":"4", "year":"49", "couponrate":"8", "benefittype":"A", "benefitrate":"800", "premiumrate":"1.01"}</v>
      </c>
      <c r="J382" s="6" t="str">
        <f t="shared" si="36"/>
        <v>,</v>
      </c>
    </row>
    <row r="383" spans="1:10">
      <c r="A383" s="4" t="str">
        <f>'EN60'!A$3</f>
        <v>EN60</v>
      </c>
      <c r="B383" s="4">
        <f t="shared" si="37"/>
        <v>4</v>
      </c>
      <c r="C383" s="4">
        <f t="shared" si="38"/>
        <v>50</v>
      </c>
      <c r="D383" s="4">
        <f t="shared" si="32"/>
        <v>8</v>
      </c>
      <c r="E383" s="4" t="s">
        <v>27</v>
      </c>
      <c r="F383" s="4">
        <f t="shared" si="33"/>
        <v>800</v>
      </c>
      <c r="G383" s="5">
        <f t="shared" si="39"/>
        <v>1.01</v>
      </c>
      <c r="H383" s="6" t="str">
        <f t="shared" si="34"/>
        <v>INSERT INTO public.coupon (plancode, age, "year", couponrate, benefittype, benefitrate, premiumrate) VALUES('EN60', 4, 50, 8, 'A',800, 1.01);</v>
      </c>
      <c r="I383" s="6" t="str">
        <f t="shared" si="35"/>
        <v>{"age":"4", "year":"50", "couponrate":"8", "benefittype":"A", "benefitrate":"800", "premiumrate":"1.01"}</v>
      </c>
      <c r="J383" s="6" t="str">
        <f t="shared" si="36"/>
        <v>,</v>
      </c>
    </row>
    <row r="384" spans="1:10">
      <c r="A384" s="4" t="str">
        <f>'EN60'!A$3</f>
        <v>EN60</v>
      </c>
      <c r="B384" s="4">
        <f t="shared" si="37"/>
        <v>4</v>
      </c>
      <c r="C384" s="4">
        <f t="shared" si="38"/>
        <v>51</v>
      </c>
      <c r="D384" s="4">
        <f t="shared" si="32"/>
        <v>8</v>
      </c>
      <c r="E384" s="4" t="s">
        <v>27</v>
      </c>
      <c r="F384" s="4">
        <f t="shared" si="33"/>
        <v>800</v>
      </c>
      <c r="G384" s="5">
        <f t="shared" si="39"/>
        <v>1.01</v>
      </c>
      <c r="H384" s="6" t="str">
        <f t="shared" si="34"/>
        <v>INSERT INTO public.coupon (plancode, age, "year", couponrate, benefittype, benefitrate, premiumrate) VALUES('EN60', 4, 51, 8, 'A',800, 1.01);</v>
      </c>
      <c r="I384" s="6" t="str">
        <f t="shared" si="35"/>
        <v>{"age":"4", "year":"51", "couponrate":"8", "benefittype":"A", "benefitrate":"800", "premiumrate":"1.01"}</v>
      </c>
      <c r="J384" s="6" t="str">
        <f t="shared" si="36"/>
        <v>,</v>
      </c>
    </row>
    <row r="385" spans="1:10">
      <c r="A385" s="4" t="str">
        <f>'EN60'!A$3</f>
        <v>EN60</v>
      </c>
      <c r="B385" s="4">
        <f t="shared" si="37"/>
        <v>4</v>
      </c>
      <c r="C385" s="4">
        <f t="shared" si="38"/>
        <v>52</v>
      </c>
      <c r="D385" s="4">
        <f t="shared" si="32"/>
        <v>8</v>
      </c>
      <c r="E385" s="4" t="s">
        <v>27</v>
      </c>
      <c r="F385" s="4">
        <f t="shared" si="33"/>
        <v>800</v>
      </c>
      <c r="G385" s="5">
        <f t="shared" si="39"/>
        <v>1.01</v>
      </c>
      <c r="H385" s="6" t="str">
        <f t="shared" si="34"/>
        <v>INSERT INTO public.coupon (plancode, age, "year", couponrate, benefittype, benefitrate, premiumrate) VALUES('EN60', 4, 52, 8, 'A',800, 1.01);</v>
      </c>
      <c r="I385" s="6" t="str">
        <f t="shared" si="35"/>
        <v>{"age":"4", "year":"52", "couponrate":"8", "benefittype":"A", "benefitrate":"800", "premiumrate":"1.01"}</v>
      </c>
      <c r="J385" s="6" t="str">
        <f t="shared" si="36"/>
        <v>,</v>
      </c>
    </row>
    <row r="386" spans="1:10">
      <c r="A386" s="4" t="str">
        <f>'EN60'!A$3</f>
        <v>EN60</v>
      </c>
      <c r="B386" s="4">
        <f t="shared" si="37"/>
        <v>4</v>
      </c>
      <c r="C386" s="4">
        <f t="shared" si="38"/>
        <v>53</v>
      </c>
      <c r="D386" s="4">
        <f t="shared" si="32"/>
        <v>8</v>
      </c>
      <c r="E386" s="4" t="s">
        <v>27</v>
      </c>
      <c r="F386" s="4">
        <f t="shared" si="33"/>
        <v>800</v>
      </c>
      <c r="G386" s="5">
        <f t="shared" si="39"/>
        <v>1.01</v>
      </c>
      <c r="H386" s="6" t="str">
        <f t="shared" si="34"/>
        <v>INSERT INTO public.coupon (plancode, age, "year", couponrate, benefittype, benefitrate, premiumrate) VALUES('EN60', 4, 53, 8, 'A',800, 1.01);</v>
      </c>
      <c r="I386" s="6" t="str">
        <f t="shared" si="35"/>
        <v>{"age":"4", "year":"53", "couponrate":"8", "benefittype":"A", "benefitrate":"800", "premiumrate":"1.01"}</v>
      </c>
      <c r="J386" s="6" t="str">
        <f t="shared" si="36"/>
        <v>,</v>
      </c>
    </row>
    <row r="387" spans="1:10">
      <c r="A387" s="4" t="str">
        <f>'EN60'!A$3</f>
        <v>EN60</v>
      </c>
      <c r="B387" s="4">
        <f t="shared" si="37"/>
        <v>4</v>
      </c>
      <c r="C387" s="4">
        <f t="shared" si="38"/>
        <v>54</v>
      </c>
      <c r="D387" s="4">
        <f t="shared" si="32"/>
        <v>8</v>
      </c>
      <c r="E387" s="4" t="s">
        <v>27</v>
      </c>
      <c r="F387" s="4">
        <f t="shared" si="33"/>
        <v>800</v>
      </c>
      <c r="G387" s="5">
        <f t="shared" si="39"/>
        <v>1.01</v>
      </c>
      <c r="H387" s="6" t="str">
        <f t="shared" si="34"/>
        <v>INSERT INTO public.coupon (plancode, age, "year", couponrate, benefittype, benefitrate, premiumrate) VALUES('EN60', 4, 54, 8, 'A',800, 1.01);</v>
      </c>
      <c r="I387" s="6" t="str">
        <f t="shared" si="35"/>
        <v>{"age":"4", "year":"54", "couponrate":"8", "benefittype":"A", "benefitrate":"800", "premiumrate":"1.01"}</v>
      </c>
      <c r="J387" s="6" t="str">
        <f t="shared" si="36"/>
        <v>,</v>
      </c>
    </row>
    <row r="388" spans="1:10">
      <c r="A388" s="4" t="str">
        <f>'EN60'!A$3</f>
        <v>EN60</v>
      </c>
      <c r="B388" s="4">
        <f t="shared" si="37"/>
        <v>4</v>
      </c>
      <c r="C388" s="4">
        <f t="shared" si="38"/>
        <v>55</v>
      </c>
      <c r="D388" s="4">
        <f t="shared" si="32"/>
        <v>8</v>
      </c>
      <c r="E388" s="4" t="s">
        <v>27</v>
      </c>
      <c r="F388" s="4">
        <f t="shared" si="33"/>
        <v>800</v>
      </c>
      <c r="G388" s="5">
        <f t="shared" si="39"/>
        <v>1.01</v>
      </c>
      <c r="H388" s="6" t="str">
        <f t="shared" si="34"/>
        <v>INSERT INTO public.coupon (plancode, age, "year", couponrate, benefittype, benefitrate, premiumrate) VALUES('EN60', 4, 55, 8, 'A',800, 1.01);</v>
      </c>
      <c r="I388" s="6" t="str">
        <f t="shared" si="35"/>
        <v>{"age":"4", "year":"55", "couponrate":"8", "benefittype":"A", "benefitrate":"800", "premiumrate":"1.01"}</v>
      </c>
      <c r="J388" s="6" t="str">
        <f t="shared" si="36"/>
        <v>,</v>
      </c>
    </row>
    <row r="389" spans="1:10">
      <c r="A389" s="4" t="str">
        <f>'EN60'!A$3</f>
        <v>EN60</v>
      </c>
      <c r="B389" s="4">
        <f t="shared" si="37"/>
        <v>4</v>
      </c>
      <c r="C389" s="4">
        <f t="shared" si="38"/>
        <v>56</v>
      </c>
      <c r="D389" s="4">
        <f t="shared" si="32"/>
        <v>8</v>
      </c>
      <c r="E389" s="4" t="s">
        <v>27</v>
      </c>
      <c r="F389" s="4">
        <f t="shared" si="33"/>
        <v>800</v>
      </c>
      <c r="G389" s="5">
        <f t="shared" si="39"/>
        <v>1.01</v>
      </c>
      <c r="H389" s="6" t="str">
        <f t="shared" si="34"/>
        <v>INSERT INTO public.coupon (plancode, age, "year", couponrate, benefittype, benefitrate, premiumrate) VALUES('EN60', 4, 56, 8, 'A',800, 1.01);</v>
      </c>
      <c r="I389" s="6" t="str">
        <f t="shared" si="35"/>
        <v>{"age":"4", "year":"56", "couponrate":"8", "benefittype":"A", "benefitrate":"800", "premiumrate":"1.01"}</v>
      </c>
      <c r="J389" s="6" t="str">
        <f t="shared" si="36"/>
        <v>,</v>
      </c>
    </row>
    <row r="390" spans="1:10">
      <c r="A390" s="4" t="str">
        <f>'EN60'!A$3</f>
        <v>EN60</v>
      </c>
      <c r="B390" s="4">
        <f t="shared" si="37"/>
        <v>4</v>
      </c>
      <c r="C390" s="4">
        <f t="shared" si="38"/>
        <v>57</v>
      </c>
      <c r="D390" s="4">
        <f t="shared" si="32"/>
        <v>8</v>
      </c>
      <c r="E390" s="4" t="s">
        <v>27</v>
      </c>
      <c r="F390" s="4">
        <f t="shared" si="33"/>
        <v>800</v>
      </c>
      <c r="G390" s="5">
        <f t="shared" si="39"/>
        <v>1.01</v>
      </c>
      <c r="H390" s="6" t="str">
        <f t="shared" si="34"/>
        <v>INSERT INTO public.coupon (plancode, age, "year", couponrate, benefittype, benefitrate, premiumrate) VALUES('EN60', 4, 57, 8, 'A',800, 1.01);</v>
      </c>
      <c r="I390" s="6" t="str">
        <f t="shared" si="35"/>
        <v>{"age":"4", "year":"57", "couponrate":"8", "benefittype":"A", "benefitrate":"800", "premiumrate":"1.01"}</v>
      </c>
      <c r="J390" s="6" t="str">
        <f t="shared" si="36"/>
        <v>,</v>
      </c>
    </row>
    <row r="391" spans="1:10">
      <c r="A391" s="4" t="str">
        <f>'EN60'!A$3</f>
        <v>EN60</v>
      </c>
      <c r="B391" s="4">
        <f t="shared" si="37"/>
        <v>4</v>
      </c>
      <c r="C391" s="4">
        <f t="shared" si="38"/>
        <v>58</v>
      </c>
      <c r="D391" s="4">
        <f t="shared" si="32"/>
        <v>8</v>
      </c>
      <c r="E391" s="4" t="s">
        <v>27</v>
      </c>
      <c r="F391" s="4">
        <f t="shared" si="33"/>
        <v>800</v>
      </c>
      <c r="G391" s="5">
        <f t="shared" si="39"/>
        <v>1.01</v>
      </c>
      <c r="H391" s="6" t="str">
        <f t="shared" si="34"/>
        <v>INSERT INTO public.coupon (plancode, age, "year", couponrate, benefittype, benefitrate, premiumrate) VALUES('EN60', 4, 58, 8, 'A',800, 1.01);</v>
      </c>
      <c r="I391" s="6" t="str">
        <f t="shared" si="35"/>
        <v>{"age":"4", "year":"58", "couponrate":"8", "benefittype":"A", "benefitrate":"800", "premiumrate":"1.01"}</v>
      </c>
      <c r="J391" s="6" t="str">
        <f t="shared" si="36"/>
        <v>,</v>
      </c>
    </row>
    <row r="392" spans="1:10">
      <c r="A392" s="4" t="str">
        <f>'EN60'!A$3</f>
        <v>EN60</v>
      </c>
      <c r="B392" s="4">
        <f t="shared" si="37"/>
        <v>4</v>
      </c>
      <c r="C392" s="4">
        <f t="shared" si="38"/>
        <v>59</v>
      </c>
      <c r="D392" s="4">
        <f t="shared" si="32"/>
        <v>8</v>
      </c>
      <c r="E392" s="4" t="s">
        <v>27</v>
      </c>
      <c r="F392" s="4">
        <f t="shared" si="33"/>
        <v>800</v>
      </c>
      <c r="G392" s="5">
        <f t="shared" si="39"/>
        <v>1.01</v>
      </c>
      <c r="H392" s="6" t="str">
        <f t="shared" si="34"/>
        <v>INSERT INTO public.coupon (plancode, age, "year", couponrate, benefittype, benefitrate, premiumrate) VALUES('EN60', 4, 59, 8, 'A',800, 1.01);</v>
      </c>
      <c r="I392" s="6" t="str">
        <f t="shared" si="35"/>
        <v>{"age":"4", "year":"59", "couponrate":"8", "benefittype":"A", "benefitrate":"800", "premiumrate":"1.01"}</v>
      </c>
      <c r="J392" s="6" t="str">
        <f t="shared" si="36"/>
        <v>,</v>
      </c>
    </row>
    <row r="393" spans="1:10">
      <c r="A393" s="4" t="str">
        <f>'EN60'!A$3</f>
        <v>EN60</v>
      </c>
      <c r="B393" s="4">
        <f t="shared" si="37"/>
        <v>4</v>
      </c>
      <c r="C393" s="4">
        <f t="shared" si="38"/>
        <v>60</v>
      </c>
      <c r="D393" s="4">
        <f t="shared" si="32"/>
        <v>8</v>
      </c>
      <c r="E393" s="4" t="s">
        <v>27</v>
      </c>
      <c r="F393" s="4">
        <f t="shared" si="33"/>
        <v>800</v>
      </c>
      <c r="G393" s="5">
        <f t="shared" si="39"/>
        <v>1.01</v>
      </c>
      <c r="H393" s="6" t="str">
        <f t="shared" si="34"/>
        <v>INSERT INTO public.coupon (plancode, age, "year", couponrate, benefittype, benefitrate, premiumrate) VALUES('EN60', 4, 60, 8, 'A',800, 1.01);</v>
      </c>
      <c r="I393" s="6" t="str">
        <f t="shared" si="35"/>
        <v>{"age":"4", "year":"60", "couponrate":"8", "benefittype":"A", "benefitrate":"800", "premiumrate":"1.01"}</v>
      </c>
      <c r="J393" s="6" t="str">
        <f t="shared" si="36"/>
        <v>,</v>
      </c>
    </row>
    <row r="394" spans="1:10">
      <c r="A394" s="4" t="str">
        <f>'EN60'!A$3</f>
        <v>EN60</v>
      </c>
      <c r="B394" s="4">
        <f t="shared" si="37"/>
        <v>4</v>
      </c>
      <c r="C394" s="4">
        <f t="shared" si="38"/>
        <v>61</v>
      </c>
      <c r="D394" s="4">
        <f t="shared" si="32"/>
        <v>8</v>
      </c>
      <c r="E394" s="4" t="s">
        <v>27</v>
      </c>
      <c r="F394" s="4">
        <f t="shared" si="33"/>
        <v>800</v>
      </c>
      <c r="G394" s="5">
        <f t="shared" si="39"/>
        <v>1.01</v>
      </c>
      <c r="H394" s="6" t="str">
        <f t="shared" si="34"/>
        <v>INSERT INTO public.coupon (plancode, age, "year", couponrate, benefittype, benefitrate, premiumrate) VALUES('EN60', 4, 61, 8, 'A',800, 1.01);</v>
      </c>
      <c r="I394" s="6" t="str">
        <f t="shared" si="35"/>
        <v>{"age":"4", "year":"61", "couponrate":"8", "benefittype":"A", "benefitrate":"800", "premiumrate":"1.01"}</v>
      </c>
      <c r="J394" s="6" t="str">
        <f t="shared" si="36"/>
        <v>,</v>
      </c>
    </row>
    <row r="395" spans="1:10">
      <c r="A395" s="4" t="str">
        <f>'EN60'!A$3</f>
        <v>EN60</v>
      </c>
      <c r="B395" s="4">
        <f t="shared" si="37"/>
        <v>4</v>
      </c>
      <c r="C395" s="4">
        <f t="shared" si="38"/>
        <v>62</v>
      </c>
      <c r="D395" s="4">
        <f t="shared" si="32"/>
        <v>8</v>
      </c>
      <c r="E395" s="4" t="s">
        <v>27</v>
      </c>
      <c r="F395" s="4">
        <f t="shared" si="33"/>
        <v>800</v>
      </c>
      <c r="G395" s="5">
        <f t="shared" si="39"/>
        <v>1.01</v>
      </c>
      <c r="H395" s="6" t="str">
        <f t="shared" si="34"/>
        <v>INSERT INTO public.coupon (plancode, age, "year", couponrate, benefittype, benefitrate, premiumrate) VALUES('EN60', 4, 62, 8, 'A',800, 1.01);</v>
      </c>
      <c r="I395" s="6" t="str">
        <f t="shared" si="35"/>
        <v>{"age":"4", "year":"62", "couponrate":"8", "benefittype":"A", "benefitrate":"800", "premiumrate":"1.01"}</v>
      </c>
      <c r="J395" s="6" t="str">
        <f t="shared" si="36"/>
        <v>,</v>
      </c>
    </row>
    <row r="396" spans="1:10">
      <c r="A396" s="4" t="str">
        <f>'EN60'!A$3</f>
        <v>EN60</v>
      </c>
      <c r="B396" s="4">
        <f t="shared" si="37"/>
        <v>4</v>
      </c>
      <c r="C396" s="4">
        <f t="shared" si="38"/>
        <v>63</v>
      </c>
      <c r="D396" s="4">
        <f t="shared" si="32"/>
        <v>8</v>
      </c>
      <c r="E396" s="4" t="s">
        <v>27</v>
      </c>
      <c r="F396" s="4">
        <f t="shared" si="33"/>
        <v>800</v>
      </c>
      <c r="G396" s="5">
        <f t="shared" si="39"/>
        <v>1.01</v>
      </c>
      <c r="H396" s="6" t="str">
        <f t="shared" si="34"/>
        <v>INSERT INTO public.coupon (plancode, age, "year", couponrate, benefittype, benefitrate, premiumrate) VALUES('EN60', 4, 63, 8, 'A',800, 1.01);</v>
      </c>
      <c r="I396" s="6" t="str">
        <f t="shared" si="35"/>
        <v>{"age":"4", "year":"63", "couponrate":"8", "benefittype":"A", "benefitrate":"800", "premiumrate":"1.01"}</v>
      </c>
      <c r="J396" s="6" t="str">
        <f t="shared" si="36"/>
        <v>,</v>
      </c>
    </row>
    <row r="397" spans="1:10">
      <c r="A397" s="4" t="str">
        <f>'EN60'!A$3</f>
        <v>EN60</v>
      </c>
      <c r="B397" s="4">
        <f t="shared" si="37"/>
        <v>4</v>
      </c>
      <c r="C397" s="4">
        <f t="shared" si="38"/>
        <v>64</v>
      </c>
      <c r="D397" s="4">
        <f t="shared" si="32"/>
        <v>8</v>
      </c>
      <c r="E397" s="4" t="s">
        <v>27</v>
      </c>
      <c r="F397" s="4">
        <f t="shared" si="33"/>
        <v>800</v>
      </c>
      <c r="G397" s="5">
        <f t="shared" si="39"/>
        <v>1.01</v>
      </c>
      <c r="H397" s="6" t="str">
        <f t="shared" si="34"/>
        <v>INSERT INTO public.coupon (plancode, age, "year", couponrate, benefittype, benefitrate, premiumrate) VALUES('EN60', 4, 64, 8, 'A',800, 1.01);</v>
      </c>
      <c r="I397" s="6" t="str">
        <f t="shared" si="35"/>
        <v>{"age":"4", "year":"64", "couponrate":"8", "benefittype":"A", "benefitrate":"800", "premiumrate":"1.01"}</v>
      </c>
      <c r="J397" s="6" t="str">
        <f t="shared" si="36"/>
        <v>,</v>
      </c>
    </row>
    <row r="398" spans="1:10">
      <c r="A398" s="4" t="str">
        <f>'EN60'!A$3</f>
        <v>EN60</v>
      </c>
      <c r="B398" s="4">
        <f t="shared" si="37"/>
        <v>4</v>
      </c>
      <c r="C398" s="4">
        <f t="shared" si="38"/>
        <v>65</v>
      </c>
      <c r="D398" s="4">
        <f t="shared" si="32"/>
        <v>8</v>
      </c>
      <c r="E398" s="4" t="s">
        <v>27</v>
      </c>
      <c r="F398" s="4">
        <f t="shared" si="33"/>
        <v>800</v>
      </c>
      <c r="G398" s="5">
        <f t="shared" si="39"/>
        <v>1.01</v>
      </c>
      <c r="H398" s="6" t="str">
        <f t="shared" si="34"/>
        <v>INSERT INTO public.coupon (plancode, age, "year", couponrate, benefittype, benefitrate, premiumrate) VALUES('EN60', 4, 65, 8, 'A',800, 1.01);</v>
      </c>
      <c r="I398" s="6" t="str">
        <f t="shared" si="35"/>
        <v>{"age":"4", "year":"65", "couponrate":"8", "benefittype":"A", "benefitrate":"800", "premiumrate":"1.01"}</v>
      </c>
      <c r="J398" s="6" t="str">
        <f t="shared" si="36"/>
        <v>,</v>
      </c>
    </row>
    <row r="399" spans="1:10">
      <c r="A399" s="4" t="str">
        <f>'EN60'!A$3</f>
        <v>EN60</v>
      </c>
      <c r="B399" s="4">
        <f t="shared" si="37"/>
        <v>4</v>
      </c>
      <c r="C399" s="4">
        <f t="shared" si="38"/>
        <v>66</v>
      </c>
      <c r="D399" s="4">
        <f t="shared" si="32"/>
        <v>8</v>
      </c>
      <c r="E399" s="4" t="s">
        <v>27</v>
      </c>
      <c r="F399" s="4">
        <f t="shared" si="33"/>
        <v>800</v>
      </c>
      <c r="G399" s="5">
        <f t="shared" si="39"/>
        <v>1.01</v>
      </c>
      <c r="H399" s="6" t="str">
        <f t="shared" si="34"/>
        <v>INSERT INTO public.coupon (plancode, age, "year", couponrate, benefittype, benefitrate, premiumrate) VALUES('EN60', 4, 66, 8, 'A',800, 1.01);</v>
      </c>
      <c r="I399" s="6" t="str">
        <f t="shared" si="35"/>
        <v>{"age":"4", "year":"66", "couponrate":"8", "benefittype":"A", "benefitrate":"800", "premiumrate":"1.01"}</v>
      </c>
      <c r="J399" s="6" t="str">
        <f t="shared" si="36"/>
        <v>,</v>
      </c>
    </row>
    <row r="400" spans="1:10">
      <c r="A400" s="4" t="str">
        <f>'EN60'!A$3</f>
        <v>EN60</v>
      </c>
      <c r="B400" s="4">
        <f t="shared" si="37"/>
        <v>4</v>
      </c>
      <c r="C400" s="4">
        <f t="shared" si="38"/>
        <v>67</v>
      </c>
      <c r="D400" s="4">
        <f t="shared" si="32"/>
        <v>8</v>
      </c>
      <c r="E400" s="4" t="s">
        <v>27</v>
      </c>
      <c r="F400" s="4">
        <f t="shared" si="33"/>
        <v>800</v>
      </c>
      <c r="G400" s="5">
        <f t="shared" si="39"/>
        <v>1.01</v>
      </c>
      <c r="H400" s="6" t="str">
        <f t="shared" si="34"/>
        <v>INSERT INTO public.coupon (plancode, age, "year", couponrate, benefittype, benefitrate, premiumrate) VALUES('EN60', 4, 67, 8, 'A',800, 1.01);</v>
      </c>
      <c r="I400" s="6" t="str">
        <f t="shared" si="35"/>
        <v>{"age":"4", "year":"67", "couponrate":"8", "benefittype":"A", "benefitrate":"800", "premiumrate":"1.01"}</v>
      </c>
      <c r="J400" s="6" t="str">
        <f t="shared" si="36"/>
        <v>,</v>
      </c>
    </row>
    <row r="401" spans="1:10">
      <c r="A401" s="4" t="str">
        <f>'EN60'!A$3</f>
        <v>EN60</v>
      </c>
      <c r="B401" s="4">
        <f t="shared" si="37"/>
        <v>4</v>
      </c>
      <c r="C401" s="4">
        <f t="shared" si="38"/>
        <v>68</v>
      </c>
      <c r="D401" s="4">
        <f t="shared" si="32"/>
        <v>8</v>
      </c>
      <c r="E401" s="4" t="s">
        <v>27</v>
      </c>
      <c r="F401" s="4">
        <f t="shared" si="33"/>
        <v>800</v>
      </c>
      <c r="G401" s="5">
        <f t="shared" si="39"/>
        <v>1.01</v>
      </c>
      <c r="H401" s="6" t="str">
        <f t="shared" si="34"/>
        <v>INSERT INTO public.coupon (plancode, age, "year", couponrate, benefittype, benefitrate, premiumrate) VALUES('EN60', 4, 68, 8, 'A',800, 1.01);</v>
      </c>
      <c r="I401" s="6" t="str">
        <f t="shared" si="35"/>
        <v>{"age":"4", "year":"68", "couponrate":"8", "benefittype":"A", "benefitrate":"800", "premiumrate":"1.01"}</v>
      </c>
      <c r="J401" s="6" t="str">
        <f t="shared" si="36"/>
        <v>,</v>
      </c>
    </row>
    <row r="402" spans="1:10">
      <c r="A402" s="4" t="str">
        <f>'EN60'!A$3</f>
        <v>EN60</v>
      </c>
      <c r="B402" s="4">
        <f t="shared" si="37"/>
        <v>4</v>
      </c>
      <c r="C402" s="4">
        <f t="shared" si="38"/>
        <v>69</v>
      </c>
      <c r="D402" s="4">
        <f t="shared" si="32"/>
        <v>8</v>
      </c>
      <c r="E402" s="4" t="s">
        <v>27</v>
      </c>
      <c r="F402" s="4">
        <f t="shared" si="33"/>
        <v>800</v>
      </c>
      <c r="G402" s="5">
        <f t="shared" si="39"/>
        <v>1.01</v>
      </c>
      <c r="H402" s="6" t="str">
        <f t="shared" si="34"/>
        <v>INSERT INTO public.coupon (plancode, age, "year", couponrate, benefittype, benefitrate, premiumrate) VALUES('EN60', 4, 69, 8, 'A',800, 1.01);</v>
      </c>
      <c r="I402" s="6" t="str">
        <f t="shared" si="35"/>
        <v>{"age":"4", "year":"69", "couponrate":"8", "benefittype":"A", "benefitrate":"800", "premiumrate":"1.01"}</v>
      </c>
      <c r="J402" s="6" t="str">
        <f t="shared" si="36"/>
        <v>,</v>
      </c>
    </row>
    <row r="403" spans="1:10">
      <c r="A403" s="4" t="str">
        <f>'EN60'!A$3</f>
        <v>EN60</v>
      </c>
      <c r="B403" s="4">
        <f t="shared" si="37"/>
        <v>4</v>
      </c>
      <c r="C403" s="4">
        <f t="shared" si="38"/>
        <v>70</v>
      </c>
      <c r="D403" s="4">
        <f t="shared" si="32"/>
        <v>8</v>
      </c>
      <c r="E403" s="4" t="s">
        <v>27</v>
      </c>
      <c r="F403" s="4">
        <f t="shared" si="33"/>
        <v>800</v>
      </c>
      <c r="G403" s="5">
        <f t="shared" si="39"/>
        <v>1.01</v>
      </c>
      <c r="H403" s="6" t="str">
        <f t="shared" si="34"/>
        <v>INSERT INTO public.coupon (plancode, age, "year", couponrate, benefittype, benefitrate, premiumrate) VALUES('EN60', 4, 70, 8, 'A',800, 1.01);</v>
      </c>
      <c r="I403" s="6" t="str">
        <f t="shared" si="35"/>
        <v>{"age":"4", "year":"70", "couponrate":"8", "benefittype":"A", "benefitrate":"800", "premiumrate":"1.01"}</v>
      </c>
      <c r="J403" s="6" t="str">
        <f t="shared" si="36"/>
        <v>,</v>
      </c>
    </row>
    <row r="404" spans="1:10">
      <c r="A404" s="4" t="str">
        <f>'EN60'!A$3</f>
        <v>EN60</v>
      </c>
      <c r="B404" s="4">
        <f t="shared" si="37"/>
        <v>4</v>
      </c>
      <c r="C404" s="4">
        <f t="shared" si="38"/>
        <v>71</v>
      </c>
      <c r="D404" s="4">
        <f t="shared" si="32"/>
        <v>8</v>
      </c>
      <c r="E404" s="4" t="s">
        <v>27</v>
      </c>
      <c r="F404" s="4">
        <f t="shared" si="33"/>
        <v>800</v>
      </c>
      <c r="G404" s="5">
        <f t="shared" si="39"/>
        <v>1.01</v>
      </c>
      <c r="H404" s="6" t="str">
        <f t="shared" si="34"/>
        <v>INSERT INTO public.coupon (plancode, age, "year", couponrate, benefittype, benefitrate, premiumrate) VALUES('EN60', 4, 71, 8, 'A',800, 1.01);</v>
      </c>
      <c r="I404" s="6" t="str">
        <f t="shared" si="35"/>
        <v>{"age":"4", "year":"71", "couponrate":"8", "benefittype":"A", "benefitrate":"800", "premiumrate":"1.01"}</v>
      </c>
      <c r="J404" s="6" t="str">
        <f t="shared" si="36"/>
        <v>,</v>
      </c>
    </row>
    <row r="405" spans="1:10">
      <c r="A405" s="4" t="str">
        <f>'EN60'!A$3</f>
        <v>EN60</v>
      </c>
      <c r="B405" s="4">
        <f t="shared" si="37"/>
        <v>4</v>
      </c>
      <c r="C405" s="4">
        <f t="shared" si="38"/>
        <v>72</v>
      </c>
      <c r="D405" s="4">
        <f t="shared" si="32"/>
        <v>8</v>
      </c>
      <c r="E405" s="4" t="s">
        <v>27</v>
      </c>
      <c r="F405" s="4">
        <f t="shared" si="33"/>
        <v>800</v>
      </c>
      <c r="G405" s="5">
        <f t="shared" si="39"/>
        <v>1.01</v>
      </c>
      <c r="H405" s="6" t="str">
        <f t="shared" si="34"/>
        <v>INSERT INTO public.coupon (plancode, age, "year", couponrate, benefittype, benefitrate, premiumrate) VALUES('EN60', 4, 72, 8, 'A',800, 1.01);</v>
      </c>
      <c r="I405" s="6" t="str">
        <f t="shared" si="35"/>
        <v>{"age":"4", "year":"72", "couponrate":"8", "benefittype":"A", "benefitrate":"800", "premiumrate":"1.01"}</v>
      </c>
      <c r="J405" s="6" t="str">
        <f t="shared" si="36"/>
        <v>,</v>
      </c>
    </row>
    <row r="406" spans="1:10">
      <c r="A406" s="4" t="str">
        <f>'EN60'!A$3</f>
        <v>EN60</v>
      </c>
      <c r="B406" s="4">
        <f t="shared" si="37"/>
        <v>4</v>
      </c>
      <c r="C406" s="4">
        <f t="shared" si="38"/>
        <v>73</v>
      </c>
      <c r="D406" s="4">
        <f t="shared" si="32"/>
        <v>8</v>
      </c>
      <c r="E406" s="4" t="s">
        <v>27</v>
      </c>
      <c r="F406" s="4">
        <f t="shared" si="33"/>
        <v>800</v>
      </c>
      <c r="G406" s="5">
        <f t="shared" si="39"/>
        <v>1.01</v>
      </c>
      <c r="H406" s="6" t="str">
        <f t="shared" si="34"/>
        <v>INSERT INTO public.coupon (plancode, age, "year", couponrate, benefittype, benefitrate, premiumrate) VALUES('EN60', 4, 73, 8, 'A',800, 1.01);</v>
      </c>
      <c r="I406" s="6" t="str">
        <f t="shared" si="35"/>
        <v>{"age":"4", "year":"73", "couponrate":"8", "benefittype":"A", "benefitrate":"800", "premiumrate":"1.01"}</v>
      </c>
      <c r="J406" s="6" t="str">
        <f t="shared" si="36"/>
        <v>,</v>
      </c>
    </row>
    <row r="407" spans="1:10">
      <c r="A407" s="4" t="str">
        <f>'EN60'!A$3</f>
        <v>EN60</v>
      </c>
      <c r="B407" s="4">
        <f t="shared" si="37"/>
        <v>4</v>
      </c>
      <c r="C407" s="4">
        <f t="shared" si="38"/>
        <v>74</v>
      </c>
      <c r="D407" s="4">
        <f t="shared" si="32"/>
        <v>8</v>
      </c>
      <c r="E407" s="4" t="s">
        <v>27</v>
      </c>
      <c r="F407" s="4">
        <f t="shared" si="33"/>
        <v>800</v>
      </c>
      <c r="G407" s="5">
        <f t="shared" si="39"/>
        <v>1.01</v>
      </c>
      <c r="H407" s="6" t="str">
        <f t="shared" si="34"/>
        <v>INSERT INTO public.coupon (plancode, age, "year", couponrate, benefittype, benefitrate, premiumrate) VALUES('EN60', 4, 74, 8, 'A',800, 1.01);</v>
      </c>
      <c r="I407" s="6" t="str">
        <f t="shared" si="35"/>
        <v>{"age":"4", "year":"74", "couponrate":"8", "benefittype":"A", "benefitrate":"800", "premiumrate":"1.01"}</v>
      </c>
      <c r="J407" s="6" t="str">
        <f t="shared" si="36"/>
        <v>,</v>
      </c>
    </row>
    <row r="408" spans="1:10">
      <c r="A408" s="4" t="str">
        <f>'EN60'!A$3</f>
        <v>EN60</v>
      </c>
      <c r="B408" s="4">
        <f t="shared" si="37"/>
        <v>4</v>
      </c>
      <c r="C408" s="4">
        <f t="shared" si="38"/>
        <v>75</v>
      </c>
      <c r="D408" s="4">
        <f t="shared" si="32"/>
        <v>8</v>
      </c>
      <c r="E408" s="4" t="s">
        <v>27</v>
      </c>
      <c r="F408" s="4">
        <f t="shared" si="33"/>
        <v>800</v>
      </c>
      <c r="G408" s="5">
        <f t="shared" si="39"/>
        <v>1.01</v>
      </c>
      <c r="H408" s="6" t="str">
        <f t="shared" si="34"/>
        <v>INSERT INTO public.coupon (plancode, age, "year", couponrate, benefittype, benefitrate, premiumrate) VALUES('EN60', 4, 75, 8, 'A',800, 1.01);</v>
      </c>
      <c r="I408" s="6" t="str">
        <f t="shared" si="35"/>
        <v>{"age":"4", "year":"75", "couponrate":"8", "benefittype":"A", "benefitrate":"800", "premiumrate":"1.01"}</v>
      </c>
      <c r="J408" s="6" t="str">
        <f t="shared" si="36"/>
        <v>,</v>
      </c>
    </row>
    <row r="409" spans="1:10">
      <c r="A409" s="4" t="str">
        <f>'EN60'!A$3</f>
        <v>EN60</v>
      </c>
      <c r="B409" s="4">
        <f t="shared" si="37"/>
        <v>4</v>
      </c>
      <c r="C409" s="4">
        <f t="shared" si="38"/>
        <v>76</v>
      </c>
      <c r="D409" s="4">
        <f t="shared" si="32"/>
        <v>0</v>
      </c>
      <c r="E409" s="4" t="s">
        <v>27</v>
      </c>
      <c r="F409" s="4">
        <f t="shared" si="33"/>
        <v>800</v>
      </c>
      <c r="G409" s="5">
        <f t="shared" si="39"/>
        <v>1.01</v>
      </c>
      <c r="H409" s="6" t="str">
        <f t="shared" si="34"/>
        <v>INSERT INTO public.coupon (plancode, age, "year", couponrate, benefittype, benefitrate, premiumrate) VALUES('EN60', 4, 76, 0, 'A',800, 1.01);</v>
      </c>
      <c r="I409" s="6" t="str">
        <f t="shared" si="35"/>
        <v>{"age":"4", "year":"76", "couponrate":"0", "benefittype":"A", "benefitrate":"800", "premiumrate":"1.01"}</v>
      </c>
    </row>
    <row r="410" spans="1:10">
      <c r="C410" s="6"/>
      <c r="I410" s="6" t="s">
        <v>28</v>
      </c>
    </row>
    <row r="411" spans="1:10">
      <c r="A411" s="3" t="s">
        <v>2</v>
      </c>
      <c r="B411" s="3" t="s">
        <v>23</v>
      </c>
      <c r="C411" s="3" t="s">
        <v>24</v>
      </c>
      <c r="D411" s="3" t="s">
        <v>25</v>
      </c>
      <c r="E411" s="3" t="s">
        <v>8</v>
      </c>
      <c r="F411" s="3" t="s">
        <v>26</v>
      </c>
      <c r="G411" s="3" t="s">
        <v>4</v>
      </c>
      <c r="I411" s="6" t="str">
        <f>"[{""plancode"":"""&amp;A412&amp;""",""returncash"":"""&amp;B$7&amp;""",""ytable"":"""&amp;C$7&amp;""",""maturerate"":"""&amp;B$3&amp;""",""maturepmrate"":"""&amp;C$3&amp;""",""coupon"":["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412" spans="1:10">
      <c r="A412" s="4" t="str">
        <f>'EN60'!A$3</f>
        <v>EN60</v>
      </c>
      <c r="B412" s="8">
        <v>5</v>
      </c>
      <c r="C412" s="4">
        <v>1</v>
      </c>
      <c r="D412" s="4">
        <f t="shared" ref="D412:D486" si="40">IF(C412+B412=80,0,8)</f>
        <v>8</v>
      </c>
      <c r="E412" s="4" t="s">
        <v>27</v>
      </c>
      <c r="F412" s="4">
        <f t="shared" ref="F412:F486" si="41">IF(C412&gt;7, 800, C412*100)</f>
        <v>100</v>
      </c>
      <c r="G412" s="5">
        <f>'EN60'!C$3</f>
        <v>1.01</v>
      </c>
      <c r="H412" s="6" t="str">
        <f t="shared" ref="H412:H486" si="42">"INSERT INTO public.coupon ("&amp;A$11&amp;", "&amp;B$11&amp;", """&amp;C$11&amp;""", "&amp;D$11&amp;", "&amp;E$11&amp;", "&amp;F$11&amp;", "&amp;G$11&amp;") VALUES('"&amp;A412&amp;"', "&amp;B412&amp;", "&amp;C412&amp;", "&amp;D412&amp;", '"&amp;E412&amp;"',"&amp;F412&amp;", "&amp;G412&amp;");"</f>
        <v>INSERT INTO public.coupon (plancode, age, "year", couponrate, benefittype, benefitrate, premiumrate) VALUES('EN60', 5, 1, 8, 'A',100, 1.01);</v>
      </c>
      <c r="I412" s="6" t="str">
        <f t="shared" ref="I412:I486" si="43">"{""age"":"""&amp;B412&amp;""", ""year"":"""&amp;C412&amp;""", ""couponrate"":"""&amp;D412&amp;""", ""benefittype"":"""&amp;E412&amp;""", ""benefitrate"":"""&amp;F412&amp;""", """&amp;G$11&amp;""":"""&amp;G412&amp;"""}"</f>
        <v>{"age":"5", "year":"1", "couponrate":"8", "benefittype":"A", "benefitrate":"100", "premiumrate":"1.01"}</v>
      </c>
      <c r="J412" s="6" t="str">
        <f t="shared" ref="J412:J485" si="44">IF(OR(I413="]", I412="[", I412="]"), "", ",")</f>
        <v>,</v>
      </c>
    </row>
    <row r="413" spans="1:10">
      <c r="A413" s="4" t="str">
        <f>'EN60'!A$3</f>
        <v>EN60</v>
      </c>
      <c r="B413" s="4">
        <f t="shared" ref="B413:B486" si="45">B412</f>
        <v>5</v>
      </c>
      <c r="C413" s="4">
        <f t="shared" ref="C413:C486" si="46">C412+1</f>
        <v>2</v>
      </c>
      <c r="D413" s="4">
        <f t="shared" si="40"/>
        <v>8</v>
      </c>
      <c r="E413" s="4" t="s">
        <v>27</v>
      </c>
      <c r="F413" s="4">
        <f t="shared" si="41"/>
        <v>200</v>
      </c>
      <c r="G413" s="5">
        <f t="shared" ref="G413:G486" si="47">G412</f>
        <v>1.01</v>
      </c>
      <c r="H413" s="6" t="str">
        <f t="shared" si="42"/>
        <v>INSERT INTO public.coupon (plancode, age, "year", couponrate, benefittype, benefitrate, premiumrate) VALUES('EN60', 5, 2, 8, 'A',200, 1.01);</v>
      </c>
      <c r="I413" s="6" t="str">
        <f t="shared" si="43"/>
        <v>{"age":"5", "year":"2", "couponrate":"8", "benefittype":"A", "benefitrate":"200", "premiumrate":"1.01"}</v>
      </c>
      <c r="J413" s="6" t="str">
        <f t="shared" si="44"/>
        <v>,</v>
      </c>
    </row>
    <row r="414" spans="1:10">
      <c r="A414" s="4" t="str">
        <f>'EN60'!A$3</f>
        <v>EN60</v>
      </c>
      <c r="B414" s="4">
        <f t="shared" si="45"/>
        <v>5</v>
      </c>
      <c r="C414" s="4">
        <f t="shared" si="46"/>
        <v>3</v>
      </c>
      <c r="D414" s="4">
        <f t="shared" si="40"/>
        <v>8</v>
      </c>
      <c r="E414" s="4" t="s">
        <v>27</v>
      </c>
      <c r="F414" s="4">
        <f t="shared" si="41"/>
        <v>300</v>
      </c>
      <c r="G414" s="5">
        <f t="shared" si="47"/>
        <v>1.01</v>
      </c>
      <c r="H414" s="6" t="str">
        <f t="shared" si="42"/>
        <v>INSERT INTO public.coupon (plancode, age, "year", couponrate, benefittype, benefitrate, premiumrate) VALUES('EN60', 5, 3, 8, 'A',300, 1.01);</v>
      </c>
      <c r="I414" s="6" t="str">
        <f t="shared" si="43"/>
        <v>{"age":"5", "year":"3", "couponrate":"8", "benefittype":"A", "benefitrate":"300", "premiumrate":"1.01"}</v>
      </c>
      <c r="J414" s="6" t="str">
        <f t="shared" si="44"/>
        <v>,</v>
      </c>
    </row>
    <row r="415" spans="1:10">
      <c r="A415" s="4" t="str">
        <f>'EN60'!A$3</f>
        <v>EN60</v>
      </c>
      <c r="B415" s="4">
        <f t="shared" si="45"/>
        <v>5</v>
      </c>
      <c r="C415" s="4">
        <f t="shared" si="46"/>
        <v>4</v>
      </c>
      <c r="D415" s="4">
        <f t="shared" si="40"/>
        <v>8</v>
      </c>
      <c r="E415" s="4" t="s">
        <v>27</v>
      </c>
      <c r="F415" s="4">
        <f t="shared" si="41"/>
        <v>400</v>
      </c>
      <c r="G415" s="5">
        <f t="shared" si="47"/>
        <v>1.01</v>
      </c>
      <c r="H415" s="6" t="str">
        <f t="shared" si="42"/>
        <v>INSERT INTO public.coupon (plancode, age, "year", couponrate, benefittype, benefitrate, premiumrate) VALUES('EN60', 5, 4, 8, 'A',400, 1.01);</v>
      </c>
      <c r="I415" s="6" t="str">
        <f t="shared" si="43"/>
        <v>{"age":"5", "year":"4", "couponrate":"8", "benefittype":"A", "benefitrate":"400", "premiumrate":"1.01"}</v>
      </c>
      <c r="J415" s="6" t="str">
        <f t="shared" si="44"/>
        <v>,</v>
      </c>
    </row>
    <row r="416" spans="1:10">
      <c r="A416" s="4" t="str">
        <f>'EN60'!A$3</f>
        <v>EN60</v>
      </c>
      <c r="B416" s="4">
        <f t="shared" si="45"/>
        <v>5</v>
      </c>
      <c r="C416" s="4">
        <f t="shared" si="46"/>
        <v>5</v>
      </c>
      <c r="D416" s="4">
        <f t="shared" si="40"/>
        <v>8</v>
      </c>
      <c r="E416" s="4" t="s">
        <v>27</v>
      </c>
      <c r="F416" s="4">
        <f t="shared" si="41"/>
        <v>500</v>
      </c>
      <c r="G416" s="5">
        <f t="shared" si="47"/>
        <v>1.01</v>
      </c>
      <c r="H416" s="6" t="str">
        <f t="shared" si="42"/>
        <v>INSERT INTO public.coupon (plancode, age, "year", couponrate, benefittype, benefitrate, premiumrate) VALUES('EN60', 5, 5, 8, 'A',500, 1.01);</v>
      </c>
      <c r="I416" s="6" t="str">
        <f t="shared" si="43"/>
        <v>{"age":"5", "year":"5", "couponrate":"8", "benefittype":"A", "benefitrate":"500", "premiumrate":"1.01"}</v>
      </c>
      <c r="J416" s="6" t="str">
        <f t="shared" si="44"/>
        <v>,</v>
      </c>
    </row>
    <row r="417" spans="1:10">
      <c r="A417" s="4" t="str">
        <f>'EN60'!A$3</f>
        <v>EN60</v>
      </c>
      <c r="B417" s="4">
        <f t="shared" si="45"/>
        <v>5</v>
      </c>
      <c r="C417" s="4">
        <f t="shared" si="46"/>
        <v>6</v>
      </c>
      <c r="D417" s="4">
        <f t="shared" si="40"/>
        <v>8</v>
      </c>
      <c r="E417" s="4" t="s">
        <v>27</v>
      </c>
      <c r="F417" s="4">
        <f t="shared" si="41"/>
        <v>600</v>
      </c>
      <c r="G417" s="5">
        <f t="shared" si="47"/>
        <v>1.01</v>
      </c>
      <c r="H417" s="6" t="str">
        <f t="shared" si="42"/>
        <v>INSERT INTO public.coupon (plancode, age, "year", couponrate, benefittype, benefitrate, premiumrate) VALUES('EN60', 5, 6, 8, 'A',600, 1.01);</v>
      </c>
      <c r="I417" s="6" t="str">
        <f t="shared" si="43"/>
        <v>{"age":"5", "year":"6", "couponrate":"8", "benefittype":"A", "benefitrate":"600", "premiumrate":"1.01"}</v>
      </c>
      <c r="J417" s="6" t="str">
        <f t="shared" si="44"/>
        <v>,</v>
      </c>
    </row>
    <row r="418" spans="1:10">
      <c r="A418" s="4" t="str">
        <f>'EN60'!A$3</f>
        <v>EN60</v>
      </c>
      <c r="B418" s="4">
        <f t="shared" si="45"/>
        <v>5</v>
      </c>
      <c r="C418" s="4">
        <f t="shared" si="46"/>
        <v>7</v>
      </c>
      <c r="D418" s="4">
        <f t="shared" si="40"/>
        <v>8</v>
      </c>
      <c r="E418" s="4" t="s">
        <v>27</v>
      </c>
      <c r="F418" s="4">
        <f t="shared" si="41"/>
        <v>700</v>
      </c>
      <c r="G418" s="5">
        <f t="shared" si="47"/>
        <v>1.01</v>
      </c>
      <c r="H418" s="6" t="str">
        <f t="shared" si="42"/>
        <v>INSERT INTO public.coupon (plancode, age, "year", couponrate, benefittype, benefitrate, premiumrate) VALUES('EN60', 5, 7, 8, 'A',700, 1.01);</v>
      </c>
      <c r="I418" s="6" t="str">
        <f t="shared" si="43"/>
        <v>{"age":"5", "year":"7", "couponrate":"8", "benefittype":"A", "benefitrate":"700", "premiumrate":"1.01"}</v>
      </c>
      <c r="J418" s="6" t="str">
        <f t="shared" si="44"/>
        <v>,</v>
      </c>
    </row>
    <row r="419" spans="1:10">
      <c r="A419" s="4" t="str">
        <f>'EN60'!A$3</f>
        <v>EN60</v>
      </c>
      <c r="B419" s="4">
        <f t="shared" si="45"/>
        <v>5</v>
      </c>
      <c r="C419" s="4">
        <f t="shared" si="46"/>
        <v>8</v>
      </c>
      <c r="D419" s="4">
        <f t="shared" si="40"/>
        <v>8</v>
      </c>
      <c r="E419" s="4" t="s">
        <v>27</v>
      </c>
      <c r="F419" s="4">
        <f t="shared" si="41"/>
        <v>800</v>
      </c>
      <c r="G419" s="5">
        <f t="shared" si="47"/>
        <v>1.01</v>
      </c>
      <c r="H419" s="6" t="str">
        <f t="shared" si="42"/>
        <v>INSERT INTO public.coupon (plancode, age, "year", couponrate, benefittype, benefitrate, premiumrate) VALUES('EN60', 5, 8, 8, 'A',800, 1.01);</v>
      </c>
      <c r="I419" s="6" t="str">
        <f t="shared" si="43"/>
        <v>{"age":"5", "year":"8", "couponrate":"8", "benefittype":"A", "benefitrate":"800", "premiumrate":"1.01"}</v>
      </c>
      <c r="J419" s="6" t="str">
        <f t="shared" si="44"/>
        <v>,</v>
      </c>
    </row>
    <row r="420" spans="1:10">
      <c r="A420" s="4" t="str">
        <f>'EN60'!A$3</f>
        <v>EN60</v>
      </c>
      <c r="B420" s="4">
        <f t="shared" si="45"/>
        <v>5</v>
      </c>
      <c r="C420" s="4">
        <f t="shared" si="46"/>
        <v>9</v>
      </c>
      <c r="D420" s="4">
        <f t="shared" si="40"/>
        <v>8</v>
      </c>
      <c r="E420" s="4" t="s">
        <v>27</v>
      </c>
      <c r="F420" s="4">
        <f t="shared" si="41"/>
        <v>800</v>
      </c>
      <c r="G420" s="5">
        <f t="shared" si="47"/>
        <v>1.01</v>
      </c>
      <c r="H420" s="6" t="str">
        <f t="shared" si="42"/>
        <v>INSERT INTO public.coupon (plancode, age, "year", couponrate, benefittype, benefitrate, premiumrate) VALUES('EN60', 5, 9, 8, 'A',800, 1.01);</v>
      </c>
      <c r="I420" s="6" t="str">
        <f t="shared" si="43"/>
        <v>{"age":"5", "year":"9", "couponrate":"8", "benefittype":"A", "benefitrate":"800", "premiumrate":"1.01"}</v>
      </c>
      <c r="J420" s="6" t="str">
        <f t="shared" si="44"/>
        <v>,</v>
      </c>
    </row>
    <row r="421" spans="1:10">
      <c r="A421" s="4" t="str">
        <f>'EN60'!A$3</f>
        <v>EN60</v>
      </c>
      <c r="B421" s="4">
        <f t="shared" si="45"/>
        <v>5</v>
      </c>
      <c r="C421" s="4">
        <f t="shared" si="46"/>
        <v>10</v>
      </c>
      <c r="D421" s="4">
        <f t="shared" si="40"/>
        <v>8</v>
      </c>
      <c r="E421" s="4" t="s">
        <v>27</v>
      </c>
      <c r="F421" s="4">
        <f t="shared" si="41"/>
        <v>800</v>
      </c>
      <c r="G421" s="5">
        <f t="shared" si="47"/>
        <v>1.01</v>
      </c>
      <c r="H421" s="6" t="str">
        <f t="shared" si="42"/>
        <v>INSERT INTO public.coupon (plancode, age, "year", couponrate, benefittype, benefitrate, premiumrate) VALUES('EN60', 5, 10, 8, 'A',800, 1.01);</v>
      </c>
      <c r="I421" s="6" t="str">
        <f t="shared" si="43"/>
        <v>{"age":"5", "year":"10", "couponrate":"8", "benefittype":"A", "benefitrate":"800", "premiumrate":"1.01"}</v>
      </c>
      <c r="J421" s="6" t="str">
        <f t="shared" si="44"/>
        <v>,</v>
      </c>
    </row>
    <row r="422" spans="1:10">
      <c r="A422" s="4" t="str">
        <f>'EN60'!A$3</f>
        <v>EN60</v>
      </c>
      <c r="B422" s="4">
        <f t="shared" si="45"/>
        <v>5</v>
      </c>
      <c r="C422" s="4">
        <f t="shared" si="46"/>
        <v>11</v>
      </c>
      <c r="D422" s="4">
        <f t="shared" si="40"/>
        <v>8</v>
      </c>
      <c r="E422" s="4" t="s">
        <v>27</v>
      </c>
      <c r="F422" s="4">
        <f t="shared" si="41"/>
        <v>800</v>
      </c>
      <c r="G422" s="5">
        <f t="shared" si="47"/>
        <v>1.01</v>
      </c>
      <c r="H422" s="6" t="str">
        <f t="shared" si="42"/>
        <v>INSERT INTO public.coupon (plancode, age, "year", couponrate, benefittype, benefitrate, premiumrate) VALUES('EN60', 5, 11, 8, 'A',800, 1.01);</v>
      </c>
      <c r="I422" s="6" t="str">
        <f t="shared" si="43"/>
        <v>{"age":"5", "year":"11", "couponrate":"8", "benefittype":"A", "benefitrate":"800", "premiumrate":"1.01"}</v>
      </c>
      <c r="J422" s="6" t="str">
        <f t="shared" si="44"/>
        <v>,</v>
      </c>
    </row>
    <row r="423" spans="1:10">
      <c r="A423" s="4" t="str">
        <f>'EN60'!A$3</f>
        <v>EN60</v>
      </c>
      <c r="B423" s="4">
        <f t="shared" si="45"/>
        <v>5</v>
      </c>
      <c r="C423" s="4">
        <f t="shared" si="46"/>
        <v>12</v>
      </c>
      <c r="D423" s="4">
        <f t="shared" si="40"/>
        <v>8</v>
      </c>
      <c r="E423" s="4" t="s">
        <v>27</v>
      </c>
      <c r="F423" s="4">
        <f t="shared" si="41"/>
        <v>800</v>
      </c>
      <c r="G423" s="5">
        <f t="shared" si="47"/>
        <v>1.01</v>
      </c>
      <c r="H423" s="6" t="str">
        <f t="shared" si="42"/>
        <v>INSERT INTO public.coupon (plancode, age, "year", couponrate, benefittype, benefitrate, premiumrate) VALUES('EN60', 5, 12, 8, 'A',800, 1.01);</v>
      </c>
      <c r="I423" s="6" t="str">
        <f t="shared" si="43"/>
        <v>{"age":"5", "year":"12", "couponrate":"8", "benefittype":"A", "benefitrate":"800", "premiumrate":"1.01"}</v>
      </c>
      <c r="J423" s="6" t="str">
        <f t="shared" si="44"/>
        <v>,</v>
      </c>
    </row>
    <row r="424" spans="1:10">
      <c r="A424" s="4" t="str">
        <f>'EN60'!A$3</f>
        <v>EN60</v>
      </c>
      <c r="B424" s="4">
        <f t="shared" si="45"/>
        <v>5</v>
      </c>
      <c r="C424" s="4">
        <f t="shared" si="46"/>
        <v>13</v>
      </c>
      <c r="D424" s="4">
        <f t="shared" si="40"/>
        <v>8</v>
      </c>
      <c r="E424" s="4" t="s">
        <v>27</v>
      </c>
      <c r="F424" s="4">
        <f t="shared" si="41"/>
        <v>800</v>
      </c>
      <c r="G424" s="5">
        <f t="shared" si="47"/>
        <v>1.01</v>
      </c>
      <c r="H424" s="6" t="str">
        <f t="shared" si="42"/>
        <v>INSERT INTO public.coupon (plancode, age, "year", couponrate, benefittype, benefitrate, premiumrate) VALUES('EN60', 5, 13, 8, 'A',800, 1.01);</v>
      </c>
      <c r="I424" s="6" t="str">
        <f t="shared" si="43"/>
        <v>{"age":"5", "year":"13", "couponrate":"8", "benefittype":"A", "benefitrate":"800", "premiumrate":"1.01"}</v>
      </c>
      <c r="J424" s="6" t="str">
        <f t="shared" si="44"/>
        <v>,</v>
      </c>
    </row>
    <row r="425" spans="1:10">
      <c r="A425" s="4" t="str">
        <f>'EN60'!A$3</f>
        <v>EN60</v>
      </c>
      <c r="B425" s="4">
        <f t="shared" si="45"/>
        <v>5</v>
      </c>
      <c r="C425" s="4">
        <f t="shared" si="46"/>
        <v>14</v>
      </c>
      <c r="D425" s="4">
        <f t="shared" si="40"/>
        <v>8</v>
      </c>
      <c r="E425" s="4" t="s">
        <v>27</v>
      </c>
      <c r="F425" s="4">
        <f t="shared" si="41"/>
        <v>800</v>
      </c>
      <c r="G425" s="5">
        <f t="shared" si="47"/>
        <v>1.01</v>
      </c>
      <c r="H425" s="6" t="str">
        <f t="shared" si="42"/>
        <v>INSERT INTO public.coupon (plancode, age, "year", couponrate, benefittype, benefitrate, premiumrate) VALUES('EN60', 5, 14, 8, 'A',800, 1.01);</v>
      </c>
      <c r="I425" s="6" t="str">
        <f t="shared" si="43"/>
        <v>{"age":"5", "year":"14", "couponrate":"8", "benefittype":"A", "benefitrate":"800", "premiumrate":"1.01"}</v>
      </c>
      <c r="J425" s="6" t="str">
        <f t="shared" si="44"/>
        <v>,</v>
      </c>
    </row>
    <row r="426" spans="1:10">
      <c r="A426" s="4" t="str">
        <f>'EN60'!A$3</f>
        <v>EN60</v>
      </c>
      <c r="B426" s="4">
        <f t="shared" si="45"/>
        <v>5</v>
      </c>
      <c r="C426" s="4">
        <f t="shared" si="46"/>
        <v>15</v>
      </c>
      <c r="D426" s="4">
        <f t="shared" si="40"/>
        <v>8</v>
      </c>
      <c r="E426" s="4" t="s">
        <v>27</v>
      </c>
      <c r="F426" s="4">
        <f t="shared" si="41"/>
        <v>800</v>
      </c>
      <c r="G426" s="5">
        <f t="shared" si="47"/>
        <v>1.01</v>
      </c>
      <c r="H426" s="6" t="str">
        <f t="shared" si="42"/>
        <v>INSERT INTO public.coupon (plancode, age, "year", couponrate, benefittype, benefitrate, premiumrate) VALUES('EN60', 5, 15, 8, 'A',800, 1.01);</v>
      </c>
      <c r="I426" s="6" t="str">
        <f t="shared" si="43"/>
        <v>{"age":"5", "year":"15", "couponrate":"8", "benefittype":"A", "benefitrate":"800", "premiumrate":"1.01"}</v>
      </c>
      <c r="J426" s="6" t="str">
        <f t="shared" si="44"/>
        <v>,</v>
      </c>
    </row>
    <row r="427" spans="1:10">
      <c r="A427" s="4" t="str">
        <f>'EN60'!A$3</f>
        <v>EN60</v>
      </c>
      <c r="B427" s="4">
        <f t="shared" si="45"/>
        <v>5</v>
      </c>
      <c r="C427" s="4">
        <f t="shared" si="46"/>
        <v>16</v>
      </c>
      <c r="D427" s="4">
        <f t="shared" si="40"/>
        <v>8</v>
      </c>
      <c r="E427" s="4" t="s">
        <v>27</v>
      </c>
      <c r="F427" s="4">
        <f t="shared" si="41"/>
        <v>800</v>
      </c>
      <c r="G427" s="5">
        <f t="shared" si="47"/>
        <v>1.01</v>
      </c>
      <c r="H427" s="6" t="str">
        <f t="shared" si="42"/>
        <v>INSERT INTO public.coupon (plancode, age, "year", couponrate, benefittype, benefitrate, premiumrate) VALUES('EN60', 5, 16, 8, 'A',800, 1.01);</v>
      </c>
      <c r="I427" s="6" t="str">
        <f t="shared" si="43"/>
        <v>{"age":"5", "year":"16", "couponrate":"8", "benefittype":"A", "benefitrate":"800", "premiumrate":"1.01"}</v>
      </c>
      <c r="J427" s="6" t="str">
        <f t="shared" si="44"/>
        <v>,</v>
      </c>
    </row>
    <row r="428" spans="1:10">
      <c r="A428" s="4" t="str">
        <f>'EN60'!A$3</f>
        <v>EN60</v>
      </c>
      <c r="B428" s="4">
        <f t="shared" si="45"/>
        <v>5</v>
      </c>
      <c r="C428" s="4">
        <f t="shared" si="46"/>
        <v>17</v>
      </c>
      <c r="D428" s="4">
        <f t="shared" si="40"/>
        <v>8</v>
      </c>
      <c r="E428" s="4" t="s">
        <v>27</v>
      </c>
      <c r="F428" s="4">
        <f t="shared" si="41"/>
        <v>800</v>
      </c>
      <c r="G428" s="5">
        <f t="shared" si="47"/>
        <v>1.01</v>
      </c>
      <c r="H428" s="6" t="str">
        <f t="shared" si="42"/>
        <v>INSERT INTO public.coupon (plancode, age, "year", couponrate, benefittype, benefitrate, premiumrate) VALUES('EN60', 5, 17, 8, 'A',800, 1.01);</v>
      </c>
      <c r="I428" s="6" t="str">
        <f t="shared" si="43"/>
        <v>{"age":"5", "year":"17", "couponrate":"8", "benefittype":"A", "benefitrate":"800", "premiumrate":"1.01"}</v>
      </c>
      <c r="J428" s="6" t="str">
        <f t="shared" si="44"/>
        <v>,</v>
      </c>
    </row>
    <row r="429" spans="1:10">
      <c r="A429" s="4" t="str">
        <f>'EN60'!A$3</f>
        <v>EN60</v>
      </c>
      <c r="B429" s="4">
        <f t="shared" si="45"/>
        <v>5</v>
      </c>
      <c r="C429" s="4">
        <f t="shared" si="46"/>
        <v>18</v>
      </c>
      <c r="D429" s="4">
        <f t="shared" si="40"/>
        <v>8</v>
      </c>
      <c r="E429" s="4" t="s">
        <v>27</v>
      </c>
      <c r="F429" s="4">
        <f t="shared" si="41"/>
        <v>800</v>
      </c>
      <c r="G429" s="5">
        <f t="shared" si="47"/>
        <v>1.01</v>
      </c>
      <c r="H429" s="6" t="str">
        <f t="shared" si="42"/>
        <v>INSERT INTO public.coupon (plancode, age, "year", couponrate, benefittype, benefitrate, premiumrate) VALUES('EN60', 5, 18, 8, 'A',800, 1.01);</v>
      </c>
      <c r="I429" s="6" t="str">
        <f t="shared" si="43"/>
        <v>{"age":"5", "year":"18", "couponrate":"8", "benefittype":"A", "benefitrate":"800", "premiumrate":"1.01"}</v>
      </c>
      <c r="J429" s="6" t="str">
        <f t="shared" si="44"/>
        <v>,</v>
      </c>
    </row>
    <row r="430" spans="1:10">
      <c r="A430" s="4" t="str">
        <f>'EN60'!A$3</f>
        <v>EN60</v>
      </c>
      <c r="B430" s="4">
        <f t="shared" si="45"/>
        <v>5</v>
      </c>
      <c r="C430" s="4">
        <f t="shared" si="46"/>
        <v>19</v>
      </c>
      <c r="D430" s="4">
        <f t="shared" si="40"/>
        <v>8</v>
      </c>
      <c r="E430" s="4" t="s">
        <v>27</v>
      </c>
      <c r="F430" s="4">
        <f t="shared" si="41"/>
        <v>800</v>
      </c>
      <c r="G430" s="5">
        <f t="shared" si="47"/>
        <v>1.01</v>
      </c>
      <c r="H430" s="6" t="str">
        <f t="shared" si="42"/>
        <v>INSERT INTO public.coupon (plancode, age, "year", couponrate, benefittype, benefitrate, premiumrate) VALUES('EN60', 5, 19, 8, 'A',800, 1.01);</v>
      </c>
      <c r="I430" s="6" t="str">
        <f t="shared" si="43"/>
        <v>{"age":"5", "year":"19", "couponrate":"8", "benefittype":"A", "benefitrate":"800", "premiumrate":"1.01"}</v>
      </c>
      <c r="J430" s="6" t="str">
        <f t="shared" si="44"/>
        <v>,</v>
      </c>
    </row>
    <row r="431" spans="1:10">
      <c r="A431" s="4" t="str">
        <f>'EN60'!A$3</f>
        <v>EN60</v>
      </c>
      <c r="B431" s="4">
        <f t="shared" si="45"/>
        <v>5</v>
      </c>
      <c r="C431" s="4">
        <f t="shared" si="46"/>
        <v>20</v>
      </c>
      <c r="D431" s="4">
        <f t="shared" si="40"/>
        <v>8</v>
      </c>
      <c r="E431" s="4" t="s">
        <v>27</v>
      </c>
      <c r="F431" s="4">
        <f t="shared" si="41"/>
        <v>800</v>
      </c>
      <c r="G431" s="5">
        <f t="shared" si="47"/>
        <v>1.01</v>
      </c>
      <c r="H431" s="6" t="str">
        <f t="shared" si="42"/>
        <v>INSERT INTO public.coupon (plancode, age, "year", couponrate, benefittype, benefitrate, premiumrate) VALUES('EN60', 5, 20, 8, 'A',800, 1.01);</v>
      </c>
      <c r="I431" s="6" t="str">
        <f t="shared" si="43"/>
        <v>{"age":"5", "year":"20", "couponrate":"8", "benefittype":"A", "benefitrate":"800", "premiumrate":"1.01"}</v>
      </c>
      <c r="J431" s="6" t="str">
        <f t="shared" si="44"/>
        <v>,</v>
      </c>
    </row>
    <row r="432" spans="1:10">
      <c r="A432" s="4" t="str">
        <f>'EN60'!A$3</f>
        <v>EN60</v>
      </c>
      <c r="B432" s="4">
        <f t="shared" si="45"/>
        <v>5</v>
      </c>
      <c r="C432" s="4">
        <f t="shared" si="46"/>
        <v>21</v>
      </c>
      <c r="D432" s="4">
        <f t="shared" si="40"/>
        <v>8</v>
      </c>
      <c r="E432" s="4" t="s">
        <v>27</v>
      </c>
      <c r="F432" s="4">
        <f t="shared" si="41"/>
        <v>800</v>
      </c>
      <c r="G432" s="5">
        <f t="shared" si="47"/>
        <v>1.01</v>
      </c>
      <c r="H432" s="6" t="str">
        <f t="shared" si="42"/>
        <v>INSERT INTO public.coupon (plancode, age, "year", couponrate, benefittype, benefitrate, premiumrate) VALUES('EN60', 5, 21, 8, 'A',800, 1.01);</v>
      </c>
      <c r="I432" s="6" t="str">
        <f t="shared" si="43"/>
        <v>{"age":"5", "year":"21", "couponrate":"8", "benefittype":"A", "benefitrate":"800", "premiumrate":"1.01"}</v>
      </c>
      <c r="J432" s="6" t="str">
        <f t="shared" si="44"/>
        <v>,</v>
      </c>
    </row>
    <row r="433" spans="1:10">
      <c r="A433" s="4" t="str">
        <f>'EN60'!A$3</f>
        <v>EN60</v>
      </c>
      <c r="B433" s="4">
        <f t="shared" si="45"/>
        <v>5</v>
      </c>
      <c r="C433" s="4">
        <f t="shared" si="46"/>
        <v>22</v>
      </c>
      <c r="D433" s="4">
        <f t="shared" si="40"/>
        <v>8</v>
      </c>
      <c r="E433" s="4" t="s">
        <v>27</v>
      </c>
      <c r="F433" s="4">
        <f t="shared" si="41"/>
        <v>800</v>
      </c>
      <c r="G433" s="5">
        <f t="shared" si="47"/>
        <v>1.01</v>
      </c>
      <c r="H433" s="6" t="str">
        <f t="shared" si="42"/>
        <v>INSERT INTO public.coupon (plancode, age, "year", couponrate, benefittype, benefitrate, premiumrate) VALUES('EN60', 5, 22, 8, 'A',800, 1.01);</v>
      </c>
      <c r="I433" s="6" t="str">
        <f t="shared" si="43"/>
        <v>{"age":"5", "year":"22", "couponrate":"8", "benefittype":"A", "benefitrate":"800", "premiumrate":"1.01"}</v>
      </c>
      <c r="J433" s="6" t="str">
        <f t="shared" si="44"/>
        <v>,</v>
      </c>
    </row>
    <row r="434" spans="1:10">
      <c r="A434" s="4" t="str">
        <f>'EN60'!A$3</f>
        <v>EN60</v>
      </c>
      <c r="B434" s="4">
        <f t="shared" si="45"/>
        <v>5</v>
      </c>
      <c r="C434" s="4">
        <f t="shared" si="46"/>
        <v>23</v>
      </c>
      <c r="D434" s="4">
        <f t="shared" si="40"/>
        <v>8</v>
      </c>
      <c r="E434" s="4" t="s">
        <v>27</v>
      </c>
      <c r="F434" s="4">
        <f t="shared" si="41"/>
        <v>800</v>
      </c>
      <c r="G434" s="5">
        <f t="shared" si="47"/>
        <v>1.01</v>
      </c>
      <c r="H434" s="6" t="str">
        <f t="shared" si="42"/>
        <v>INSERT INTO public.coupon (plancode, age, "year", couponrate, benefittype, benefitrate, premiumrate) VALUES('EN60', 5, 23, 8, 'A',800, 1.01);</v>
      </c>
      <c r="I434" s="6" t="str">
        <f t="shared" si="43"/>
        <v>{"age":"5", "year":"23", "couponrate":"8", "benefittype":"A", "benefitrate":"800", "premiumrate":"1.01"}</v>
      </c>
      <c r="J434" s="6" t="str">
        <f t="shared" si="44"/>
        <v>,</v>
      </c>
    </row>
    <row r="435" spans="1:10">
      <c r="A435" s="4" t="str">
        <f>'EN60'!A$3</f>
        <v>EN60</v>
      </c>
      <c r="B435" s="4">
        <f t="shared" si="45"/>
        <v>5</v>
      </c>
      <c r="C435" s="4">
        <f t="shared" si="46"/>
        <v>24</v>
      </c>
      <c r="D435" s="4">
        <f t="shared" si="40"/>
        <v>8</v>
      </c>
      <c r="E435" s="4" t="s">
        <v>27</v>
      </c>
      <c r="F435" s="4">
        <f t="shared" si="41"/>
        <v>800</v>
      </c>
      <c r="G435" s="5">
        <f t="shared" si="47"/>
        <v>1.01</v>
      </c>
      <c r="H435" s="6" t="str">
        <f t="shared" si="42"/>
        <v>INSERT INTO public.coupon (plancode, age, "year", couponrate, benefittype, benefitrate, premiumrate) VALUES('EN60', 5, 24, 8, 'A',800, 1.01);</v>
      </c>
      <c r="I435" s="6" t="str">
        <f t="shared" si="43"/>
        <v>{"age":"5", "year":"24", "couponrate":"8", "benefittype":"A", "benefitrate":"800", "premiumrate":"1.01"}</v>
      </c>
      <c r="J435" s="6" t="str">
        <f t="shared" si="44"/>
        <v>,</v>
      </c>
    </row>
    <row r="436" spans="1:10">
      <c r="A436" s="4" t="str">
        <f>'EN60'!A$3</f>
        <v>EN60</v>
      </c>
      <c r="B436" s="4">
        <f t="shared" si="45"/>
        <v>5</v>
      </c>
      <c r="C436" s="4">
        <f t="shared" si="46"/>
        <v>25</v>
      </c>
      <c r="D436" s="4">
        <f t="shared" si="40"/>
        <v>8</v>
      </c>
      <c r="E436" s="4" t="s">
        <v>27</v>
      </c>
      <c r="F436" s="4">
        <f t="shared" si="41"/>
        <v>800</v>
      </c>
      <c r="G436" s="5">
        <f t="shared" si="47"/>
        <v>1.01</v>
      </c>
      <c r="H436" s="6" t="str">
        <f t="shared" si="42"/>
        <v>INSERT INTO public.coupon (plancode, age, "year", couponrate, benefittype, benefitrate, premiumrate) VALUES('EN60', 5, 25, 8, 'A',800, 1.01);</v>
      </c>
      <c r="I436" s="6" t="str">
        <f t="shared" si="43"/>
        <v>{"age":"5", "year":"25", "couponrate":"8", "benefittype":"A", "benefitrate":"800", "premiumrate":"1.01"}</v>
      </c>
      <c r="J436" s="6" t="str">
        <f t="shared" si="44"/>
        <v>,</v>
      </c>
    </row>
    <row r="437" spans="1:10">
      <c r="A437" s="4" t="str">
        <f>'EN60'!A$3</f>
        <v>EN60</v>
      </c>
      <c r="B437" s="4">
        <f t="shared" si="45"/>
        <v>5</v>
      </c>
      <c r="C437" s="4">
        <f t="shared" si="46"/>
        <v>26</v>
      </c>
      <c r="D437" s="4">
        <f t="shared" si="40"/>
        <v>8</v>
      </c>
      <c r="E437" s="4" t="s">
        <v>27</v>
      </c>
      <c r="F437" s="4">
        <f t="shared" si="41"/>
        <v>800</v>
      </c>
      <c r="G437" s="5">
        <f t="shared" si="47"/>
        <v>1.01</v>
      </c>
      <c r="H437" s="6" t="str">
        <f t="shared" si="42"/>
        <v>INSERT INTO public.coupon (plancode, age, "year", couponrate, benefittype, benefitrate, premiumrate) VALUES('EN60', 5, 26, 8, 'A',800, 1.01);</v>
      </c>
      <c r="I437" s="6" t="str">
        <f t="shared" si="43"/>
        <v>{"age":"5", "year":"26", "couponrate":"8", "benefittype":"A", "benefitrate":"800", "premiumrate":"1.01"}</v>
      </c>
      <c r="J437" s="6" t="str">
        <f t="shared" si="44"/>
        <v>,</v>
      </c>
    </row>
    <row r="438" spans="1:10">
      <c r="A438" s="4" t="str">
        <f>'EN60'!A$3</f>
        <v>EN60</v>
      </c>
      <c r="B438" s="4">
        <f t="shared" si="45"/>
        <v>5</v>
      </c>
      <c r="C438" s="4">
        <f t="shared" si="46"/>
        <v>27</v>
      </c>
      <c r="D438" s="4">
        <f t="shared" si="40"/>
        <v>8</v>
      </c>
      <c r="E438" s="4" t="s">
        <v>27</v>
      </c>
      <c r="F438" s="4">
        <f t="shared" si="41"/>
        <v>800</v>
      </c>
      <c r="G438" s="5">
        <f t="shared" si="47"/>
        <v>1.01</v>
      </c>
      <c r="H438" s="6" t="str">
        <f t="shared" si="42"/>
        <v>INSERT INTO public.coupon (plancode, age, "year", couponrate, benefittype, benefitrate, premiumrate) VALUES('EN60', 5, 27, 8, 'A',800, 1.01);</v>
      </c>
      <c r="I438" s="6" t="str">
        <f t="shared" si="43"/>
        <v>{"age":"5", "year":"27", "couponrate":"8", "benefittype":"A", "benefitrate":"800", "premiumrate":"1.01"}</v>
      </c>
      <c r="J438" s="6" t="str">
        <f t="shared" si="44"/>
        <v>,</v>
      </c>
    </row>
    <row r="439" spans="1:10">
      <c r="A439" s="4" t="str">
        <f>'EN60'!A$3</f>
        <v>EN60</v>
      </c>
      <c r="B439" s="4">
        <f t="shared" si="45"/>
        <v>5</v>
      </c>
      <c r="C439" s="4">
        <f t="shared" si="46"/>
        <v>28</v>
      </c>
      <c r="D439" s="4">
        <f t="shared" si="40"/>
        <v>8</v>
      </c>
      <c r="E439" s="4" t="s">
        <v>27</v>
      </c>
      <c r="F439" s="4">
        <f t="shared" si="41"/>
        <v>800</v>
      </c>
      <c r="G439" s="5">
        <f t="shared" si="47"/>
        <v>1.01</v>
      </c>
      <c r="H439" s="6" t="str">
        <f t="shared" si="42"/>
        <v>INSERT INTO public.coupon (plancode, age, "year", couponrate, benefittype, benefitrate, premiumrate) VALUES('EN60', 5, 28, 8, 'A',800, 1.01);</v>
      </c>
      <c r="I439" s="6" t="str">
        <f t="shared" si="43"/>
        <v>{"age":"5", "year":"28", "couponrate":"8", "benefittype":"A", "benefitrate":"800", "premiumrate":"1.01"}</v>
      </c>
      <c r="J439" s="6" t="str">
        <f t="shared" si="44"/>
        <v>,</v>
      </c>
    </row>
    <row r="440" spans="1:10">
      <c r="A440" s="4" t="str">
        <f>'EN60'!A$3</f>
        <v>EN60</v>
      </c>
      <c r="B440" s="4">
        <f t="shared" si="45"/>
        <v>5</v>
      </c>
      <c r="C440" s="4">
        <f t="shared" si="46"/>
        <v>29</v>
      </c>
      <c r="D440" s="4">
        <f t="shared" si="40"/>
        <v>8</v>
      </c>
      <c r="E440" s="4" t="s">
        <v>27</v>
      </c>
      <c r="F440" s="4">
        <f t="shared" si="41"/>
        <v>800</v>
      </c>
      <c r="G440" s="5">
        <f t="shared" si="47"/>
        <v>1.01</v>
      </c>
      <c r="H440" s="6" t="str">
        <f t="shared" si="42"/>
        <v>INSERT INTO public.coupon (plancode, age, "year", couponrate, benefittype, benefitrate, premiumrate) VALUES('EN60', 5, 29, 8, 'A',800, 1.01);</v>
      </c>
      <c r="I440" s="6" t="str">
        <f t="shared" si="43"/>
        <v>{"age":"5", "year":"29", "couponrate":"8", "benefittype":"A", "benefitrate":"800", "premiumrate":"1.01"}</v>
      </c>
      <c r="J440" s="6" t="str">
        <f t="shared" si="44"/>
        <v>,</v>
      </c>
    </row>
    <row r="441" spans="1:10">
      <c r="A441" s="4" t="str">
        <f>'EN60'!A$3</f>
        <v>EN60</v>
      </c>
      <c r="B441" s="4">
        <f t="shared" si="45"/>
        <v>5</v>
      </c>
      <c r="C441" s="4">
        <f t="shared" si="46"/>
        <v>30</v>
      </c>
      <c r="D441" s="4">
        <f t="shared" si="40"/>
        <v>8</v>
      </c>
      <c r="E441" s="4" t="s">
        <v>27</v>
      </c>
      <c r="F441" s="4">
        <f t="shared" si="41"/>
        <v>800</v>
      </c>
      <c r="G441" s="5">
        <f t="shared" si="47"/>
        <v>1.01</v>
      </c>
      <c r="H441" s="6" t="str">
        <f t="shared" si="42"/>
        <v>INSERT INTO public.coupon (plancode, age, "year", couponrate, benefittype, benefitrate, premiumrate) VALUES('EN60', 5, 30, 8, 'A',800, 1.01);</v>
      </c>
      <c r="I441" s="6" t="str">
        <f t="shared" si="43"/>
        <v>{"age":"5", "year":"30", "couponrate":"8", "benefittype":"A", "benefitrate":"800", "premiumrate":"1.01"}</v>
      </c>
      <c r="J441" s="6" t="str">
        <f t="shared" si="44"/>
        <v>,</v>
      </c>
    </row>
    <row r="442" spans="1:10">
      <c r="A442" s="4" t="str">
        <f>'EN60'!A$3</f>
        <v>EN60</v>
      </c>
      <c r="B442" s="4">
        <f t="shared" si="45"/>
        <v>5</v>
      </c>
      <c r="C442" s="4">
        <f t="shared" si="46"/>
        <v>31</v>
      </c>
      <c r="D442" s="4">
        <f t="shared" si="40"/>
        <v>8</v>
      </c>
      <c r="E442" s="4" t="s">
        <v>27</v>
      </c>
      <c r="F442" s="4">
        <f t="shared" si="41"/>
        <v>800</v>
      </c>
      <c r="G442" s="5">
        <f t="shared" si="47"/>
        <v>1.01</v>
      </c>
      <c r="H442" s="6" t="str">
        <f t="shared" si="42"/>
        <v>INSERT INTO public.coupon (plancode, age, "year", couponrate, benefittype, benefitrate, premiumrate) VALUES('EN60', 5, 31, 8, 'A',800, 1.01);</v>
      </c>
      <c r="I442" s="6" t="str">
        <f t="shared" si="43"/>
        <v>{"age":"5", "year":"31", "couponrate":"8", "benefittype":"A", "benefitrate":"800", "premiumrate":"1.01"}</v>
      </c>
      <c r="J442" s="6" t="str">
        <f t="shared" si="44"/>
        <v>,</v>
      </c>
    </row>
    <row r="443" spans="1:10">
      <c r="A443" s="4" t="str">
        <f>'EN60'!A$3</f>
        <v>EN60</v>
      </c>
      <c r="B443" s="4">
        <f t="shared" si="45"/>
        <v>5</v>
      </c>
      <c r="C443" s="4">
        <f t="shared" si="46"/>
        <v>32</v>
      </c>
      <c r="D443" s="4">
        <f t="shared" si="40"/>
        <v>8</v>
      </c>
      <c r="E443" s="4" t="s">
        <v>27</v>
      </c>
      <c r="F443" s="4">
        <f t="shared" si="41"/>
        <v>800</v>
      </c>
      <c r="G443" s="5">
        <f t="shared" si="47"/>
        <v>1.01</v>
      </c>
      <c r="H443" s="6" t="str">
        <f t="shared" si="42"/>
        <v>INSERT INTO public.coupon (plancode, age, "year", couponrate, benefittype, benefitrate, premiumrate) VALUES('EN60', 5, 32, 8, 'A',800, 1.01);</v>
      </c>
      <c r="I443" s="6" t="str">
        <f t="shared" si="43"/>
        <v>{"age":"5", "year":"32", "couponrate":"8", "benefittype":"A", "benefitrate":"800", "premiumrate":"1.01"}</v>
      </c>
      <c r="J443" s="6" t="str">
        <f t="shared" si="44"/>
        <v>,</v>
      </c>
    </row>
    <row r="444" spans="1:10">
      <c r="A444" s="4" t="str">
        <f>'EN60'!A$3</f>
        <v>EN60</v>
      </c>
      <c r="B444" s="4">
        <f t="shared" si="45"/>
        <v>5</v>
      </c>
      <c r="C444" s="4">
        <f t="shared" si="46"/>
        <v>33</v>
      </c>
      <c r="D444" s="4">
        <f t="shared" si="40"/>
        <v>8</v>
      </c>
      <c r="E444" s="4" t="s">
        <v>27</v>
      </c>
      <c r="F444" s="4">
        <f t="shared" si="41"/>
        <v>800</v>
      </c>
      <c r="G444" s="5">
        <f t="shared" si="47"/>
        <v>1.01</v>
      </c>
      <c r="H444" s="6" t="str">
        <f t="shared" si="42"/>
        <v>INSERT INTO public.coupon (plancode, age, "year", couponrate, benefittype, benefitrate, premiumrate) VALUES('EN60', 5, 33, 8, 'A',800, 1.01);</v>
      </c>
      <c r="I444" s="6" t="str">
        <f t="shared" si="43"/>
        <v>{"age":"5", "year":"33", "couponrate":"8", "benefittype":"A", "benefitrate":"800", "premiumrate":"1.01"}</v>
      </c>
      <c r="J444" s="6" t="str">
        <f t="shared" si="44"/>
        <v>,</v>
      </c>
    </row>
    <row r="445" spans="1:10">
      <c r="A445" s="4" t="str">
        <f>'EN60'!A$3</f>
        <v>EN60</v>
      </c>
      <c r="B445" s="4">
        <f t="shared" si="45"/>
        <v>5</v>
      </c>
      <c r="C445" s="4">
        <f t="shared" si="46"/>
        <v>34</v>
      </c>
      <c r="D445" s="4">
        <f t="shared" si="40"/>
        <v>8</v>
      </c>
      <c r="E445" s="4" t="s">
        <v>27</v>
      </c>
      <c r="F445" s="4">
        <f t="shared" si="41"/>
        <v>800</v>
      </c>
      <c r="G445" s="5">
        <f t="shared" si="47"/>
        <v>1.01</v>
      </c>
      <c r="H445" s="6" t="str">
        <f t="shared" si="42"/>
        <v>INSERT INTO public.coupon (plancode, age, "year", couponrate, benefittype, benefitrate, premiumrate) VALUES('EN60', 5, 34, 8, 'A',800, 1.01);</v>
      </c>
      <c r="I445" s="6" t="str">
        <f t="shared" si="43"/>
        <v>{"age":"5", "year":"34", "couponrate":"8", "benefittype":"A", "benefitrate":"800", "premiumrate":"1.01"}</v>
      </c>
      <c r="J445" s="6" t="str">
        <f t="shared" si="44"/>
        <v>,</v>
      </c>
    </row>
    <row r="446" spans="1:10">
      <c r="A446" s="4" t="str">
        <f>'EN60'!A$3</f>
        <v>EN60</v>
      </c>
      <c r="B446" s="4">
        <f t="shared" si="45"/>
        <v>5</v>
      </c>
      <c r="C446" s="4">
        <f t="shared" si="46"/>
        <v>35</v>
      </c>
      <c r="D446" s="4">
        <f t="shared" si="40"/>
        <v>8</v>
      </c>
      <c r="E446" s="4" t="s">
        <v>27</v>
      </c>
      <c r="F446" s="4">
        <f t="shared" si="41"/>
        <v>800</v>
      </c>
      <c r="G446" s="5">
        <f t="shared" si="47"/>
        <v>1.01</v>
      </c>
      <c r="H446" s="6" t="str">
        <f t="shared" si="42"/>
        <v>INSERT INTO public.coupon (plancode, age, "year", couponrate, benefittype, benefitrate, premiumrate) VALUES('EN60', 5, 35, 8, 'A',800, 1.01);</v>
      </c>
      <c r="I446" s="6" t="str">
        <f t="shared" si="43"/>
        <v>{"age":"5", "year":"35", "couponrate":"8", "benefittype":"A", "benefitrate":"800", "premiumrate":"1.01"}</v>
      </c>
      <c r="J446" s="6" t="str">
        <f t="shared" si="44"/>
        <v>,</v>
      </c>
    </row>
    <row r="447" spans="1:10">
      <c r="A447" s="4" t="str">
        <f>'EN60'!A$3</f>
        <v>EN60</v>
      </c>
      <c r="B447" s="4">
        <f t="shared" si="45"/>
        <v>5</v>
      </c>
      <c r="C447" s="4">
        <f t="shared" si="46"/>
        <v>36</v>
      </c>
      <c r="D447" s="4">
        <f t="shared" si="40"/>
        <v>8</v>
      </c>
      <c r="E447" s="4" t="s">
        <v>27</v>
      </c>
      <c r="F447" s="4">
        <f t="shared" si="41"/>
        <v>800</v>
      </c>
      <c r="G447" s="5">
        <f t="shared" si="47"/>
        <v>1.01</v>
      </c>
      <c r="H447" s="6" t="str">
        <f t="shared" si="42"/>
        <v>INSERT INTO public.coupon (plancode, age, "year", couponrate, benefittype, benefitrate, premiumrate) VALUES('EN60', 5, 36, 8, 'A',800, 1.01);</v>
      </c>
      <c r="I447" s="6" t="str">
        <f t="shared" si="43"/>
        <v>{"age":"5", "year":"36", "couponrate":"8", "benefittype":"A", "benefitrate":"800", "premiumrate":"1.01"}</v>
      </c>
      <c r="J447" s="6" t="str">
        <f t="shared" si="44"/>
        <v>,</v>
      </c>
    </row>
    <row r="448" spans="1:10">
      <c r="A448" s="4" t="str">
        <f>'EN60'!A$3</f>
        <v>EN60</v>
      </c>
      <c r="B448" s="4">
        <f t="shared" si="45"/>
        <v>5</v>
      </c>
      <c r="C448" s="4">
        <f t="shared" si="46"/>
        <v>37</v>
      </c>
      <c r="D448" s="4">
        <f t="shared" si="40"/>
        <v>8</v>
      </c>
      <c r="E448" s="4" t="s">
        <v>27</v>
      </c>
      <c r="F448" s="4">
        <f t="shared" si="41"/>
        <v>800</v>
      </c>
      <c r="G448" s="5">
        <f t="shared" si="47"/>
        <v>1.01</v>
      </c>
      <c r="H448" s="6" t="str">
        <f t="shared" si="42"/>
        <v>INSERT INTO public.coupon (plancode, age, "year", couponrate, benefittype, benefitrate, premiumrate) VALUES('EN60', 5, 37, 8, 'A',800, 1.01);</v>
      </c>
      <c r="I448" s="6" t="str">
        <f t="shared" si="43"/>
        <v>{"age":"5", "year":"37", "couponrate":"8", "benefittype":"A", "benefitrate":"800", "premiumrate":"1.01"}</v>
      </c>
      <c r="J448" s="6" t="str">
        <f t="shared" si="44"/>
        <v>,</v>
      </c>
    </row>
    <row r="449" spans="1:10">
      <c r="A449" s="4" t="str">
        <f>'EN60'!A$3</f>
        <v>EN60</v>
      </c>
      <c r="B449" s="4">
        <f t="shared" si="45"/>
        <v>5</v>
      </c>
      <c r="C449" s="4">
        <f t="shared" si="46"/>
        <v>38</v>
      </c>
      <c r="D449" s="4">
        <f t="shared" si="40"/>
        <v>8</v>
      </c>
      <c r="E449" s="4" t="s">
        <v>27</v>
      </c>
      <c r="F449" s="4">
        <f t="shared" si="41"/>
        <v>800</v>
      </c>
      <c r="G449" s="5">
        <f t="shared" si="47"/>
        <v>1.01</v>
      </c>
      <c r="H449" s="6" t="str">
        <f t="shared" si="42"/>
        <v>INSERT INTO public.coupon (plancode, age, "year", couponrate, benefittype, benefitrate, premiumrate) VALUES('EN60', 5, 38, 8, 'A',800, 1.01);</v>
      </c>
      <c r="I449" s="6" t="str">
        <f t="shared" si="43"/>
        <v>{"age":"5", "year":"38", "couponrate":"8", "benefittype":"A", "benefitrate":"800", "premiumrate":"1.01"}</v>
      </c>
      <c r="J449" s="6" t="str">
        <f t="shared" si="44"/>
        <v>,</v>
      </c>
    </row>
    <row r="450" spans="1:10">
      <c r="A450" s="4" t="str">
        <f>'EN60'!A$3</f>
        <v>EN60</v>
      </c>
      <c r="B450" s="4">
        <f t="shared" si="45"/>
        <v>5</v>
      </c>
      <c r="C450" s="4">
        <f t="shared" si="46"/>
        <v>39</v>
      </c>
      <c r="D450" s="4">
        <f t="shared" si="40"/>
        <v>8</v>
      </c>
      <c r="E450" s="4" t="s">
        <v>27</v>
      </c>
      <c r="F450" s="4">
        <f t="shared" si="41"/>
        <v>800</v>
      </c>
      <c r="G450" s="5">
        <f t="shared" si="47"/>
        <v>1.01</v>
      </c>
      <c r="H450" s="6" t="str">
        <f t="shared" si="42"/>
        <v>INSERT INTO public.coupon (plancode, age, "year", couponrate, benefittype, benefitrate, premiumrate) VALUES('EN60', 5, 39, 8, 'A',800, 1.01);</v>
      </c>
      <c r="I450" s="6" t="str">
        <f t="shared" si="43"/>
        <v>{"age":"5", "year":"39", "couponrate":"8", "benefittype":"A", "benefitrate":"800", "premiumrate":"1.01"}</v>
      </c>
      <c r="J450" s="6" t="str">
        <f t="shared" si="44"/>
        <v>,</v>
      </c>
    </row>
    <row r="451" spans="1:10">
      <c r="A451" s="4" t="str">
        <f>'EN60'!A$3</f>
        <v>EN60</v>
      </c>
      <c r="B451" s="4">
        <f t="shared" si="45"/>
        <v>5</v>
      </c>
      <c r="C451" s="4">
        <f t="shared" si="46"/>
        <v>40</v>
      </c>
      <c r="D451" s="4">
        <f t="shared" si="40"/>
        <v>8</v>
      </c>
      <c r="E451" s="4" t="s">
        <v>27</v>
      </c>
      <c r="F451" s="4">
        <f t="shared" si="41"/>
        <v>800</v>
      </c>
      <c r="G451" s="5">
        <f t="shared" si="47"/>
        <v>1.01</v>
      </c>
      <c r="H451" s="6" t="str">
        <f t="shared" si="42"/>
        <v>INSERT INTO public.coupon (plancode, age, "year", couponrate, benefittype, benefitrate, premiumrate) VALUES('EN60', 5, 40, 8, 'A',800, 1.01);</v>
      </c>
      <c r="I451" s="6" t="str">
        <f t="shared" si="43"/>
        <v>{"age":"5", "year":"40", "couponrate":"8", "benefittype":"A", "benefitrate":"800", "premiumrate":"1.01"}</v>
      </c>
      <c r="J451" s="6" t="str">
        <f t="shared" si="44"/>
        <v>,</v>
      </c>
    </row>
    <row r="452" spans="1:10">
      <c r="A452" s="4" t="str">
        <f>'EN60'!A$3</f>
        <v>EN60</v>
      </c>
      <c r="B452" s="4">
        <f t="shared" si="45"/>
        <v>5</v>
      </c>
      <c r="C452" s="4">
        <f t="shared" si="46"/>
        <v>41</v>
      </c>
      <c r="D452" s="4">
        <f t="shared" si="40"/>
        <v>8</v>
      </c>
      <c r="E452" s="4" t="s">
        <v>27</v>
      </c>
      <c r="F452" s="4">
        <f t="shared" si="41"/>
        <v>800</v>
      </c>
      <c r="G452" s="5">
        <f t="shared" si="47"/>
        <v>1.01</v>
      </c>
      <c r="H452" s="6" t="str">
        <f t="shared" si="42"/>
        <v>INSERT INTO public.coupon (plancode, age, "year", couponrate, benefittype, benefitrate, premiumrate) VALUES('EN60', 5, 41, 8, 'A',800, 1.01);</v>
      </c>
      <c r="I452" s="6" t="str">
        <f t="shared" si="43"/>
        <v>{"age":"5", "year":"41", "couponrate":"8", "benefittype":"A", "benefitrate":"800", "premiumrate":"1.01"}</v>
      </c>
      <c r="J452" s="6" t="str">
        <f t="shared" si="44"/>
        <v>,</v>
      </c>
    </row>
    <row r="453" spans="1:10">
      <c r="A453" s="4" t="str">
        <f>'EN60'!A$3</f>
        <v>EN60</v>
      </c>
      <c r="B453" s="4">
        <f t="shared" si="45"/>
        <v>5</v>
      </c>
      <c r="C453" s="4">
        <f t="shared" si="46"/>
        <v>42</v>
      </c>
      <c r="D453" s="4">
        <f t="shared" si="40"/>
        <v>8</v>
      </c>
      <c r="E453" s="4" t="s">
        <v>27</v>
      </c>
      <c r="F453" s="4">
        <f t="shared" si="41"/>
        <v>800</v>
      </c>
      <c r="G453" s="5">
        <f t="shared" si="47"/>
        <v>1.01</v>
      </c>
      <c r="H453" s="6" t="str">
        <f t="shared" si="42"/>
        <v>INSERT INTO public.coupon (plancode, age, "year", couponrate, benefittype, benefitrate, premiumrate) VALUES('EN60', 5, 42, 8, 'A',800, 1.01);</v>
      </c>
      <c r="I453" s="6" t="str">
        <f t="shared" si="43"/>
        <v>{"age":"5", "year":"42", "couponrate":"8", "benefittype":"A", "benefitrate":"800", "premiumrate":"1.01"}</v>
      </c>
      <c r="J453" s="6" t="str">
        <f t="shared" si="44"/>
        <v>,</v>
      </c>
    </row>
    <row r="454" spans="1:10">
      <c r="A454" s="4" t="str">
        <f>'EN60'!A$3</f>
        <v>EN60</v>
      </c>
      <c r="B454" s="4">
        <f t="shared" si="45"/>
        <v>5</v>
      </c>
      <c r="C454" s="4">
        <f t="shared" si="46"/>
        <v>43</v>
      </c>
      <c r="D454" s="4">
        <f t="shared" si="40"/>
        <v>8</v>
      </c>
      <c r="E454" s="4" t="s">
        <v>27</v>
      </c>
      <c r="F454" s="4">
        <f t="shared" si="41"/>
        <v>800</v>
      </c>
      <c r="G454" s="5">
        <f t="shared" si="47"/>
        <v>1.01</v>
      </c>
      <c r="H454" s="6" t="str">
        <f t="shared" si="42"/>
        <v>INSERT INTO public.coupon (plancode, age, "year", couponrate, benefittype, benefitrate, premiumrate) VALUES('EN60', 5, 43, 8, 'A',800, 1.01);</v>
      </c>
      <c r="I454" s="6" t="str">
        <f t="shared" si="43"/>
        <v>{"age":"5", "year":"43", "couponrate":"8", "benefittype":"A", "benefitrate":"800", "premiumrate":"1.01"}</v>
      </c>
      <c r="J454" s="6" t="str">
        <f t="shared" si="44"/>
        <v>,</v>
      </c>
    </row>
    <row r="455" spans="1:10">
      <c r="A455" s="4" t="str">
        <f>'EN60'!A$3</f>
        <v>EN60</v>
      </c>
      <c r="B455" s="4">
        <f t="shared" si="45"/>
        <v>5</v>
      </c>
      <c r="C455" s="4">
        <f t="shared" si="46"/>
        <v>44</v>
      </c>
      <c r="D455" s="4">
        <f t="shared" si="40"/>
        <v>8</v>
      </c>
      <c r="E455" s="4" t="s">
        <v>27</v>
      </c>
      <c r="F455" s="4">
        <f t="shared" si="41"/>
        <v>800</v>
      </c>
      <c r="G455" s="5">
        <f t="shared" si="47"/>
        <v>1.01</v>
      </c>
      <c r="H455" s="6" t="str">
        <f t="shared" si="42"/>
        <v>INSERT INTO public.coupon (plancode, age, "year", couponrate, benefittype, benefitrate, premiumrate) VALUES('EN60', 5, 44, 8, 'A',800, 1.01);</v>
      </c>
      <c r="I455" s="6" t="str">
        <f t="shared" si="43"/>
        <v>{"age":"5", "year":"44", "couponrate":"8", "benefittype":"A", "benefitrate":"800", "premiumrate":"1.01"}</v>
      </c>
      <c r="J455" s="6" t="str">
        <f t="shared" si="44"/>
        <v>,</v>
      </c>
    </row>
    <row r="456" spans="1:10">
      <c r="A456" s="4" t="str">
        <f>'EN60'!A$3</f>
        <v>EN60</v>
      </c>
      <c r="B456" s="4">
        <f t="shared" si="45"/>
        <v>5</v>
      </c>
      <c r="C456" s="4">
        <f t="shared" si="46"/>
        <v>45</v>
      </c>
      <c r="D456" s="4">
        <f t="shared" si="40"/>
        <v>8</v>
      </c>
      <c r="E456" s="4" t="s">
        <v>27</v>
      </c>
      <c r="F456" s="4">
        <f t="shared" si="41"/>
        <v>800</v>
      </c>
      <c r="G456" s="5">
        <f t="shared" si="47"/>
        <v>1.01</v>
      </c>
      <c r="H456" s="6" t="str">
        <f t="shared" si="42"/>
        <v>INSERT INTO public.coupon (plancode, age, "year", couponrate, benefittype, benefitrate, premiumrate) VALUES('EN60', 5, 45, 8, 'A',800, 1.01);</v>
      </c>
      <c r="I456" s="6" t="str">
        <f t="shared" si="43"/>
        <v>{"age":"5", "year":"45", "couponrate":"8", "benefittype":"A", "benefitrate":"800", "premiumrate":"1.01"}</v>
      </c>
      <c r="J456" s="6" t="str">
        <f t="shared" si="44"/>
        <v>,</v>
      </c>
    </row>
    <row r="457" spans="1:10">
      <c r="A457" s="4" t="str">
        <f>'EN60'!A$3</f>
        <v>EN60</v>
      </c>
      <c r="B457" s="4">
        <f t="shared" si="45"/>
        <v>5</v>
      </c>
      <c r="C457" s="4">
        <f t="shared" si="46"/>
        <v>46</v>
      </c>
      <c r="D457" s="4">
        <f t="shared" si="40"/>
        <v>8</v>
      </c>
      <c r="E457" s="4" t="s">
        <v>27</v>
      </c>
      <c r="F457" s="4">
        <f t="shared" si="41"/>
        <v>800</v>
      </c>
      <c r="G457" s="5">
        <f t="shared" si="47"/>
        <v>1.01</v>
      </c>
      <c r="H457" s="6" t="str">
        <f t="shared" si="42"/>
        <v>INSERT INTO public.coupon (plancode, age, "year", couponrate, benefittype, benefitrate, premiumrate) VALUES('EN60', 5, 46, 8, 'A',800, 1.01);</v>
      </c>
      <c r="I457" s="6" t="str">
        <f t="shared" si="43"/>
        <v>{"age":"5", "year":"46", "couponrate":"8", "benefittype":"A", "benefitrate":"800", "premiumrate":"1.01"}</v>
      </c>
      <c r="J457" s="6" t="str">
        <f t="shared" si="44"/>
        <v>,</v>
      </c>
    </row>
    <row r="458" spans="1:10">
      <c r="A458" s="4" t="str">
        <f>'EN60'!A$3</f>
        <v>EN60</v>
      </c>
      <c r="B458" s="4">
        <f t="shared" si="45"/>
        <v>5</v>
      </c>
      <c r="C458" s="4">
        <f t="shared" si="46"/>
        <v>47</v>
      </c>
      <c r="D458" s="4">
        <f t="shared" si="40"/>
        <v>8</v>
      </c>
      <c r="E458" s="4" t="s">
        <v>27</v>
      </c>
      <c r="F458" s="4">
        <f t="shared" si="41"/>
        <v>800</v>
      </c>
      <c r="G458" s="5">
        <f t="shared" si="47"/>
        <v>1.01</v>
      </c>
      <c r="H458" s="6" t="str">
        <f t="shared" si="42"/>
        <v>INSERT INTO public.coupon (plancode, age, "year", couponrate, benefittype, benefitrate, premiumrate) VALUES('EN60', 5, 47, 8, 'A',800, 1.01);</v>
      </c>
      <c r="I458" s="6" t="str">
        <f t="shared" si="43"/>
        <v>{"age":"5", "year":"47", "couponrate":"8", "benefittype":"A", "benefitrate":"800", "premiumrate":"1.01"}</v>
      </c>
      <c r="J458" s="6" t="str">
        <f t="shared" si="44"/>
        <v>,</v>
      </c>
    </row>
    <row r="459" spans="1:10">
      <c r="A459" s="4" t="str">
        <f>'EN60'!A$3</f>
        <v>EN60</v>
      </c>
      <c r="B459" s="4">
        <f t="shared" si="45"/>
        <v>5</v>
      </c>
      <c r="C459" s="4">
        <f t="shared" si="46"/>
        <v>48</v>
      </c>
      <c r="D459" s="4">
        <f t="shared" si="40"/>
        <v>8</v>
      </c>
      <c r="E459" s="4" t="s">
        <v>27</v>
      </c>
      <c r="F459" s="4">
        <f t="shared" si="41"/>
        <v>800</v>
      </c>
      <c r="G459" s="5">
        <f t="shared" si="47"/>
        <v>1.01</v>
      </c>
      <c r="H459" s="6" t="str">
        <f t="shared" si="42"/>
        <v>INSERT INTO public.coupon (plancode, age, "year", couponrate, benefittype, benefitrate, premiumrate) VALUES('EN60', 5, 48, 8, 'A',800, 1.01);</v>
      </c>
      <c r="I459" s="6" t="str">
        <f t="shared" si="43"/>
        <v>{"age":"5", "year":"48", "couponrate":"8", "benefittype":"A", "benefitrate":"800", "premiumrate":"1.01"}</v>
      </c>
      <c r="J459" s="6" t="str">
        <f t="shared" si="44"/>
        <v>,</v>
      </c>
    </row>
    <row r="460" spans="1:10">
      <c r="A460" s="4" t="str">
        <f>'EN60'!A$3</f>
        <v>EN60</v>
      </c>
      <c r="B460" s="4">
        <f t="shared" si="45"/>
        <v>5</v>
      </c>
      <c r="C460" s="4">
        <f t="shared" si="46"/>
        <v>49</v>
      </c>
      <c r="D460" s="4">
        <f t="shared" si="40"/>
        <v>8</v>
      </c>
      <c r="E460" s="4" t="s">
        <v>27</v>
      </c>
      <c r="F460" s="4">
        <f t="shared" si="41"/>
        <v>800</v>
      </c>
      <c r="G460" s="5">
        <f t="shared" si="47"/>
        <v>1.01</v>
      </c>
      <c r="H460" s="6" t="str">
        <f t="shared" si="42"/>
        <v>INSERT INTO public.coupon (plancode, age, "year", couponrate, benefittype, benefitrate, premiumrate) VALUES('EN60', 5, 49, 8, 'A',800, 1.01);</v>
      </c>
      <c r="I460" s="6" t="str">
        <f t="shared" si="43"/>
        <v>{"age":"5", "year":"49", "couponrate":"8", "benefittype":"A", "benefitrate":"800", "premiumrate":"1.01"}</v>
      </c>
      <c r="J460" s="6" t="str">
        <f t="shared" si="44"/>
        <v>,</v>
      </c>
    </row>
    <row r="461" spans="1:10">
      <c r="A461" s="4" t="str">
        <f>'EN60'!A$3</f>
        <v>EN60</v>
      </c>
      <c r="B461" s="4">
        <f t="shared" si="45"/>
        <v>5</v>
      </c>
      <c r="C461" s="4">
        <f t="shared" si="46"/>
        <v>50</v>
      </c>
      <c r="D461" s="4">
        <f t="shared" si="40"/>
        <v>8</v>
      </c>
      <c r="E461" s="4" t="s">
        <v>27</v>
      </c>
      <c r="F461" s="4">
        <f t="shared" si="41"/>
        <v>800</v>
      </c>
      <c r="G461" s="5">
        <f t="shared" si="47"/>
        <v>1.01</v>
      </c>
      <c r="H461" s="6" t="str">
        <f t="shared" si="42"/>
        <v>INSERT INTO public.coupon (plancode, age, "year", couponrate, benefittype, benefitrate, premiumrate) VALUES('EN60', 5, 50, 8, 'A',800, 1.01);</v>
      </c>
      <c r="I461" s="6" t="str">
        <f t="shared" si="43"/>
        <v>{"age":"5", "year":"50", "couponrate":"8", "benefittype":"A", "benefitrate":"800", "premiumrate":"1.01"}</v>
      </c>
      <c r="J461" s="6" t="str">
        <f t="shared" si="44"/>
        <v>,</v>
      </c>
    </row>
    <row r="462" spans="1:10">
      <c r="A462" s="4" t="str">
        <f>'EN60'!A$3</f>
        <v>EN60</v>
      </c>
      <c r="B462" s="4">
        <f t="shared" si="45"/>
        <v>5</v>
      </c>
      <c r="C462" s="4">
        <f t="shared" si="46"/>
        <v>51</v>
      </c>
      <c r="D462" s="4">
        <f t="shared" si="40"/>
        <v>8</v>
      </c>
      <c r="E462" s="4" t="s">
        <v>27</v>
      </c>
      <c r="F462" s="4">
        <f t="shared" si="41"/>
        <v>800</v>
      </c>
      <c r="G462" s="5">
        <f t="shared" si="47"/>
        <v>1.01</v>
      </c>
      <c r="H462" s="6" t="str">
        <f t="shared" si="42"/>
        <v>INSERT INTO public.coupon (plancode, age, "year", couponrate, benefittype, benefitrate, premiumrate) VALUES('EN60', 5, 51, 8, 'A',800, 1.01);</v>
      </c>
      <c r="I462" s="6" t="str">
        <f t="shared" si="43"/>
        <v>{"age":"5", "year":"51", "couponrate":"8", "benefittype":"A", "benefitrate":"800", "premiumrate":"1.01"}</v>
      </c>
      <c r="J462" s="6" t="str">
        <f t="shared" si="44"/>
        <v>,</v>
      </c>
    </row>
    <row r="463" spans="1:10">
      <c r="A463" s="4" t="str">
        <f>'EN60'!A$3</f>
        <v>EN60</v>
      </c>
      <c r="B463" s="4">
        <f t="shared" si="45"/>
        <v>5</v>
      </c>
      <c r="C463" s="4">
        <f t="shared" si="46"/>
        <v>52</v>
      </c>
      <c r="D463" s="4">
        <f t="shared" si="40"/>
        <v>8</v>
      </c>
      <c r="E463" s="4" t="s">
        <v>27</v>
      </c>
      <c r="F463" s="4">
        <f t="shared" si="41"/>
        <v>800</v>
      </c>
      <c r="G463" s="5">
        <f t="shared" si="47"/>
        <v>1.01</v>
      </c>
      <c r="H463" s="6" t="str">
        <f t="shared" si="42"/>
        <v>INSERT INTO public.coupon (plancode, age, "year", couponrate, benefittype, benefitrate, premiumrate) VALUES('EN60', 5, 52, 8, 'A',800, 1.01);</v>
      </c>
      <c r="I463" s="6" t="str">
        <f t="shared" si="43"/>
        <v>{"age":"5", "year":"52", "couponrate":"8", "benefittype":"A", "benefitrate":"800", "premiumrate":"1.01"}</v>
      </c>
      <c r="J463" s="6" t="str">
        <f t="shared" si="44"/>
        <v>,</v>
      </c>
    </row>
    <row r="464" spans="1:10">
      <c r="A464" s="4" t="str">
        <f>'EN60'!A$3</f>
        <v>EN60</v>
      </c>
      <c r="B464" s="4">
        <f t="shared" si="45"/>
        <v>5</v>
      </c>
      <c r="C464" s="4">
        <f t="shared" si="46"/>
        <v>53</v>
      </c>
      <c r="D464" s="4">
        <f t="shared" si="40"/>
        <v>8</v>
      </c>
      <c r="E464" s="4" t="s">
        <v>27</v>
      </c>
      <c r="F464" s="4">
        <f t="shared" si="41"/>
        <v>800</v>
      </c>
      <c r="G464" s="5">
        <f t="shared" si="47"/>
        <v>1.01</v>
      </c>
      <c r="H464" s="6" t="str">
        <f t="shared" si="42"/>
        <v>INSERT INTO public.coupon (plancode, age, "year", couponrate, benefittype, benefitrate, premiumrate) VALUES('EN60', 5, 53, 8, 'A',800, 1.01);</v>
      </c>
      <c r="I464" s="6" t="str">
        <f t="shared" si="43"/>
        <v>{"age":"5", "year":"53", "couponrate":"8", "benefittype":"A", "benefitrate":"800", "premiumrate":"1.01"}</v>
      </c>
      <c r="J464" s="6" t="str">
        <f t="shared" si="44"/>
        <v>,</v>
      </c>
    </row>
    <row r="465" spans="1:10">
      <c r="A465" s="4" t="str">
        <f>'EN60'!A$3</f>
        <v>EN60</v>
      </c>
      <c r="B465" s="4">
        <f t="shared" si="45"/>
        <v>5</v>
      </c>
      <c r="C465" s="4">
        <f t="shared" si="46"/>
        <v>54</v>
      </c>
      <c r="D465" s="4">
        <f t="shared" si="40"/>
        <v>8</v>
      </c>
      <c r="E465" s="4" t="s">
        <v>27</v>
      </c>
      <c r="F465" s="4">
        <f t="shared" si="41"/>
        <v>800</v>
      </c>
      <c r="G465" s="5">
        <f t="shared" si="47"/>
        <v>1.01</v>
      </c>
      <c r="H465" s="6" t="str">
        <f t="shared" si="42"/>
        <v>INSERT INTO public.coupon (plancode, age, "year", couponrate, benefittype, benefitrate, premiumrate) VALUES('EN60', 5, 54, 8, 'A',800, 1.01);</v>
      </c>
      <c r="I465" s="6" t="str">
        <f t="shared" si="43"/>
        <v>{"age":"5", "year":"54", "couponrate":"8", "benefittype":"A", "benefitrate":"800", "premiumrate":"1.01"}</v>
      </c>
      <c r="J465" s="6" t="str">
        <f t="shared" si="44"/>
        <v>,</v>
      </c>
    </row>
    <row r="466" spans="1:10">
      <c r="A466" s="4" t="str">
        <f>'EN60'!A$3</f>
        <v>EN60</v>
      </c>
      <c r="B466" s="4">
        <f t="shared" si="45"/>
        <v>5</v>
      </c>
      <c r="C466" s="4">
        <f t="shared" si="46"/>
        <v>55</v>
      </c>
      <c r="D466" s="4">
        <f t="shared" si="40"/>
        <v>8</v>
      </c>
      <c r="E466" s="4" t="s">
        <v>27</v>
      </c>
      <c r="F466" s="4">
        <f t="shared" si="41"/>
        <v>800</v>
      </c>
      <c r="G466" s="5">
        <f t="shared" si="47"/>
        <v>1.01</v>
      </c>
      <c r="H466" s="6" t="str">
        <f t="shared" si="42"/>
        <v>INSERT INTO public.coupon (plancode, age, "year", couponrate, benefittype, benefitrate, premiumrate) VALUES('EN60', 5, 55, 8, 'A',800, 1.01);</v>
      </c>
      <c r="I466" s="6" t="str">
        <f t="shared" si="43"/>
        <v>{"age":"5", "year":"55", "couponrate":"8", "benefittype":"A", "benefitrate":"800", "premiumrate":"1.01"}</v>
      </c>
      <c r="J466" s="6" t="str">
        <f t="shared" si="44"/>
        <v>,</v>
      </c>
    </row>
    <row r="467" spans="1:10">
      <c r="A467" s="4" t="str">
        <f>'EN60'!A$3</f>
        <v>EN60</v>
      </c>
      <c r="B467" s="4">
        <f t="shared" si="45"/>
        <v>5</v>
      </c>
      <c r="C467" s="4">
        <f t="shared" si="46"/>
        <v>56</v>
      </c>
      <c r="D467" s="4">
        <f t="shared" si="40"/>
        <v>8</v>
      </c>
      <c r="E467" s="4" t="s">
        <v>27</v>
      </c>
      <c r="F467" s="4">
        <f t="shared" si="41"/>
        <v>800</v>
      </c>
      <c r="G467" s="5">
        <f t="shared" si="47"/>
        <v>1.01</v>
      </c>
      <c r="H467" s="6" t="str">
        <f t="shared" si="42"/>
        <v>INSERT INTO public.coupon (plancode, age, "year", couponrate, benefittype, benefitrate, premiumrate) VALUES('EN60', 5, 56, 8, 'A',800, 1.01);</v>
      </c>
      <c r="I467" s="6" t="str">
        <f t="shared" si="43"/>
        <v>{"age":"5", "year":"56", "couponrate":"8", "benefittype":"A", "benefitrate":"800", "premiumrate":"1.01"}</v>
      </c>
      <c r="J467" s="6" t="str">
        <f t="shared" si="44"/>
        <v>,</v>
      </c>
    </row>
    <row r="468" spans="1:10">
      <c r="A468" s="4" t="str">
        <f>'EN60'!A$3</f>
        <v>EN60</v>
      </c>
      <c r="B468" s="4">
        <f t="shared" si="45"/>
        <v>5</v>
      </c>
      <c r="C468" s="4">
        <f t="shared" si="46"/>
        <v>57</v>
      </c>
      <c r="D468" s="4">
        <f t="shared" si="40"/>
        <v>8</v>
      </c>
      <c r="E468" s="4" t="s">
        <v>27</v>
      </c>
      <c r="F468" s="4">
        <f t="shared" si="41"/>
        <v>800</v>
      </c>
      <c r="G468" s="5">
        <f t="shared" si="47"/>
        <v>1.01</v>
      </c>
      <c r="H468" s="6" t="str">
        <f t="shared" si="42"/>
        <v>INSERT INTO public.coupon (plancode, age, "year", couponrate, benefittype, benefitrate, premiumrate) VALUES('EN60', 5, 57, 8, 'A',800, 1.01);</v>
      </c>
      <c r="I468" s="6" t="str">
        <f t="shared" si="43"/>
        <v>{"age":"5", "year":"57", "couponrate":"8", "benefittype":"A", "benefitrate":"800", "premiumrate":"1.01"}</v>
      </c>
      <c r="J468" s="6" t="str">
        <f t="shared" si="44"/>
        <v>,</v>
      </c>
    </row>
    <row r="469" spans="1:10">
      <c r="A469" s="4" t="str">
        <f>'EN60'!A$3</f>
        <v>EN60</v>
      </c>
      <c r="B469" s="4">
        <f t="shared" si="45"/>
        <v>5</v>
      </c>
      <c r="C469" s="4">
        <f t="shared" si="46"/>
        <v>58</v>
      </c>
      <c r="D469" s="4">
        <f t="shared" si="40"/>
        <v>8</v>
      </c>
      <c r="E469" s="4" t="s">
        <v>27</v>
      </c>
      <c r="F469" s="4">
        <f t="shared" si="41"/>
        <v>800</v>
      </c>
      <c r="G469" s="5">
        <f t="shared" si="47"/>
        <v>1.01</v>
      </c>
      <c r="H469" s="6" t="str">
        <f t="shared" si="42"/>
        <v>INSERT INTO public.coupon (plancode, age, "year", couponrate, benefittype, benefitrate, premiumrate) VALUES('EN60', 5, 58, 8, 'A',800, 1.01);</v>
      </c>
      <c r="I469" s="6" t="str">
        <f t="shared" si="43"/>
        <v>{"age":"5", "year":"58", "couponrate":"8", "benefittype":"A", "benefitrate":"800", "premiumrate":"1.01"}</v>
      </c>
      <c r="J469" s="6" t="str">
        <f t="shared" si="44"/>
        <v>,</v>
      </c>
    </row>
    <row r="470" spans="1:10">
      <c r="A470" s="4" t="str">
        <f>'EN60'!A$3</f>
        <v>EN60</v>
      </c>
      <c r="B470" s="4">
        <f t="shared" si="45"/>
        <v>5</v>
      </c>
      <c r="C470" s="4">
        <f t="shared" si="46"/>
        <v>59</v>
      </c>
      <c r="D470" s="4">
        <f t="shared" si="40"/>
        <v>8</v>
      </c>
      <c r="E470" s="4" t="s">
        <v>27</v>
      </c>
      <c r="F470" s="4">
        <f t="shared" si="41"/>
        <v>800</v>
      </c>
      <c r="G470" s="5">
        <f t="shared" si="47"/>
        <v>1.01</v>
      </c>
      <c r="H470" s="6" t="str">
        <f t="shared" si="42"/>
        <v>INSERT INTO public.coupon (plancode, age, "year", couponrate, benefittype, benefitrate, premiumrate) VALUES('EN60', 5, 59, 8, 'A',800, 1.01);</v>
      </c>
      <c r="I470" s="6" t="str">
        <f t="shared" si="43"/>
        <v>{"age":"5", "year":"59", "couponrate":"8", "benefittype":"A", "benefitrate":"800", "premiumrate":"1.01"}</v>
      </c>
      <c r="J470" s="6" t="str">
        <f t="shared" si="44"/>
        <v>,</v>
      </c>
    </row>
    <row r="471" spans="1:10">
      <c r="A471" s="4" t="str">
        <f>'EN60'!A$3</f>
        <v>EN60</v>
      </c>
      <c r="B471" s="4">
        <f t="shared" si="45"/>
        <v>5</v>
      </c>
      <c r="C471" s="4">
        <f t="shared" si="46"/>
        <v>60</v>
      </c>
      <c r="D471" s="4">
        <f t="shared" si="40"/>
        <v>8</v>
      </c>
      <c r="E471" s="4" t="s">
        <v>27</v>
      </c>
      <c r="F471" s="4">
        <f t="shared" si="41"/>
        <v>800</v>
      </c>
      <c r="G471" s="5">
        <f t="shared" si="47"/>
        <v>1.01</v>
      </c>
      <c r="H471" s="6" t="str">
        <f t="shared" si="42"/>
        <v>INSERT INTO public.coupon (plancode, age, "year", couponrate, benefittype, benefitrate, premiumrate) VALUES('EN60', 5, 60, 8, 'A',800, 1.01);</v>
      </c>
      <c r="I471" s="6" t="str">
        <f t="shared" si="43"/>
        <v>{"age":"5", "year":"60", "couponrate":"8", "benefittype":"A", "benefitrate":"800", "premiumrate":"1.01"}</v>
      </c>
      <c r="J471" s="6" t="str">
        <f t="shared" si="44"/>
        <v>,</v>
      </c>
    </row>
    <row r="472" spans="1:10">
      <c r="A472" s="4" t="str">
        <f>'EN60'!A$3</f>
        <v>EN60</v>
      </c>
      <c r="B472" s="4">
        <f t="shared" si="45"/>
        <v>5</v>
      </c>
      <c r="C472" s="4">
        <f t="shared" si="46"/>
        <v>61</v>
      </c>
      <c r="D472" s="4">
        <f t="shared" si="40"/>
        <v>8</v>
      </c>
      <c r="E472" s="4" t="s">
        <v>27</v>
      </c>
      <c r="F472" s="4">
        <f t="shared" si="41"/>
        <v>800</v>
      </c>
      <c r="G472" s="5">
        <f t="shared" si="47"/>
        <v>1.01</v>
      </c>
      <c r="H472" s="6" t="str">
        <f t="shared" si="42"/>
        <v>INSERT INTO public.coupon (plancode, age, "year", couponrate, benefittype, benefitrate, premiumrate) VALUES('EN60', 5, 61, 8, 'A',800, 1.01);</v>
      </c>
      <c r="I472" s="6" t="str">
        <f t="shared" si="43"/>
        <v>{"age":"5", "year":"61", "couponrate":"8", "benefittype":"A", "benefitrate":"800", "premiumrate":"1.01"}</v>
      </c>
      <c r="J472" s="6" t="str">
        <f t="shared" si="44"/>
        <v>,</v>
      </c>
    </row>
    <row r="473" spans="1:10">
      <c r="A473" s="4" t="str">
        <f>'EN60'!A$3</f>
        <v>EN60</v>
      </c>
      <c r="B473" s="4">
        <f t="shared" si="45"/>
        <v>5</v>
      </c>
      <c r="C473" s="4">
        <f t="shared" si="46"/>
        <v>62</v>
      </c>
      <c r="D473" s="4">
        <f t="shared" si="40"/>
        <v>8</v>
      </c>
      <c r="E473" s="4" t="s">
        <v>27</v>
      </c>
      <c r="F473" s="4">
        <f t="shared" si="41"/>
        <v>800</v>
      </c>
      <c r="G473" s="5">
        <f t="shared" si="47"/>
        <v>1.01</v>
      </c>
      <c r="H473" s="6" t="str">
        <f t="shared" si="42"/>
        <v>INSERT INTO public.coupon (plancode, age, "year", couponrate, benefittype, benefitrate, premiumrate) VALUES('EN60', 5, 62, 8, 'A',800, 1.01);</v>
      </c>
      <c r="I473" s="6" t="str">
        <f t="shared" si="43"/>
        <v>{"age":"5", "year":"62", "couponrate":"8", "benefittype":"A", "benefitrate":"800", "premiumrate":"1.01"}</v>
      </c>
      <c r="J473" s="6" t="str">
        <f t="shared" si="44"/>
        <v>,</v>
      </c>
    </row>
    <row r="474" spans="1:10">
      <c r="A474" s="4" t="str">
        <f>'EN60'!A$3</f>
        <v>EN60</v>
      </c>
      <c r="B474" s="4">
        <f t="shared" si="45"/>
        <v>5</v>
      </c>
      <c r="C474" s="4">
        <f t="shared" si="46"/>
        <v>63</v>
      </c>
      <c r="D474" s="4">
        <f t="shared" si="40"/>
        <v>8</v>
      </c>
      <c r="E474" s="4" t="s">
        <v>27</v>
      </c>
      <c r="F474" s="4">
        <f t="shared" si="41"/>
        <v>800</v>
      </c>
      <c r="G474" s="5">
        <f t="shared" si="47"/>
        <v>1.01</v>
      </c>
      <c r="H474" s="6" t="str">
        <f t="shared" si="42"/>
        <v>INSERT INTO public.coupon (plancode, age, "year", couponrate, benefittype, benefitrate, premiumrate) VALUES('EN60', 5, 63, 8, 'A',800, 1.01);</v>
      </c>
      <c r="I474" s="6" t="str">
        <f t="shared" si="43"/>
        <v>{"age":"5", "year":"63", "couponrate":"8", "benefittype":"A", "benefitrate":"800", "premiumrate":"1.01"}</v>
      </c>
      <c r="J474" s="6" t="str">
        <f t="shared" si="44"/>
        <v>,</v>
      </c>
    </row>
    <row r="475" spans="1:10">
      <c r="A475" s="4" t="str">
        <f>'EN60'!A$3</f>
        <v>EN60</v>
      </c>
      <c r="B475" s="4">
        <f t="shared" si="45"/>
        <v>5</v>
      </c>
      <c r="C475" s="4">
        <f t="shared" si="46"/>
        <v>64</v>
      </c>
      <c r="D475" s="4">
        <f t="shared" si="40"/>
        <v>8</v>
      </c>
      <c r="E475" s="4" t="s">
        <v>27</v>
      </c>
      <c r="F475" s="4">
        <f t="shared" si="41"/>
        <v>800</v>
      </c>
      <c r="G475" s="5">
        <f t="shared" si="47"/>
        <v>1.01</v>
      </c>
      <c r="H475" s="6" t="str">
        <f t="shared" si="42"/>
        <v>INSERT INTO public.coupon (plancode, age, "year", couponrate, benefittype, benefitrate, premiumrate) VALUES('EN60', 5, 64, 8, 'A',800, 1.01);</v>
      </c>
      <c r="I475" s="6" t="str">
        <f t="shared" si="43"/>
        <v>{"age":"5", "year":"64", "couponrate":"8", "benefittype":"A", "benefitrate":"800", "premiumrate":"1.01"}</v>
      </c>
      <c r="J475" s="6" t="str">
        <f t="shared" si="44"/>
        <v>,</v>
      </c>
    </row>
    <row r="476" spans="1:10">
      <c r="A476" s="4" t="str">
        <f>'EN60'!A$3</f>
        <v>EN60</v>
      </c>
      <c r="B476" s="4">
        <f t="shared" si="45"/>
        <v>5</v>
      </c>
      <c r="C476" s="4">
        <f t="shared" si="46"/>
        <v>65</v>
      </c>
      <c r="D476" s="4">
        <f t="shared" si="40"/>
        <v>8</v>
      </c>
      <c r="E476" s="4" t="s">
        <v>27</v>
      </c>
      <c r="F476" s="4">
        <f t="shared" si="41"/>
        <v>800</v>
      </c>
      <c r="G476" s="5">
        <f t="shared" si="47"/>
        <v>1.01</v>
      </c>
      <c r="H476" s="6" t="str">
        <f t="shared" si="42"/>
        <v>INSERT INTO public.coupon (plancode, age, "year", couponrate, benefittype, benefitrate, premiumrate) VALUES('EN60', 5, 65, 8, 'A',800, 1.01);</v>
      </c>
      <c r="I476" s="6" t="str">
        <f t="shared" si="43"/>
        <v>{"age":"5", "year":"65", "couponrate":"8", "benefittype":"A", "benefitrate":"800", "premiumrate":"1.01"}</v>
      </c>
      <c r="J476" s="6" t="str">
        <f t="shared" si="44"/>
        <v>,</v>
      </c>
    </row>
    <row r="477" spans="1:10">
      <c r="A477" s="4" t="str">
        <f>'EN60'!A$3</f>
        <v>EN60</v>
      </c>
      <c r="B477" s="4">
        <f t="shared" si="45"/>
        <v>5</v>
      </c>
      <c r="C477" s="4">
        <f t="shared" si="46"/>
        <v>66</v>
      </c>
      <c r="D477" s="4">
        <f t="shared" si="40"/>
        <v>8</v>
      </c>
      <c r="E477" s="4" t="s">
        <v>27</v>
      </c>
      <c r="F477" s="4">
        <f t="shared" si="41"/>
        <v>800</v>
      </c>
      <c r="G477" s="5">
        <f t="shared" si="47"/>
        <v>1.01</v>
      </c>
      <c r="H477" s="6" t="str">
        <f t="shared" si="42"/>
        <v>INSERT INTO public.coupon (plancode, age, "year", couponrate, benefittype, benefitrate, premiumrate) VALUES('EN60', 5, 66, 8, 'A',800, 1.01);</v>
      </c>
      <c r="I477" s="6" t="str">
        <f t="shared" si="43"/>
        <v>{"age":"5", "year":"66", "couponrate":"8", "benefittype":"A", "benefitrate":"800", "premiumrate":"1.01"}</v>
      </c>
      <c r="J477" s="6" t="str">
        <f t="shared" si="44"/>
        <v>,</v>
      </c>
    </row>
    <row r="478" spans="1:10">
      <c r="A478" s="4" t="str">
        <f>'EN60'!A$3</f>
        <v>EN60</v>
      </c>
      <c r="B478" s="4">
        <f t="shared" si="45"/>
        <v>5</v>
      </c>
      <c r="C478" s="4">
        <f t="shared" si="46"/>
        <v>67</v>
      </c>
      <c r="D478" s="4">
        <f t="shared" si="40"/>
        <v>8</v>
      </c>
      <c r="E478" s="4" t="s">
        <v>27</v>
      </c>
      <c r="F478" s="4">
        <f t="shared" si="41"/>
        <v>800</v>
      </c>
      <c r="G478" s="5">
        <f t="shared" si="47"/>
        <v>1.01</v>
      </c>
      <c r="H478" s="6" t="str">
        <f t="shared" si="42"/>
        <v>INSERT INTO public.coupon (plancode, age, "year", couponrate, benefittype, benefitrate, premiumrate) VALUES('EN60', 5, 67, 8, 'A',800, 1.01);</v>
      </c>
      <c r="I478" s="6" t="str">
        <f t="shared" si="43"/>
        <v>{"age":"5", "year":"67", "couponrate":"8", "benefittype":"A", "benefitrate":"800", "premiumrate":"1.01"}</v>
      </c>
      <c r="J478" s="6" t="str">
        <f t="shared" si="44"/>
        <v>,</v>
      </c>
    </row>
    <row r="479" spans="1:10">
      <c r="A479" s="4" t="str">
        <f>'EN60'!A$3</f>
        <v>EN60</v>
      </c>
      <c r="B479" s="4">
        <f t="shared" si="45"/>
        <v>5</v>
      </c>
      <c r="C479" s="4">
        <f t="shared" si="46"/>
        <v>68</v>
      </c>
      <c r="D479" s="4">
        <f t="shared" si="40"/>
        <v>8</v>
      </c>
      <c r="E479" s="4" t="s">
        <v>27</v>
      </c>
      <c r="F479" s="4">
        <f t="shared" si="41"/>
        <v>800</v>
      </c>
      <c r="G479" s="5">
        <f t="shared" si="47"/>
        <v>1.01</v>
      </c>
      <c r="H479" s="6" t="str">
        <f t="shared" si="42"/>
        <v>INSERT INTO public.coupon (plancode, age, "year", couponrate, benefittype, benefitrate, premiumrate) VALUES('EN60', 5, 68, 8, 'A',800, 1.01);</v>
      </c>
      <c r="I479" s="6" t="str">
        <f t="shared" si="43"/>
        <v>{"age":"5", "year":"68", "couponrate":"8", "benefittype":"A", "benefitrate":"800", "premiumrate":"1.01"}</v>
      </c>
      <c r="J479" s="6" t="str">
        <f t="shared" si="44"/>
        <v>,</v>
      </c>
    </row>
    <row r="480" spans="1:10">
      <c r="A480" s="4" t="str">
        <f>'EN60'!A$3</f>
        <v>EN60</v>
      </c>
      <c r="B480" s="4">
        <f t="shared" si="45"/>
        <v>5</v>
      </c>
      <c r="C480" s="4">
        <f t="shared" si="46"/>
        <v>69</v>
      </c>
      <c r="D480" s="4">
        <f t="shared" si="40"/>
        <v>8</v>
      </c>
      <c r="E480" s="4" t="s">
        <v>27</v>
      </c>
      <c r="F480" s="4">
        <f t="shared" si="41"/>
        <v>800</v>
      </c>
      <c r="G480" s="5">
        <f t="shared" si="47"/>
        <v>1.01</v>
      </c>
      <c r="H480" s="6" t="str">
        <f t="shared" si="42"/>
        <v>INSERT INTO public.coupon (plancode, age, "year", couponrate, benefittype, benefitrate, premiumrate) VALUES('EN60', 5, 69, 8, 'A',800, 1.01);</v>
      </c>
      <c r="I480" s="6" t="str">
        <f t="shared" si="43"/>
        <v>{"age":"5", "year":"69", "couponrate":"8", "benefittype":"A", "benefitrate":"800", "premiumrate":"1.01"}</v>
      </c>
      <c r="J480" s="6" t="str">
        <f t="shared" si="44"/>
        <v>,</v>
      </c>
    </row>
    <row r="481" spans="1:10">
      <c r="A481" s="4" t="str">
        <f>'EN60'!A$3</f>
        <v>EN60</v>
      </c>
      <c r="B481" s="4">
        <f t="shared" si="45"/>
        <v>5</v>
      </c>
      <c r="C481" s="4">
        <f t="shared" si="46"/>
        <v>70</v>
      </c>
      <c r="D481" s="4">
        <f t="shared" si="40"/>
        <v>8</v>
      </c>
      <c r="E481" s="4" t="s">
        <v>27</v>
      </c>
      <c r="F481" s="4">
        <f t="shared" si="41"/>
        <v>800</v>
      </c>
      <c r="G481" s="5">
        <f t="shared" si="47"/>
        <v>1.01</v>
      </c>
      <c r="H481" s="6" t="str">
        <f t="shared" si="42"/>
        <v>INSERT INTO public.coupon (plancode, age, "year", couponrate, benefittype, benefitrate, premiumrate) VALUES('EN60', 5, 70, 8, 'A',800, 1.01);</v>
      </c>
      <c r="I481" s="6" t="str">
        <f t="shared" si="43"/>
        <v>{"age":"5", "year":"70", "couponrate":"8", "benefittype":"A", "benefitrate":"800", "premiumrate":"1.01"}</v>
      </c>
      <c r="J481" s="6" t="str">
        <f t="shared" si="44"/>
        <v>,</v>
      </c>
    </row>
    <row r="482" spans="1:10">
      <c r="A482" s="4" t="str">
        <f>'EN60'!A$3</f>
        <v>EN60</v>
      </c>
      <c r="B482" s="4">
        <f t="shared" si="45"/>
        <v>5</v>
      </c>
      <c r="C482" s="4">
        <f t="shared" si="46"/>
        <v>71</v>
      </c>
      <c r="D482" s="4">
        <f t="shared" si="40"/>
        <v>8</v>
      </c>
      <c r="E482" s="4" t="s">
        <v>27</v>
      </c>
      <c r="F482" s="4">
        <f t="shared" si="41"/>
        <v>800</v>
      </c>
      <c r="G482" s="5">
        <f t="shared" si="47"/>
        <v>1.01</v>
      </c>
      <c r="H482" s="6" t="str">
        <f t="shared" si="42"/>
        <v>INSERT INTO public.coupon (plancode, age, "year", couponrate, benefittype, benefitrate, premiumrate) VALUES('EN60', 5, 71, 8, 'A',800, 1.01);</v>
      </c>
      <c r="I482" s="6" t="str">
        <f t="shared" si="43"/>
        <v>{"age":"5", "year":"71", "couponrate":"8", "benefittype":"A", "benefitrate":"800", "premiumrate":"1.01"}</v>
      </c>
      <c r="J482" s="6" t="str">
        <f t="shared" si="44"/>
        <v>,</v>
      </c>
    </row>
    <row r="483" spans="1:10">
      <c r="A483" s="4" t="str">
        <f>'EN60'!A$3</f>
        <v>EN60</v>
      </c>
      <c r="B483" s="4">
        <f t="shared" si="45"/>
        <v>5</v>
      </c>
      <c r="C483" s="4">
        <f t="shared" si="46"/>
        <v>72</v>
      </c>
      <c r="D483" s="4">
        <f t="shared" si="40"/>
        <v>8</v>
      </c>
      <c r="E483" s="4" t="s">
        <v>27</v>
      </c>
      <c r="F483" s="4">
        <f t="shared" si="41"/>
        <v>800</v>
      </c>
      <c r="G483" s="5">
        <f t="shared" si="47"/>
        <v>1.01</v>
      </c>
      <c r="H483" s="6" t="str">
        <f t="shared" si="42"/>
        <v>INSERT INTO public.coupon (plancode, age, "year", couponrate, benefittype, benefitrate, premiumrate) VALUES('EN60', 5, 72, 8, 'A',800, 1.01);</v>
      </c>
      <c r="I483" s="6" t="str">
        <f t="shared" si="43"/>
        <v>{"age":"5", "year":"72", "couponrate":"8", "benefittype":"A", "benefitrate":"800", "premiumrate":"1.01"}</v>
      </c>
      <c r="J483" s="6" t="str">
        <f t="shared" si="44"/>
        <v>,</v>
      </c>
    </row>
    <row r="484" spans="1:10">
      <c r="A484" s="4" t="str">
        <f>'EN60'!A$3</f>
        <v>EN60</v>
      </c>
      <c r="B484" s="4">
        <f t="shared" si="45"/>
        <v>5</v>
      </c>
      <c r="C484" s="4">
        <f t="shared" si="46"/>
        <v>73</v>
      </c>
      <c r="D484" s="4">
        <f t="shared" si="40"/>
        <v>8</v>
      </c>
      <c r="E484" s="4" t="s">
        <v>27</v>
      </c>
      <c r="F484" s="4">
        <f t="shared" si="41"/>
        <v>800</v>
      </c>
      <c r="G484" s="5">
        <f t="shared" si="47"/>
        <v>1.01</v>
      </c>
      <c r="H484" s="6" t="str">
        <f t="shared" si="42"/>
        <v>INSERT INTO public.coupon (plancode, age, "year", couponrate, benefittype, benefitrate, premiumrate) VALUES('EN60', 5, 73, 8, 'A',800, 1.01);</v>
      </c>
      <c r="I484" s="6" t="str">
        <f t="shared" si="43"/>
        <v>{"age":"5", "year":"73", "couponrate":"8", "benefittype":"A", "benefitrate":"800", "premiumrate":"1.01"}</v>
      </c>
      <c r="J484" s="6" t="str">
        <f t="shared" si="44"/>
        <v>,</v>
      </c>
    </row>
    <row r="485" spans="1:10">
      <c r="A485" s="4" t="str">
        <f>'EN60'!A$3</f>
        <v>EN60</v>
      </c>
      <c r="B485" s="4">
        <f t="shared" si="45"/>
        <v>5</v>
      </c>
      <c r="C485" s="4">
        <f t="shared" si="46"/>
        <v>74</v>
      </c>
      <c r="D485" s="4">
        <f t="shared" si="40"/>
        <v>8</v>
      </c>
      <c r="E485" s="4" t="s">
        <v>27</v>
      </c>
      <c r="F485" s="4">
        <f t="shared" si="41"/>
        <v>800</v>
      </c>
      <c r="G485" s="5">
        <f t="shared" si="47"/>
        <v>1.01</v>
      </c>
      <c r="H485" s="6" t="str">
        <f t="shared" si="42"/>
        <v>INSERT INTO public.coupon (plancode, age, "year", couponrate, benefittype, benefitrate, premiumrate) VALUES('EN60', 5, 74, 8, 'A',800, 1.01);</v>
      </c>
      <c r="I485" s="6" t="str">
        <f t="shared" si="43"/>
        <v>{"age":"5", "year":"74", "couponrate":"8", "benefittype":"A", "benefitrate":"800", "premiumrate":"1.01"}</v>
      </c>
      <c r="J485" s="6" t="str">
        <f t="shared" si="44"/>
        <v>,</v>
      </c>
    </row>
    <row r="486" spans="1:10">
      <c r="A486" s="4" t="str">
        <f>'EN60'!A$3</f>
        <v>EN60</v>
      </c>
      <c r="B486" s="4">
        <f t="shared" si="45"/>
        <v>5</v>
      </c>
      <c r="C486" s="4">
        <f t="shared" si="46"/>
        <v>75</v>
      </c>
      <c r="D486" s="4">
        <f t="shared" si="40"/>
        <v>0</v>
      </c>
      <c r="E486" s="4" t="s">
        <v>27</v>
      </c>
      <c r="F486" s="4">
        <f t="shared" si="41"/>
        <v>800</v>
      </c>
      <c r="G486" s="5">
        <f t="shared" si="47"/>
        <v>1.01</v>
      </c>
      <c r="H486" s="6" t="str">
        <f t="shared" si="42"/>
        <v>INSERT INTO public.coupon (plancode, age, "year", couponrate, benefittype, benefitrate, premiumrate) VALUES('EN60', 5, 75, 0, 'A',800, 1.01);</v>
      </c>
      <c r="I486" s="6" t="str">
        <f t="shared" si="43"/>
        <v>{"age":"5", "year":"75", "couponrate":"0", "benefittype":"A", "benefitrate":"800", "premiumrate":"1.01"}</v>
      </c>
    </row>
    <row r="487" spans="1:10">
      <c r="C487" s="6"/>
      <c r="I487" s="6" t="s">
        <v>28</v>
      </c>
    </row>
    <row r="488" spans="1:10">
      <c r="A488" s="3" t="s">
        <v>2</v>
      </c>
      <c r="B488" s="3" t="s">
        <v>23</v>
      </c>
      <c r="C488" s="3" t="s">
        <v>24</v>
      </c>
      <c r="D488" s="3" t="s">
        <v>25</v>
      </c>
      <c r="E488" s="3" t="s">
        <v>8</v>
      </c>
      <c r="F488" s="3" t="s">
        <v>26</v>
      </c>
      <c r="G488" s="3" t="s">
        <v>4</v>
      </c>
      <c r="I488" s="6" t="str">
        <f>"[{""plancode"":"""&amp;A489&amp;""",""returncash"":"""&amp;B$7&amp;""",""ytable"":"""&amp;C$7&amp;""",""maturerate"":"""&amp;B$3&amp;""",""maturepmrate"":"""&amp;C$3&amp;""",""coupon"":["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489" spans="1:10">
      <c r="A489" s="4" t="str">
        <f>'EN60'!A$3</f>
        <v>EN60</v>
      </c>
      <c r="B489" s="8">
        <v>6</v>
      </c>
      <c r="C489" s="4">
        <v>1</v>
      </c>
      <c r="D489" s="4">
        <f t="shared" ref="D489:D562" si="48">IF(C489+B489=80,0,8)</f>
        <v>8</v>
      </c>
      <c r="E489" s="4" t="s">
        <v>27</v>
      </c>
      <c r="F489" s="4">
        <f t="shared" ref="F489:F562" si="49">IF(C489&gt;7, 800, C489*100)</f>
        <v>100</v>
      </c>
      <c r="G489" s="5">
        <f>'EN60'!C$3</f>
        <v>1.01</v>
      </c>
      <c r="H489" s="6" t="str">
        <f t="shared" ref="H489:H562" si="50">"INSERT INTO public.coupon ("&amp;A$11&amp;", "&amp;B$11&amp;", """&amp;C$11&amp;""", "&amp;D$11&amp;", "&amp;E$11&amp;", "&amp;F$11&amp;", "&amp;G$11&amp;") VALUES('"&amp;A489&amp;"', "&amp;B489&amp;", "&amp;C489&amp;", "&amp;D489&amp;", '"&amp;E489&amp;"',"&amp;F489&amp;", "&amp;G489&amp;");"</f>
        <v>INSERT INTO public.coupon (plancode, age, "year", couponrate, benefittype, benefitrate, premiumrate) VALUES('EN60', 6, 1, 8, 'A',100, 1.01);</v>
      </c>
      <c r="I489" s="6" t="str">
        <f t="shared" ref="I489:I562" si="51">"{""age"":"""&amp;B489&amp;""", ""year"":"""&amp;C489&amp;""", ""couponrate"":"""&amp;D489&amp;""", ""benefittype"":"""&amp;E489&amp;""", ""benefitrate"":"""&amp;F489&amp;""", """&amp;G$11&amp;""":"""&amp;G489&amp;"""}"</f>
        <v>{"age":"6", "year":"1", "couponrate":"8", "benefittype":"A", "benefitrate":"100", "premiumrate":"1.01"}</v>
      </c>
      <c r="J489" s="6" t="str">
        <f t="shared" ref="J489:J561" si="52">IF(OR(I490="]", I489="[", I489="]"), "", ",")</f>
        <v>,</v>
      </c>
    </row>
    <row r="490" spans="1:10">
      <c r="A490" s="4" t="str">
        <f>'EN60'!A$3</f>
        <v>EN60</v>
      </c>
      <c r="B490" s="4">
        <f t="shared" ref="B490:B562" si="53">B489</f>
        <v>6</v>
      </c>
      <c r="C490" s="4">
        <f t="shared" ref="C490:C562" si="54">C489+1</f>
        <v>2</v>
      </c>
      <c r="D490" s="4">
        <f t="shared" si="48"/>
        <v>8</v>
      </c>
      <c r="E490" s="4" t="s">
        <v>27</v>
      </c>
      <c r="F490" s="4">
        <f t="shared" si="49"/>
        <v>200</v>
      </c>
      <c r="G490" s="5">
        <f t="shared" ref="G490:G562" si="55">G489</f>
        <v>1.01</v>
      </c>
      <c r="H490" s="6" t="str">
        <f t="shared" si="50"/>
        <v>INSERT INTO public.coupon (plancode, age, "year", couponrate, benefittype, benefitrate, premiumrate) VALUES('EN60', 6, 2, 8, 'A',200, 1.01);</v>
      </c>
      <c r="I490" s="6" t="str">
        <f t="shared" si="51"/>
        <v>{"age":"6", "year":"2", "couponrate":"8", "benefittype":"A", "benefitrate":"200", "premiumrate":"1.01"}</v>
      </c>
      <c r="J490" s="6" t="str">
        <f t="shared" si="52"/>
        <v>,</v>
      </c>
    </row>
    <row r="491" spans="1:10">
      <c r="A491" s="4" t="str">
        <f>'EN60'!A$3</f>
        <v>EN60</v>
      </c>
      <c r="B491" s="4">
        <f t="shared" si="53"/>
        <v>6</v>
      </c>
      <c r="C491" s="4">
        <f t="shared" si="54"/>
        <v>3</v>
      </c>
      <c r="D491" s="4">
        <f t="shared" si="48"/>
        <v>8</v>
      </c>
      <c r="E491" s="4" t="s">
        <v>27</v>
      </c>
      <c r="F491" s="4">
        <f t="shared" si="49"/>
        <v>300</v>
      </c>
      <c r="G491" s="5">
        <f t="shared" si="55"/>
        <v>1.01</v>
      </c>
      <c r="H491" s="6" t="str">
        <f t="shared" si="50"/>
        <v>INSERT INTO public.coupon (plancode, age, "year", couponrate, benefittype, benefitrate, premiumrate) VALUES('EN60', 6, 3, 8, 'A',300, 1.01);</v>
      </c>
      <c r="I491" s="6" t="str">
        <f t="shared" si="51"/>
        <v>{"age":"6", "year":"3", "couponrate":"8", "benefittype":"A", "benefitrate":"300", "premiumrate":"1.01"}</v>
      </c>
      <c r="J491" s="6" t="str">
        <f t="shared" si="52"/>
        <v>,</v>
      </c>
    </row>
    <row r="492" spans="1:10">
      <c r="A492" s="4" t="str">
        <f>'EN60'!A$3</f>
        <v>EN60</v>
      </c>
      <c r="B492" s="4">
        <f t="shared" si="53"/>
        <v>6</v>
      </c>
      <c r="C492" s="4">
        <f t="shared" si="54"/>
        <v>4</v>
      </c>
      <c r="D492" s="4">
        <f t="shared" si="48"/>
        <v>8</v>
      </c>
      <c r="E492" s="4" t="s">
        <v>27</v>
      </c>
      <c r="F492" s="4">
        <f t="shared" si="49"/>
        <v>400</v>
      </c>
      <c r="G492" s="5">
        <f t="shared" si="55"/>
        <v>1.01</v>
      </c>
      <c r="H492" s="6" t="str">
        <f t="shared" si="50"/>
        <v>INSERT INTO public.coupon (plancode, age, "year", couponrate, benefittype, benefitrate, premiumrate) VALUES('EN60', 6, 4, 8, 'A',400, 1.01);</v>
      </c>
      <c r="I492" s="6" t="str">
        <f t="shared" si="51"/>
        <v>{"age":"6", "year":"4", "couponrate":"8", "benefittype":"A", "benefitrate":"400", "premiumrate":"1.01"}</v>
      </c>
      <c r="J492" s="6" t="str">
        <f t="shared" si="52"/>
        <v>,</v>
      </c>
    </row>
    <row r="493" spans="1:10">
      <c r="A493" s="4" t="str">
        <f>'EN60'!A$3</f>
        <v>EN60</v>
      </c>
      <c r="B493" s="4">
        <f t="shared" si="53"/>
        <v>6</v>
      </c>
      <c r="C493" s="4">
        <f t="shared" si="54"/>
        <v>5</v>
      </c>
      <c r="D493" s="4">
        <f t="shared" si="48"/>
        <v>8</v>
      </c>
      <c r="E493" s="4" t="s">
        <v>27</v>
      </c>
      <c r="F493" s="4">
        <f t="shared" si="49"/>
        <v>500</v>
      </c>
      <c r="G493" s="5">
        <f t="shared" si="55"/>
        <v>1.01</v>
      </c>
      <c r="H493" s="6" t="str">
        <f t="shared" si="50"/>
        <v>INSERT INTO public.coupon (plancode, age, "year", couponrate, benefittype, benefitrate, premiumrate) VALUES('EN60', 6, 5, 8, 'A',500, 1.01);</v>
      </c>
      <c r="I493" s="6" t="str">
        <f t="shared" si="51"/>
        <v>{"age":"6", "year":"5", "couponrate":"8", "benefittype":"A", "benefitrate":"500", "premiumrate":"1.01"}</v>
      </c>
      <c r="J493" s="6" t="str">
        <f t="shared" si="52"/>
        <v>,</v>
      </c>
    </row>
    <row r="494" spans="1:10">
      <c r="A494" s="4" t="str">
        <f>'EN60'!A$3</f>
        <v>EN60</v>
      </c>
      <c r="B494" s="4">
        <f t="shared" si="53"/>
        <v>6</v>
      </c>
      <c r="C494" s="4">
        <f t="shared" si="54"/>
        <v>6</v>
      </c>
      <c r="D494" s="4">
        <f t="shared" si="48"/>
        <v>8</v>
      </c>
      <c r="E494" s="4" t="s">
        <v>27</v>
      </c>
      <c r="F494" s="4">
        <f t="shared" si="49"/>
        <v>600</v>
      </c>
      <c r="G494" s="5">
        <f t="shared" si="55"/>
        <v>1.01</v>
      </c>
      <c r="H494" s="6" t="str">
        <f t="shared" si="50"/>
        <v>INSERT INTO public.coupon (plancode, age, "year", couponrate, benefittype, benefitrate, premiumrate) VALUES('EN60', 6, 6, 8, 'A',600, 1.01);</v>
      </c>
      <c r="I494" s="6" t="str">
        <f t="shared" si="51"/>
        <v>{"age":"6", "year":"6", "couponrate":"8", "benefittype":"A", "benefitrate":"600", "premiumrate":"1.01"}</v>
      </c>
      <c r="J494" s="6" t="str">
        <f t="shared" si="52"/>
        <v>,</v>
      </c>
    </row>
    <row r="495" spans="1:10">
      <c r="A495" s="4" t="str">
        <f>'EN60'!A$3</f>
        <v>EN60</v>
      </c>
      <c r="B495" s="4">
        <f t="shared" si="53"/>
        <v>6</v>
      </c>
      <c r="C495" s="4">
        <f t="shared" si="54"/>
        <v>7</v>
      </c>
      <c r="D495" s="4">
        <f t="shared" si="48"/>
        <v>8</v>
      </c>
      <c r="E495" s="4" t="s">
        <v>27</v>
      </c>
      <c r="F495" s="4">
        <f t="shared" si="49"/>
        <v>700</v>
      </c>
      <c r="G495" s="5">
        <f t="shared" si="55"/>
        <v>1.01</v>
      </c>
      <c r="H495" s="6" t="str">
        <f t="shared" si="50"/>
        <v>INSERT INTO public.coupon (plancode, age, "year", couponrate, benefittype, benefitrate, premiumrate) VALUES('EN60', 6, 7, 8, 'A',700, 1.01);</v>
      </c>
      <c r="I495" s="6" t="str">
        <f t="shared" si="51"/>
        <v>{"age":"6", "year":"7", "couponrate":"8", "benefittype":"A", "benefitrate":"700", "premiumrate":"1.01"}</v>
      </c>
      <c r="J495" s="6" t="str">
        <f t="shared" si="52"/>
        <v>,</v>
      </c>
    </row>
    <row r="496" spans="1:10">
      <c r="A496" s="4" t="str">
        <f>'EN60'!A$3</f>
        <v>EN60</v>
      </c>
      <c r="B496" s="4">
        <f t="shared" si="53"/>
        <v>6</v>
      </c>
      <c r="C496" s="4">
        <f t="shared" si="54"/>
        <v>8</v>
      </c>
      <c r="D496" s="4">
        <f t="shared" si="48"/>
        <v>8</v>
      </c>
      <c r="E496" s="4" t="s">
        <v>27</v>
      </c>
      <c r="F496" s="4">
        <f t="shared" si="49"/>
        <v>800</v>
      </c>
      <c r="G496" s="5">
        <f t="shared" si="55"/>
        <v>1.01</v>
      </c>
      <c r="H496" s="6" t="str">
        <f t="shared" si="50"/>
        <v>INSERT INTO public.coupon (plancode, age, "year", couponrate, benefittype, benefitrate, premiumrate) VALUES('EN60', 6, 8, 8, 'A',800, 1.01);</v>
      </c>
      <c r="I496" s="6" t="str">
        <f t="shared" si="51"/>
        <v>{"age":"6", "year":"8", "couponrate":"8", "benefittype":"A", "benefitrate":"800", "premiumrate":"1.01"}</v>
      </c>
      <c r="J496" s="6" t="str">
        <f t="shared" si="52"/>
        <v>,</v>
      </c>
    </row>
    <row r="497" spans="1:10">
      <c r="A497" s="4" t="str">
        <f>'EN60'!A$3</f>
        <v>EN60</v>
      </c>
      <c r="B497" s="4">
        <f t="shared" si="53"/>
        <v>6</v>
      </c>
      <c r="C497" s="4">
        <f t="shared" si="54"/>
        <v>9</v>
      </c>
      <c r="D497" s="4">
        <f t="shared" si="48"/>
        <v>8</v>
      </c>
      <c r="E497" s="4" t="s">
        <v>27</v>
      </c>
      <c r="F497" s="4">
        <f t="shared" si="49"/>
        <v>800</v>
      </c>
      <c r="G497" s="5">
        <f t="shared" si="55"/>
        <v>1.01</v>
      </c>
      <c r="H497" s="6" t="str">
        <f t="shared" si="50"/>
        <v>INSERT INTO public.coupon (plancode, age, "year", couponrate, benefittype, benefitrate, premiumrate) VALUES('EN60', 6, 9, 8, 'A',800, 1.01);</v>
      </c>
      <c r="I497" s="6" t="str">
        <f t="shared" si="51"/>
        <v>{"age":"6", "year":"9", "couponrate":"8", "benefittype":"A", "benefitrate":"800", "premiumrate":"1.01"}</v>
      </c>
      <c r="J497" s="6" t="str">
        <f t="shared" si="52"/>
        <v>,</v>
      </c>
    </row>
    <row r="498" spans="1:10">
      <c r="A498" s="4" t="str">
        <f>'EN60'!A$3</f>
        <v>EN60</v>
      </c>
      <c r="B498" s="4">
        <f t="shared" si="53"/>
        <v>6</v>
      </c>
      <c r="C498" s="4">
        <f t="shared" si="54"/>
        <v>10</v>
      </c>
      <c r="D498" s="4">
        <f t="shared" si="48"/>
        <v>8</v>
      </c>
      <c r="E498" s="4" t="s">
        <v>27</v>
      </c>
      <c r="F498" s="4">
        <f t="shared" si="49"/>
        <v>800</v>
      </c>
      <c r="G498" s="5">
        <f t="shared" si="55"/>
        <v>1.01</v>
      </c>
      <c r="H498" s="6" t="str">
        <f t="shared" si="50"/>
        <v>INSERT INTO public.coupon (plancode, age, "year", couponrate, benefittype, benefitrate, premiumrate) VALUES('EN60', 6, 10, 8, 'A',800, 1.01);</v>
      </c>
      <c r="I498" s="6" t="str">
        <f t="shared" si="51"/>
        <v>{"age":"6", "year":"10", "couponrate":"8", "benefittype":"A", "benefitrate":"800", "premiumrate":"1.01"}</v>
      </c>
      <c r="J498" s="6" t="str">
        <f t="shared" si="52"/>
        <v>,</v>
      </c>
    </row>
    <row r="499" spans="1:10">
      <c r="A499" s="4" t="str">
        <f>'EN60'!A$3</f>
        <v>EN60</v>
      </c>
      <c r="B499" s="4">
        <f t="shared" si="53"/>
        <v>6</v>
      </c>
      <c r="C499" s="4">
        <f t="shared" si="54"/>
        <v>11</v>
      </c>
      <c r="D499" s="4">
        <f t="shared" si="48"/>
        <v>8</v>
      </c>
      <c r="E499" s="4" t="s">
        <v>27</v>
      </c>
      <c r="F499" s="4">
        <f t="shared" si="49"/>
        <v>800</v>
      </c>
      <c r="G499" s="5">
        <f t="shared" si="55"/>
        <v>1.01</v>
      </c>
      <c r="H499" s="6" t="str">
        <f t="shared" si="50"/>
        <v>INSERT INTO public.coupon (plancode, age, "year", couponrate, benefittype, benefitrate, premiumrate) VALUES('EN60', 6, 11, 8, 'A',800, 1.01);</v>
      </c>
      <c r="I499" s="6" t="str">
        <f t="shared" si="51"/>
        <v>{"age":"6", "year":"11", "couponrate":"8", "benefittype":"A", "benefitrate":"800", "premiumrate":"1.01"}</v>
      </c>
      <c r="J499" s="6" t="str">
        <f t="shared" si="52"/>
        <v>,</v>
      </c>
    </row>
    <row r="500" spans="1:10">
      <c r="A500" s="4" t="str">
        <f>'EN60'!A$3</f>
        <v>EN60</v>
      </c>
      <c r="B500" s="4">
        <f t="shared" si="53"/>
        <v>6</v>
      </c>
      <c r="C500" s="4">
        <f t="shared" si="54"/>
        <v>12</v>
      </c>
      <c r="D500" s="4">
        <f t="shared" si="48"/>
        <v>8</v>
      </c>
      <c r="E500" s="4" t="s">
        <v>27</v>
      </c>
      <c r="F500" s="4">
        <f t="shared" si="49"/>
        <v>800</v>
      </c>
      <c r="G500" s="5">
        <f t="shared" si="55"/>
        <v>1.01</v>
      </c>
      <c r="H500" s="6" t="str">
        <f t="shared" si="50"/>
        <v>INSERT INTO public.coupon (plancode, age, "year", couponrate, benefittype, benefitrate, premiumrate) VALUES('EN60', 6, 12, 8, 'A',800, 1.01);</v>
      </c>
      <c r="I500" s="6" t="str">
        <f t="shared" si="51"/>
        <v>{"age":"6", "year":"12", "couponrate":"8", "benefittype":"A", "benefitrate":"800", "premiumrate":"1.01"}</v>
      </c>
      <c r="J500" s="6" t="str">
        <f t="shared" si="52"/>
        <v>,</v>
      </c>
    </row>
    <row r="501" spans="1:10">
      <c r="A501" s="4" t="str">
        <f>'EN60'!A$3</f>
        <v>EN60</v>
      </c>
      <c r="B501" s="4">
        <f t="shared" si="53"/>
        <v>6</v>
      </c>
      <c r="C501" s="4">
        <f t="shared" si="54"/>
        <v>13</v>
      </c>
      <c r="D501" s="4">
        <f t="shared" si="48"/>
        <v>8</v>
      </c>
      <c r="E501" s="4" t="s">
        <v>27</v>
      </c>
      <c r="F501" s="4">
        <f t="shared" si="49"/>
        <v>800</v>
      </c>
      <c r="G501" s="5">
        <f t="shared" si="55"/>
        <v>1.01</v>
      </c>
      <c r="H501" s="6" t="str">
        <f t="shared" si="50"/>
        <v>INSERT INTO public.coupon (plancode, age, "year", couponrate, benefittype, benefitrate, premiumrate) VALUES('EN60', 6, 13, 8, 'A',800, 1.01);</v>
      </c>
      <c r="I501" s="6" t="str">
        <f t="shared" si="51"/>
        <v>{"age":"6", "year":"13", "couponrate":"8", "benefittype":"A", "benefitrate":"800", "premiumrate":"1.01"}</v>
      </c>
      <c r="J501" s="6" t="str">
        <f t="shared" si="52"/>
        <v>,</v>
      </c>
    </row>
    <row r="502" spans="1:10">
      <c r="A502" s="4" t="str">
        <f>'EN60'!A$3</f>
        <v>EN60</v>
      </c>
      <c r="B502" s="4">
        <f t="shared" si="53"/>
        <v>6</v>
      </c>
      <c r="C502" s="4">
        <f t="shared" si="54"/>
        <v>14</v>
      </c>
      <c r="D502" s="4">
        <f t="shared" si="48"/>
        <v>8</v>
      </c>
      <c r="E502" s="4" t="s">
        <v>27</v>
      </c>
      <c r="F502" s="4">
        <f t="shared" si="49"/>
        <v>800</v>
      </c>
      <c r="G502" s="5">
        <f t="shared" si="55"/>
        <v>1.01</v>
      </c>
      <c r="H502" s="6" t="str">
        <f t="shared" si="50"/>
        <v>INSERT INTO public.coupon (plancode, age, "year", couponrate, benefittype, benefitrate, premiumrate) VALUES('EN60', 6, 14, 8, 'A',800, 1.01);</v>
      </c>
      <c r="I502" s="6" t="str">
        <f t="shared" si="51"/>
        <v>{"age":"6", "year":"14", "couponrate":"8", "benefittype":"A", "benefitrate":"800", "premiumrate":"1.01"}</v>
      </c>
      <c r="J502" s="6" t="str">
        <f t="shared" si="52"/>
        <v>,</v>
      </c>
    </row>
    <row r="503" spans="1:10">
      <c r="A503" s="4" t="str">
        <f>'EN60'!A$3</f>
        <v>EN60</v>
      </c>
      <c r="B503" s="4">
        <f t="shared" si="53"/>
        <v>6</v>
      </c>
      <c r="C503" s="4">
        <f t="shared" si="54"/>
        <v>15</v>
      </c>
      <c r="D503" s="4">
        <f t="shared" si="48"/>
        <v>8</v>
      </c>
      <c r="E503" s="4" t="s">
        <v>27</v>
      </c>
      <c r="F503" s="4">
        <f t="shared" si="49"/>
        <v>800</v>
      </c>
      <c r="G503" s="5">
        <f t="shared" si="55"/>
        <v>1.01</v>
      </c>
      <c r="H503" s="6" t="str">
        <f t="shared" si="50"/>
        <v>INSERT INTO public.coupon (plancode, age, "year", couponrate, benefittype, benefitrate, premiumrate) VALUES('EN60', 6, 15, 8, 'A',800, 1.01);</v>
      </c>
      <c r="I503" s="6" t="str">
        <f t="shared" si="51"/>
        <v>{"age":"6", "year":"15", "couponrate":"8", "benefittype":"A", "benefitrate":"800", "premiumrate":"1.01"}</v>
      </c>
      <c r="J503" s="6" t="str">
        <f t="shared" si="52"/>
        <v>,</v>
      </c>
    </row>
    <row r="504" spans="1:10">
      <c r="A504" s="4" t="str">
        <f>'EN60'!A$3</f>
        <v>EN60</v>
      </c>
      <c r="B504" s="4">
        <f t="shared" si="53"/>
        <v>6</v>
      </c>
      <c r="C504" s="4">
        <f t="shared" si="54"/>
        <v>16</v>
      </c>
      <c r="D504" s="4">
        <f t="shared" si="48"/>
        <v>8</v>
      </c>
      <c r="E504" s="4" t="s">
        <v>27</v>
      </c>
      <c r="F504" s="4">
        <f t="shared" si="49"/>
        <v>800</v>
      </c>
      <c r="G504" s="5">
        <f t="shared" si="55"/>
        <v>1.01</v>
      </c>
      <c r="H504" s="6" t="str">
        <f t="shared" si="50"/>
        <v>INSERT INTO public.coupon (plancode, age, "year", couponrate, benefittype, benefitrate, premiumrate) VALUES('EN60', 6, 16, 8, 'A',800, 1.01);</v>
      </c>
      <c r="I504" s="6" t="str">
        <f t="shared" si="51"/>
        <v>{"age":"6", "year":"16", "couponrate":"8", "benefittype":"A", "benefitrate":"800", "premiumrate":"1.01"}</v>
      </c>
      <c r="J504" s="6" t="str">
        <f t="shared" si="52"/>
        <v>,</v>
      </c>
    </row>
    <row r="505" spans="1:10">
      <c r="A505" s="4" t="str">
        <f>'EN60'!A$3</f>
        <v>EN60</v>
      </c>
      <c r="B505" s="4">
        <f t="shared" si="53"/>
        <v>6</v>
      </c>
      <c r="C505" s="4">
        <f t="shared" si="54"/>
        <v>17</v>
      </c>
      <c r="D505" s="4">
        <f t="shared" si="48"/>
        <v>8</v>
      </c>
      <c r="E505" s="4" t="s">
        <v>27</v>
      </c>
      <c r="F505" s="4">
        <f t="shared" si="49"/>
        <v>800</v>
      </c>
      <c r="G505" s="5">
        <f t="shared" si="55"/>
        <v>1.01</v>
      </c>
      <c r="H505" s="6" t="str">
        <f t="shared" si="50"/>
        <v>INSERT INTO public.coupon (plancode, age, "year", couponrate, benefittype, benefitrate, premiumrate) VALUES('EN60', 6, 17, 8, 'A',800, 1.01);</v>
      </c>
      <c r="I505" s="6" t="str">
        <f t="shared" si="51"/>
        <v>{"age":"6", "year":"17", "couponrate":"8", "benefittype":"A", "benefitrate":"800", "premiumrate":"1.01"}</v>
      </c>
      <c r="J505" s="6" t="str">
        <f t="shared" si="52"/>
        <v>,</v>
      </c>
    </row>
    <row r="506" spans="1:10">
      <c r="A506" s="4" t="str">
        <f>'EN60'!A$3</f>
        <v>EN60</v>
      </c>
      <c r="B506" s="4">
        <f t="shared" si="53"/>
        <v>6</v>
      </c>
      <c r="C506" s="4">
        <f t="shared" si="54"/>
        <v>18</v>
      </c>
      <c r="D506" s="4">
        <f t="shared" si="48"/>
        <v>8</v>
      </c>
      <c r="E506" s="4" t="s">
        <v>27</v>
      </c>
      <c r="F506" s="4">
        <f t="shared" si="49"/>
        <v>800</v>
      </c>
      <c r="G506" s="5">
        <f t="shared" si="55"/>
        <v>1.01</v>
      </c>
      <c r="H506" s="6" t="str">
        <f t="shared" si="50"/>
        <v>INSERT INTO public.coupon (plancode, age, "year", couponrate, benefittype, benefitrate, premiumrate) VALUES('EN60', 6, 18, 8, 'A',800, 1.01);</v>
      </c>
      <c r="I506" s="6" t="str">
        <f t="shared" si="51"/>
        <v>{"age":"6", "year":"18", "couponrate":"8", "benefittype":"A", "benefitrate":"800", "premiumrate":"1.01"}</v>
      </c>
      <c r="J506" s="6" t="str">
        <f t="shared" si="52"/>
        <v>,</v>
      </c>
    </row>
    <row r="507" spans="1:10">
      <c r="A507" s="4" t="str">
        <f>'EN60'!A$3</f>
        <v>EN60</v>
      </c>
      <c r="B507" s="4">
        <f t="shared" si="53"/>
        <v>6</v>
      </c>
      <c r="C507" s="4">
        <f t="shared" si="54"/>
        <v>19</v>
      </c>
      <c r="D507" s="4">
        <f t="shared" si="48"/>
        <v>8</v>
      </c>
      <c r="E507" s="4" t="s">
        <v>27</v>
      </c>
      <c r="F507" s="4">
        <f t="shared" si="49"/>
        <v>800</v>
      </c>
      <c r="G507" s="5">
        <f t="shared" si="55"/>
        <v>1.01</v>
      </c>
      <c r="H507" s="6" t="str">
        <f t="shared" si="50"/>
        <v>INSERT INTO public.coupon (plancode, age, "year", couponrate, benefittype, benefitrate, premiumrate) VALUES('EN60', 6, 19, 8, 'A',800, 1.01);</v>
      </c>
      <c r="I507" s="6" t="str">
        <f t="shared" si="51"/>
        <v>{"age":"6", "year":"19", "couponrate":"8", "benefittype":"A", "benefitrate":"800", "premiumrate":"1.01"}</v>
      </c>
      <c r="J507" s="6" t="str">
        <f t="shared" si="52"/>
        <v>,</v>
      </c>
    </row>
    <row r="508" spans="1:10">
      <c r="A508" s="4" t="str">
        <f>'EN60'!A$3</f>
        <v>EN60</v>
      </c>
      <c r="B508" s="4">
        <f t="shared" si="53"/>
        <v>6</v>
      </c>
      <c r="C508" s="4">
        <f t="shared" si="54"/>
        <v>20</v>
      </c>
      <c r="D508" s="4">
        <f t="shared" si="48"/>
        <v>8</v>
      </c>
      <c r="E508" s="4" t="s">
        <v>27</v>
      </c>
      <c r="F508" s="4">
        <f t="shared" si="49"/>
        <v>800</v>
      </c>
      <c r="G508" s="5">
        <f t="shared" si="55"/>
        <v>1.01</v>
      </c>
      <c r="H508" s="6" t="str">
        <f t="shared" si="50"/>
        <v>INSERT INTO public.coupon (plancode, age, "year", couponrate, benefittype, benefitrate, premiumrate) VALUES('EN60', 6, 20, 8, 'A',800, 1.01);</v>
      </c>
      <c r="I508" s="6" t="str">
        <f t="shared" si="51"/>
        <v>{"age":"6", "year":"20", "couponrate":"8", "benefittype":"A", "benefitrate":"800", "premiumrate":"1.01"}</v>
      </c>
      <c r="J508" s="6" t="str">
        <f t="shared" si="52"/>
        <v>,</v>
      </c>
    </row>
    <row r="509" spans="1:10">
      <c r="A509" s="4" t="str">
        <f>'EN60'!A$3</f>
        <v>EN60</v>
      </c>
      <c r="B509" s="4">
        <f t="shared" si="53"/>
        <v>6</v>
      </c>
      <c r="C509" s="4">
        <f t="shared" si="54"/>
        <v>21</v>
      </c>
      <c r="D509" s="4">
        <f t="shared" si="48"/>
        <v>8</v>
      </c>
      <c r="E509" s="4" t="s">
        <v>27</v>
      </c>
      <c r="F509" s="4">
        <f t="shared" si="49"/>
        <v>800</v>
      </c>
      <c r="G509" s="5">
        <f t="shared" si="55"/>
        <v>1.01</v>
      </c>
      <c r="H509" s="6" t="str">
        <f t="shared" si="50"/>
        <v>INSERT INTO public.coupon (plancode, age, "year", couponrate, benefittype, benefitrate, premiumrate) VALUES('EN60', 6, 21, 8, 'A',800, 1.01);</v>
      </c>
      <c r="I509" s="6" t="str">
        <f t="shared" si="51"/>
        <v>{"age":"6", "year":"21", "couponrate":"8", "benefittype":"A", "benefitrate":"800", "premiumrate":"1.01"}</v>
      </c>
      <c r="J509" s="6" t="str">
        <f t="shared" si="52"/>
        <v>,</v>
      </c>
    </row>
    <row r="510" spans="1:10">
      <c r="A510" s="4" t="str">
        <f>'EN60'!A$3</f>
        <v>EN60</v>
      </c>
      <c r="B510" s="4">
        <f t="shared" si="53"/>
        <v>6</v>
      </c>
      <c r="C510" s="4">
        <f t="shared" si="54"/>
        <v>22</v>
      </c>
      <c r="D510" s="4">
        <f t="shared" si="48"/>
        <v>8</v>
      </c>
      <c r="E510" s="4" t="s">
        <v>27</v>
      </c>
      <c r="F510" s="4">
        <f t="shared" si="49"/>
        <v>800</v>
      </c>
      <c r="G510" s="5">
        <f t="shared" si="55"/>
        <v>1.01</v>
      </c>
      <c r="H510" s="6" t="str">
        <f t="shared" si="50"/>
        <v>INSERT INTO public.coupon (plancode, age, "year", couponrate, benefittype, benefitrate, premiumrate) VALUES('EN60', 6, 22, 8, 'A',800, 1.01);</v>
      </c>
      <c r="I510" s="6" t="str">
        <f t="shared" si="51"/>
        <v>{"age":"6", "year":"22", "couponrate":"8", "benefittype":"A", "benefitrate":"800", "premiumrate":"1.01"}</v>
      </c>
      <c r="J510" s="6" t="str">
        <f t="shared" si="52"/>
        <v>,</v>
      </c>
    </row>
    <row r="511" spans="1:10">
      <c r="A511" s="4" t="str">
        <f>'EN60'!A$3</f>
        <v>EN60</v>
      </c>
      <c r="B511" s="4">
        <f t="shared" si="53"/>
        <v>6</v>
      </c>
      <c r="C511" s="4">
        <f t="shared" si="54"/>
        <v>23</v>
      </c>
      <c r="D511" s="4">
        <f t="shared" si="48"/>
        <v>8</v>
      </c>
      <c r="E511" s="4" t="s">
        <v>27</v>
      </c>
      <c r="F511" s="4">
        <f t="shared" si="49"/>
        <v>800</v>
      </c>
      <c r="G511" s="5">
        <f t="shared" si="55"/>
        <v>1.01</v>
      </c>
      <c r="H511" s="6" t="str">
        <f t="shared" si="50"/>
        <v>INSERT INTO public.coupon (plancode, age, "year", couponrate, benefittype, benefitrate, premiumrate) VALUES('EN60', 6, 23, 8, 'A',800, 1.01);</v>
      </c>
      <c r="I511" s="6" t="str">
        <f t="shared" si="51"/>
        <v>{"age":"6", "year":"23", "couponrate":"8", "benefittype":"A", "benefitrate":"800", "premiumrate":"1.01"}</v>
      </c>
      <c r="J511" s="6" t="str">
        <f t="shared" si="52"/>
        <v>,</v>
      </c>
    </row>
    <row r="512" spans="1:10">
      <c r="A512" s="4" t="str">
        <f>'EN60'!A$3</f>
        <v>EN60</v>
      </c>
      <c r="B512" s="4">
        <f t="shared" si="53"/>
        <v>6</v>
      </c>
      <c r="C512" s="4">
        <f t="shared" si="54"/>
        <v>24</v>
      </c>
      <c r="D512" s="4">
        <f t="shared" si="48"/>
        <v>8</v>
      </c>
      <c r="E512" s="4" t="s">
        <v>27</v>
      </c>
      <c r="F512" s="4">
        <f t="shared" si="49"/>
        <v>800</v>
      </c>
      <c r="G512" s="5">
        <f t="shared" si="55"/>
        <v>1.01</v>
      </c>
      <c r="H512" s="6" t="str">
        <f t="shared" si="50"/>
        <v>INSERT INTO public.coupon (plancode, age, "year", couponrate, benefittype, benefitrate, premiumrate) VALUES('EN60', 6, 24, 8, 'A',800, 1.01);</v>
      </c>
      <c r="I512" s="6" t="str">
        <f t="shared" si="51"/>
        <v>{"age":"6", "year":"24", "couponrate":"8", "benefittype":"A", "benefitrate":"800", "premiumrate":"1.01"}</v>
      </c>
      <c r="J512" s="6" t="str">
        <f t="shared" si="52"/>
        <v>,</v>
      </c>
    </row>
    <row r="513" spans="1:10">
      <c r="A513" s="4" t="str">
        <f>'EN60'!A$3</f>
        <v>EN60</v>
      </c>
      <c r="B513" s="4">
        <f t="shared" si="53"/>
        <v>6</v>
      </c>
      <c r="C513" s="4">
        <f t="shared" si="54"/>
        <v>25</v>
      </c>
      <c r="D513" s="4">
        <f t="shared" si="48"/>
        <v>8</v>
      </c>
      <c r="E513" s="4" t="s">
        <v>27</v>
      </c>
      <c r="F513" s="4">
        <f t="shared" si="49"/>
        <v>800</v>
      </c>
      <c r="G513" s="5">
        <f t="shared" si="55"/>
        <v>1.01</v>
      </c>
      <c r="H513" s="6" t="str">
        <f t="shared" si="50"/>
        <v>INSERT INTO public.coupon (plancode, age, "year", couponrate, benefittype, benefitrate, premiumrate) VALUES('EN60', 6, 25, 8, 'A',800, 1.01);</v>
      </c>
      <c r="I513" s="6" t="str">
        <f t="shared" si="51"/>
        <v>{"age":"6", "year":"25", "couponrate":"8", "benefittype":"A", "benefitrate":"800", "premiumrate":"1.01"}</v>
      </c>
      <c r="J513" s="6" t="str">
        <f t="shared" si="52"/>
        <v>,</v>
      </c>
    </row>
    <row r="514" spans="1:10">
      <c r="A514" s="4" t="str">
        <f>'EN60'!A$3</f>
        <v>EN60</v>
      </c>
      <c r="B514" s="4">
        <f t="shared" si="53"/>
        <v>6</v>
      </c>
      <c r="C514" s="4">
        <f t="shared" si="54"/>
        <v>26</v>
      </c>
      <c r="D514" s="4">
        <f t="shared" si="48"/>
        <v>8</v>
      </c>
      <c r="E514" s="4" t="s">
        <v>27</v>
      </c>
      <c r="F514" s="4">
        <f t="shared" si="49"/>
        <v>800</v>
      </c>
      <c r="G514" s="5">
        <f t="shared" si="55"/>
        <v>1.01</v>
      </c>
      <c r="H514" s="6" t="str">
        <f t="shared" si="50"/>
        <v>INSERT INTO public.coupon (plancode, age, "year", couponrate, benefittype, benefitrate, premiumrate) VALUES('EN60', 6, 26, 8, 'A',800, 1.01);</v>
      </c>
      <c r="I514" s="6" t="str">
        <f t="shared" si="51"/>
        <v>{"age":"6", "year":"26", "couponrate":"8", "benefittype":"A", "benefitrate":"800", "premiumrate":"1.01"}</v>
      </c>
      <c r="J514" s="6" t="str">
        <f t="shared" si="52"/>
        <v>,</v>
      </c>
    </row>
    <row r="515" spans="1:10">
      <c r="A515" s="4" t="str">
        <f>'EN60'!A$3</f>
        <v>EN60</v>
      </c>
      <c r="B515" s="4">
        <f t="shared" si="53"/>
        <v>6</v>
      </c>
      <c r="C515" s="4">
        <f t="shared" si="54"/>
        <v>27</v>
      </c>
      <c r="D515" s="4">
        <f t="shared" si="48"/>
        <v>8</v>
      </c>
      <c r="E515" s="4" t="s">
        <v>27</v>
      </c>
      <c r="F515" s="4">
        <f t="shared" si="49"/>
        <v>800</v>
      </c>
      <c r="G515" s="5">
        <f t="shared" si="55"/>
        <v>1.01</v>
      </c>
      <c r="H515" s="6" t="str">
        <f t="shared" si="50"/>
        <v>INSERT INTO public.coupon (plancode, age, "year", couponrate, benefittype, benefitrate, premiumrate) VALUES('EN60', 6, 27, 8, 'A',800, 1.01);</v>
      </c>
      <c r="I515" s="6" t="str">
        <f t="shared" si="51"/>
        <v>{"age":"6", "year":"27", "couponrate":"8", "benefittype":"A", "benefitrate":"800", "premiumrate":"1.01"}</v>
      </c>
      <c r="J515" s="6" t="str">
        <f t="shared" si="52"/>
        <v>,</v>
      </c>
    </row>
    <row r="516" spans="1:10">
      <c r="A516" s="4" t="str">
        <f>'EN60'!A$3</f>
        <v>EN60</v>
      </c>
      <c r="B516" s="4">
        <f t="shared" si="53"/>
        <v>6</v>
      </c>
      <c r="C516" s="4">
        <f t="shared" si="54"/>
        <v>28</v>
      </c>
      <c r="D516" s="4">
        <f t="shared" si="48"/>
        <v>8</v>
      </c>
      <c r="E516" s="4" t="s">
        <v>27</v>
      </c>
      <c r="F516" s="4">
        <f t="shared" si="49"/>
        <v>800</v>
      </c>
      <c r="G516" s="5">
        <f t="shared" si="55"/>
        <v>1.01</v>
      </c>
      <c r="H516" s="6" t="str">
        <f t="shared" si="50"/>
        <v>INSERT INTO public.coupon (plancode, age, "year", couponrate, benefittype, benefitrate, premiumrate) VALUES('EN60', 6, 28, 8, 'A',800, 1.01);</v>
      </c>
      <c r="I516" s="6" t="str">
        <f t="shared" si="51"/>
        <v>{"age":"6", "year":"28", "couponrate":"8", "benefittype":"A", "benefitrate":"800", "premiumrate":"1.01"}</v>
      </c>
      <c r="J516" s="6" t="str">
        <f t="shared" si="52"/>
        <v>,</v>
      </c>
    </row>
    <row r="517" spans="1:10">
      <c r="A517" s="4" t="str">
        <f>'EN60'!A$3</f>
        <v>EN60</v>
      </c>
      <c r="B517" s="4">
        <f t="shared" si="53"/>
        <v>6</v>
      </c>
      <c r="C517" s="4">
        <f t="shared" si="54"/>
        <v>29</v>
      </c>
      <c r="D517" s="4">
        <f t="shared" si="48"/>
        <v>8</v>
      </c>
      <c r="E517" s="4" t="s">
        <v>27</v>
      </c>
      <c r="F517" s="4">
        <f t="shared" si="49"/>
        <v>800</v>
      </c>
      <c r="G517" s="5">
        <f t="shared" si="55"/>
        <v>1.01</v>
      </c>
      <c r="H517" s="6" t="str">
        <f t="shared" si="50"/>
        <v>INSERT INTO public.coupon (plancode, age, "year", couponrate, benefittype, benefitrate, premiumrate) VALUES('EN60', 6, 29, 8, 'A',800, 1.01);</v>
      </c>
      <c r="I517" s="6" t="str">
        <f t="shared" si="51"/>
        <v>{"age":"6", "year":"29", "couponrate":"8", "benefittype":"A", "benefitrate":"800", "premiumrate":"1.01"}</v>
      </c>
      <c r="J517" s="6" t="str">
        <f t="shared" si="52"/>
        <v>,</v>
      </c>
    </row>
    <row r="518" spans="1:10">
      <c r="A518" s="4" t="str">
        <f>'EN60'!A$3</f>
        <v>EN60</v>
      </c>
      <c r="B518" s="4">
        <f t="shared" si="53"/>
        <v>6</v>
      </c>
      <c r="C518" s="4">
        <f t="shared" si="54"/>
        <v>30</v>
      </c>
      <c r="D518" s="4">
        <f t="shared" si="48"/>
        <v>8</v>
      </c>
      <c r="E518" s="4" t="s">
        <v>27</v>
      </c>
      <c r="F518" s="4">
        <f t="shared" si="49"/>
        <v>800</v>
      </c>
      <c r="G518" s="5">
        <f t="shared" si="55"/>
        <v>1.01</v>
      </c>
      <c r="H518" s="6" t="str">
        <f t="shared" si="50"/>
        <v>INSERT INTO public.coupon (plancode, age, "year", couponrate, benefittype, benefitrate, premiumrate) VALUES('EN60', 6, 30, 8, 'A',800, 1.01);</v>
      </c>
      <c r="I518" s="6" t="str">
        <f t="shared" si="51"/>
        <v>{"age":"6", "year":"30", "couponrate":"8", "benefittype":"A", "benefitrate":"800", "premiumrate":"1.01"}</v>
      </c>
      <c r="J518" s="6" t="str">
        <f t="shared" si="52"/>
        <v>,</v>
      </c>
    </row>
    <row r="519" spans="1:10">
      <c r="A519" s="4" t="str">
        <f>'EN60'!A$3</f>
        <v>EN60</v>
      </c>
      <c r="B519" s="4">
        <f t="shared" si="53"/>
        <v>6</v>
      </c>
      <c r="C519" s="4">
        <f t="shared" si="54"/>
        <v>31</v>
      </c>
      <c r="D519" s="4">
        <f t="shared" si="48"/>
        <v>8</v>
      </c>
      <c r="E519" s="4" t="s">
        <v>27</v>
      </c>
      <c r="F519" s="4">
        <f t="shared" si="49"/>
        <v>800</v>
      </c>
      <c r="G519" s="5">
        <f t="shared" si="55"/>
        <v>1.01</v>
      </c>
      <c r="H519" s="6" t="str">
        <f t="shared" si="50"/>
        <v>INSERT INTO public.coupon (plancode, age, "year", couponrate, benefittype, benefitrate, premiumrate) VALUES('EN60', 6, 31, 8, 'A',800, 1.01);</v>
      </c>
      <c r="I519" s="6" t="str">
        <f t="shared" si="51"/>
        <v>{"age":"6", "year":"31", "couponrate":"8", "benefittype":"A", "benefitrate":"800", "premiumrate":"1.01"}</v>
      </c>
      <c r="J519" s="6" t="str">
        <f t="shared" si="52"/>
        <v>,</v>
      </c>
    </row>
    <row r="520" spans="1:10">
      <c r="A520" s="4" t="str">
        <f>'EN60'!A$3</f>
        <v>EN60</v>
      </c>
      <c r="B520" s="4">
        <f t="shared" si="53"/>
        <v>6</v>
      </c>
      <c r="C520" s="4">
        <f t="shared" si="54"/>
        <v>32</v>
      </c>
      <c r="D520" s="4">
        <f t="shared" si="48"/>
        <v>8</v>
      </c>
      <c r="E520" s="4" t="s">
        <v>27</v>
      </c>
      <c r="F520" s="4">
        <f t="shared" si="49"/>
        <v>800</v>
      </c>
      <c r="G520" s="5">
        <f t="shared" si="55"/>
        <v>1.01</v>
      </c>
      <c r="H520" s="6" t="str">
        <f t="shared" si="50"/>
        <v>INSERT INTO public.coupon (plancode, age, "year", couponrate, benefittype, benefitrate, premiumrate) VALUES('EN60', 6, 32, 8, 'A',800, 1.01);</v>
      </c>
      <c r="I520" s="6" t="str">
        <f t="shared" si="51"/>
        <v>{"age":"6", "year":"32", "couponrate":"8", "benefittype":"A", "benefitrate":"800", "premiumrate":"1.01"}</v>
      </c>
      <c r="J520" s="6" t="str">
        <f t="shared" si="52"/>
        <v>,</v>
      </c>
    </row>
    <row r="521" spans="1:10">
      <c r="A521" s="4" t="str">
        <f>'EN60'!A$3</f>
        <v>EN60</v>
      </c>
      <c r="B521" s="4">
        <f t="shared" si="53"/>
        <v>6</v>
      </c>
      <c r="C521" s="4">
        <f t="shared" si="54"/>
        <v>33</v>
      </c>
      <c r="D521" s="4">
        <f t="shared" si="48"/>
        <v>8</v>
      </c>
      <c r="E521" s="4" t="s">
        <v>27</v>
      </c>
      <c r="F521" s="4">
        <f t="shared" si="49"/>
        <v>800</v>
      </c>
      <c r="G521" s="5">
        <f t="shared" si="55"/>
        <v>1.01</v>
      </c>
      <c r="H521" s="6" t="str">
        <f t="shared" si="50"/>
        <v>INSERT INTO public.coupon (plancode, age, "year", couponrate, benefittype, benefitrate, premiumrate) VALUES('EN60', 6, 33, 8, 'A',800, 1.01);</v>
      </c>
      <c r="I521" s="6" t="str">
        <f t="shared" si="51"/>
        <v>{"age":"6", "year":"33", "couponrate":"8", "benefittype":"A", "benefitrate":"800", "premiumrate":"1.01"}</v>
      </c>
      <c r="J521" s="6" t="str">
        <f t="shared" si="52"/>
        <v>,</v>
      </c>
    </row>
    <row r="522" spans="1:10">
      <c r="A522" s="4" t="str">
        <f>'EN60'!A$3</f>
        <v>EN60</v>
      </c>
      <c r="B522" s="4">
        <f t="shared" si="53"/>
        <v>6</v>
      </c>
      <c r="C522" s="4">
        <f t="shared" si="54"/>
        <v>34</v>
      </c>
      <c r="D522" s="4">
        <f t="shared" si="48"/>
        <v>8</v>
      </c>
      <c r="E522" s="4" t="s">
        <v>27</v>
      </c>
      <c r="F522" s="4">
        <f t="shared" si="49"/>
        <v>800</v>
      </c>
      <c r="G522" s="5">
        <f t="shared" si="55"/>
        <v>1.01</v>
      </c>
      <c r="H522" s="6" t="str">
        <f t="shared" si="50"/>
        <v>INSERT INTO public.coupon (plancode, age, "year", couponrate, benefittype, benefitrate, premiumrate) VALUES('EN60', 6, 34, 8, 'A',800, 1.01);</v>
      </c>
      <c r="I522" s="6" t="str">
        <f t="shared" si="51"/>
        <v>{"age":"6", "year":"34", "couponrate":"8", "benefittype":"A", "benefitrate":"800", "premiumrate":"1.01"}</v>
      </c>
      <c r="J522" s="6" t="str">
        <f t="shared" si="52"/>
        <v>,</v>
      </c>
    </row>
    <row r="523" spans="1:10">
      <c r="A523" s="4" t="str">
        <f>'EN60'!A$3</f>
        <v>EN60</v>
      </c>
      <c r="B523" s="4">
        <f t="shared" si="53"/>
        <v>6</v>
      </c>
      <c r="C523" s="4">
        <f t="shared" si="54"/>
        <v>35</v>
      </c>
      <c r="D523" s="4">
        <f t="shared" si="48"/>
        <v>8</v>
      </c>
      <c r="E523" s="4" t="s">
        <v>27</v>
      </c>
      <c r="F523" s="4">
        <f t="shared" si="49"/>
        <v>800</v>
      </c>
      <c r="G523" s="5">
        <f t="shared" si="55"/>
        <v>1.01</v>
      </c>
      <c r="H523" s="6" t="str">
        <f t="shared" si="50"/>
        <v>INSERT INTO public.coupon (plancode, age, "year", couponrate, benefittype, benefitrate, premiumrate) VALUES('EN60', 6, 35, 8, 'A',800, 1.01);</v>
      </c>
      <c r="I523" s="6" t="str">
        <f t="shared" si="51"/>
        <v>{"age":"6", "year":"35", "couponrate":"8", "benefittype":"A", "benefitrate":"800", "premiumrate":"1.01"}</v>
      </c>
      <c r="J523" s="6" t="str">
        <f t="shared" si="52"/>
        <v>,</v>
      </c>
    </row>
    <row r="524" spans="1:10">
      <c r="A524" s="4" t="str">
        <f>'EN60'!A$3</f>
        <v>EN60</v>
      </c>
      <c r="B524" s="4">
        <f t="shared" si="53"/>
        <v>6</v>
      </c>
      <c r="C524" s="4">
        <f t="shared" si="54"/>
        <v>36</v>
      </c>
      <c r="D524" s="4">
        <f t="shared" si="48"/>
        <v>8</v>
      </c>
      <c r="E524" s="4" t="s">
        <v>27</v>
      </c>
      <c r="F524" s="4">
        <f t="shared" si="49"/>
        <v>800</v>
      </c>
      <c r="G524" s="5">
        <f t="shared" si="55"/>
        <v>1.01</v>
      </c>
      <c r="H524" s="6" t="str">
        <f t="shared" si="50"/>
        <v>INSERT INTO public.coupon (plancode, age, "year", couponrate, benefittype, benefitrate, premiumrate) VALUES('EN60', 6, 36, 8, 'A',800, 1.01);</v>
      </c>
      <c r="I524" s="6" t="str">
        <f t="shared" si="51"/>
        <v>{"age":"6", "year":"36", "couponrate":"8", "benefittype":"A", "benefitrate":"800", "premiumrate":"1.01"}</v>
      </c>
      <c r="J524" s="6" t="str">
        <f t="shared" si="52"/>
        <v>,</v>
      </c>
    </row>
    <row r="525" spans="1:10">
      <c r="A525" s="4" t="str">
        <f>'EN60'!A$3</f>
        <v>EN60</v>
      </c>
      <c r="B525" s="4">
        <f t="shared" si="53"/>
        <v>6</v>
      </c>
      <c r="C525" s="4">
        <f t="shared" si="54"/>
        <v>37</v>
      </c>
      <c r="D525" s="4">
        <f t="shared" si="48"/>
        <v>8</v>
      </c>
      <c r="E525" s="4" t="s">
        <v>27</v>
      </c>
      <c r="F525" s="4">
        <f t="shared" si="49"/>
        <v>800</v>
      </c>
      <c r="G525" s="5">
        <f t="shared" si="55"/>
        <v>1.01</v>
      </c>
      <c r="H525" s="6" t="str">
        <f t="shared" si="50"/>
        <v>INSERT INTO public.coupon (plancode, age, "year", couponrate, benefittype, benefitrate, premiumrate) VALUES('EN60', 6, 37, 8, 'A',800, 1.01);</v>
      </c>
      <c r="I525" s="6" t="str">
        <f t="shared" si="51"/>
        <v>{"age":"6", "year":"37", "couponrate":"8", "benefittype":"A", "benefitrate":"800", "premiumrate":"1.01"}</v>
      </c>
      <c r="J525" s="6" t="str">
        <f t="shared" si="52"/>
        <v>,</v>
      </c>
    </row>
    <row r="526" spans="1:10">
      <c r="A526" s="4" t="str">
        <f>'EN60'!A$3</f>
        <v>EN60</v>
      </c>
      <c r="B526" s="4">
        <f t="shared" si="53"/>
        <v>6</v>
      </c>
      <c r="C526" s="4">
        <f t="shared" si="54"/>
        <v>38</v>
      </c>
      <c r="D526" s="4">
        <f t="shared" si="48"/>
        <v>8</v>
      </c>
      <c r="E526" s="4" t="s">
        <v>27</v>
      </c>
      <c r="F526" s="4">
        <f t="shared" si="49"/>
        <v>800</v>
      </c>
      <c r="G526" s="5">
        <f t="shared" si="55"/>
        <v>1.01</v>
      </c>
      <c r="H526" s="6" t="str">
        <f t="shared" si="50"/>
        <v>INSERT INTO public.coupon (plancode, age, "year", couponrate, benefittype, benefitrate, premiumrate) VALUES('EN60', 6, 38, 8, 'A',800, 1.01);</v>
      </c>
      <c r="I526" s="6" t="str">
        <f t="shared" si="51"/>
        <v>{"age":"6", "year":"38", "couponrate":"8", "benefittype":"A", "benefitrate":"800", "premiumrate":"1.01"}</v>
      </c>
      <c r="J526" s="6" t="str">
        <f t="shared" si="52"/>
        <v>,</v>
      </c>
    </row>
    <row r="527" spans="1:10">
      <c r="A527" s="4" t="str">
        <f>'EN60'!A$3</f>
        <v>EN60</v>
      </c>
      <c r="B527" s="4">
        <f t="shared" si="53"/>
        <v>6</v>
      </c>
      <c r="C527" s="4">
        <f t="shared" si="54"/>
        <v>39</v>
      </c>
      <c r="D527" s="4">
        <f t="shared" si="48"/>
        <v>8</v>
      </c>
      <c r="E527" s="4" t="s">
        <v>27</v>
      </c>
      <c r="F527" s="4">
        <f t="shared" si="49"/>
        <v>800</v>
      </c>
      <c r="G527" s="5">
        <f t="shared" si="55"/>
        <v>1.01</v>
      </c>
      <c r="H527" s="6" t="str">
        <f t="shared" si="50"/>
        <v>INSERT INTO public.coupon (plancode, age, "year", couponrate, benefittype, benefitrate, premiumrate) VALUES('EN60', 6, 39, 8, 'A',800, 1.01);</v>
      </c>
      <c r="I527" s="6" t="str">
        <f t="shared" si="51"/>
        <v>{"age":"6", "year":"39", "couponrate":"8", "benefittype":"A", "benefitrate":"800", "premiumrate":"1.01"}</v>
      </c>
      <c r="J527" s="6" t="str">
        <f t="shared" si="52"/>
        <v>,</v>
      </c>
    </row>
    <row r="528" spans="1:10">
      <c r="A528" s="4" t="str">
        <f>'EN60'!A$3</f>
        <v>EN60</v>
      </c>
      <c r="B528" s="4">
        <f t="shared" si="53"/>
        <v>6</v>
      </c>
      <c r="C528" s="4">
        <f t="shared" si="54"/>
        <v>40</v>
      </c>
      <c r="D528" s="4">
        <f t="shared" si="48"/>
        <v>8</v>
      </c>
      <c r="E528" s="4" t="s">
        <v>27</v>
      </c>
      <c r="F528" s="4">
        <f t="shared" si="49"/>
        <v>800</v>
      </c>
      <c r="G528" s="5">
        <f t="shared" si="55"/>
        <v>1.01</v>
      </c>
      <c r="H528" s="6" t="str">
        <f t="shared" si="50"/>
        <v>INSERT INTO public.coupon (plancode, age, "year", couponrate, benefittype, benefitrate, premiumrate) VALUES('EN60', 6, 40, 8, 'A',800, 1.01);</v>
      </c>
      <c r="I528" s="6" t="str">
        <f t="shared" si="51"/>
        <v>{"age":"6", "year":"40", "couponrate":"8", "benefittype":"A", "benefitrate":"800", "premiumrate":"1.01"}</v>
      </c>
      <c r="J528" s="6" t="str">
        <f t="shared" si="52"/>
        <v>,</v>
      </c>
    </row>
    <row r="529" spans="1:10">
      <c r="A529" s="4" t="str">
        <f>'EN60'!A$3</f>
        <v>EN60</v>
      </c>
      <c r="B529" s="4">
        <f t="shared" si="53"/>
        <v>6</v>
      </c>
      <c r="C529" s="4">
        <f t="shared" si="54"/>
        <v>41</v>
      </c>
      <c r="D529" s="4">
        <f t="shared" si="48"/>
        <v>8</v>
      </c>
      <c r="E529" s="4" t="s">
        <v>27</v>
      </c>
      <c r="F529" s="4">
        <f t="shared" si="49"/>
        <v>800</v>
      </c>
      <c r="G529" s="5">
        <f t="shared" si="55"/>
        <v>1.01</v>
      </c>
      <c r="H529" s="6" t="str">
        <f t="shared" si="50"/>
        <v>INSERT INTO public.coupon (plancode, age, "year", couponrate, benefittype, benefitrate, premiumrate) VALUES('EN60', 6, 41, 8, 'A',800, 1.01);</v>
      </c>
      <c r="I529" s="6" t="str">
        <f t="shared" si="51"/>
        <v>{"age":"6", "year":"41", "couponrate":"8", "benefittype":"A", "benefitrate":"800", "premiumrate":"1.01"}</v>
      </c>
      <c r="J529" s="6" t="str">
        <f t="shared" si="52"/>
        <v>,</v>
      </c>
    </row>
    <row r="530" spans="1:10">
      <c r="A530" s="4" t="str">
        <f>'EN60'!A$3</f>
        <v>EN60</v>
      </c>
      <c r="B530" s="4">
        <f t="shared" si="53"/>
        <v>6</v>
      </c>
      <c r="C530" s="4">
        <f t="shared" si="54"/>
        <v>42</v>
      </c>
      <c r="D530" s="4">
        <f t="shared" si="48"/>
        <v>8</v>
      </c>
      <c r="E530" s="4" t="s">
        <v>27</v>
      </c>
      <c r="F530" s="4">
        <f t="shared" si="49"/>
        <v>800</v>
      </c>
      <c r="G530" s="5">
        <f t="shared" si="55"/>
        <v>1.01</v>
      </c>
      <c r="H530" s="6" t="str">
        <f t="shared" si="50"/>
        <v>INSERT INTO public.coupon (plancode, age, "year", couponrate, benefittype, benefitrate, premiumrate) VALUES('EN60', 6, 42, 8, 'A',800, 1.01);</v>
      </c>
      <c r="I530" s="6" t="str">
        <f t="shared" si="51"/>
        <v>{"age":"6", "year":"42", "couponrate":"8", "benefittype":"A", "benefitrate":"800", "premiumrate":"1.01"}</v>
      </c>
      <c r="J530" s="6" t="str">
        <f t="shared" si="52"/>
        <v>,</v>
      </c>
    </row>
    <row r="531" spans="1:10">
      <c r="A531" s="4" t="str">
        <f>'EN60'!A$3</f>
        <v>EN60</v>
      </c>
      <c r="B531" s="4">
        <f t="shared" si="53"/>
        <v>6</v>
      </c>
      <c r="C531" s="4">
        <f t="shared" si="54"/>
        <v>43</v>
      </c>
      <c r="D531" s="4">
        <f t="shared" si="48"/>
        <v>8</v>
      </c>
      <c r="E531" s="4" t="s">
        <v>27</v>
      </c>
      <c r="F531" s="4">
        <f t="shared" si="49"/>
        <v>800</v>
      </c>
      <c r="G531" s="5">
        <f t="shared" si="55"/>
        <v>1.01</v>
      </c>
      <c r="H531" s="6" t="str">
        <f t="shared" si="50"/>
        <v>INSERT INTO public.coupon (plancode, age, "year", couponrate, benefittype, benefitrate, premiumrate) VALUES('EN60', 6, 43, 8, 'A',800, 1.01);</v>
      </c>
      <c r="I531" s="6" t="str">
        <f t="shared" si="51"/>
        <v>{"age":"6", "year":"43", "couponrate":"8", "benefittype":"A", "benefitrate":"800", "premiumrate":"1.01"}</v>
      </c>
      <c r="J531" s="6" t="str">
        <f t="shared" si="52"/>
        <v>,</v>
      </c>
    </row>
    <row r="532" spans="1:10">
      <c r="A532" s="4" t="str">
        <f>'EN60'!A$3</f>
        <v>EN60</v>
      </c>
      <c r="B532" s="4">
        <f t="shared" si="53"/>
        <v>6</v>
      </c>
      <c r="C532" s="4">
        <f t="shared" si="54"/>
        <v>44</v>
      </c>
      <c r="D532" s="4">
        <f t="shared" si="48"/>
        <v>8</v>
      </c>
      <c r="E532" s="4" t="s">
        <v>27</v>
      </c>
      <c r="F532" s="4">
        <f t="shared" si="49"/>
        <v>800</v>
      </c>
      <c r="G532" s="5">
        <f t="shared" si="55"/>
        <v>1.01</v>
      </c>
      <c r="H532" s="6" t="str">
        <f t="shared" si="50"/>
        <v>INSERT INTO public.coupon (plancode, age, "year", couponrate, benefittype, benefitrate, premiumrate) VALUES('EN60', 6, 44, 8, 'A',800, 1.01);</v>
      </c>
      <c r="I532" s="6" t="str">
        <f t="shared" si="51"/>
        <v>{"age":"6", "year":"44", "couponrate":"8", "benefittype":"A", "benefitrate":"800", "premiumrate":"1.01"}</v>
      </c>
      <c r="J532" s="6" t="str">
        <f t="shared" si="52"/>
        <v>,</v>
      </c>
    </row>
    <row r="533" spans="1:10">
      <c r="A533" s="4" t="str">
        <f>'EN60'!A$3</f>
        <v>EN60</v>
      </c>
      <c r="B533" s="4">
        <f t="shared" si="53"/>
        <v>6</v>
      </c>
      <c r="C533" s="4">
        <f t="shared" si="54"/>
        <v>45</v>
      </c>
      <c r="D533" s="4">
        <f t="shared" si="48"/>
        <v>8</v>
      </c>
      <c r="E533" s="4" t="s">
        <v>27</v>
      </c>
      <c r="F533" s="4">
        <f t="shared" si="49"/>
        <v>800</v>
      </c>
      <c r="G533" s="5">
        <f t="shared" si="55"/>
        <v>1.01</v>
      </c>
      <c r="H533" s="6" t="str">
        <f t="shared" si="50"/>
        <v>INSERT INTO public.coupon (plancode, age, "year", couponrate, benefittype, benefitrate, premiumrate) VALUES('EN60', 6, 45, 8, 'A',800, 1.01);</v>
      </c>
      <c r="I533" s="6" t="str">
        <f t="shared" si="51"/>
        <v>{"age":"6", "year":"45", "couponrate":"8", "benefittype":"A", "benefitrate":"800", "premiumrate":"1.01"}</v>
      </c>
      <c r="J533" s="6" t="str">
        <f t="shared" si="52"/>
        <v>,</v>
      </c>
    </row>
    <row r="534" spans="1:10">
      <c r="A534" s="4" t="str">
        <f>'EN60'!A$3</f>
        <v>EN60</v>
      </c>
      <c r="B534" s="4">
        <f t="shared" si="53"/>
        <v>6</v>
      </c>
      <c r="C534" s="4">
        <f t="shared" si="54"/>
        <v>46</v>
      </c>
      <c r="D534" s="4">
        <f t="shared" si="48"/>
        <v>8</v>
      </c>
      <c r="E534" s="4" t="s">
        <v>27</v>
      </c>
      <c r="F534" s="4">
        <f t="shared" si="49"/>
        <v>800</v>
      </c>
      <c r="G534" s="5">
        <f t="shared" si="55"/>
        <v>1.01</v>
      </c>
      <c r="H534" s="6" t="str">
        <f t="shared" si="50"/>
        <v>INSERT INTO public.coupon (plancode, age, "year", couponrate, benefittype, benefitrate, premiumrate) VALUES('EN60', 6, 46, 8, 'A',800, 1.01);</v>
      </c>
      <c r="I534" s="6" t="str">
        <f t="shared" si="51"/>
        <v>{"age":"6", "year":"46", "couponrate":"8", "benefittype":"A", "benefitrate":"800", "premiumrate":"1.01"}</v>
      </c>
      <c r="J534" s="6" t="str">
        <f t="shared" si="52"/>
        <v>,</v>
      </c>
    </row>
    <row r="535" spans="1:10">
      <c r="A535" s="4" t="str">
        <f>'EN60'!A$3</f>
        <v>EN60</v>
      </c>
      <c r="B535" s="4">
        <f t="shared" si="53"/>
        <v>6</v>
      </c>
      <c r="C535" s="4">
        <f t="shared" si="54"/>
        <v>47</v>
      </c>
      <c r="D535" s="4">
        <f t="shared" si="48"/>
        <v>8</v>
      </c>
      <c r="E535" s="4" t="s">
        <v>27</v>
      </c>
      <c r="F535" s="4">
        <f t="shared" si="49"/>
        <v>800</v>
      </c>
      <c r="G535" s="5">
        <f t="shared" si="55"/>
        <v>1.01</v>
      </c>
      <c r="H535" s="6" t="str">
        <f t="shared" si="50"/>
        <v>INSERT INTO public.coupon (plancode, age, "year", couponrate, benefittype, benefitrate, premiumrate) VALUES('EN60', 6, 47, 8, 'A',800, 1.01);</v>
      </c>
      <c r="I535" s="6" t="str">
        <f t="shared" si="51"/>
        <v>{"age":"6", "year":"47", "couponrate":"8", "benefittype":"A", "benefitrate":"800", "premiumrate":"1.01"}</v>
      </c>
      <c r="J535" s="6" t="str">
        <f t="shared" si="52"/>
        <v>,</v>
      </c>
    </row>
    <row r="536" spans="1:10">
      <c r="A536" s="4" t="str">
        <f>'EN60'!A$3</f>
        <v>EN60</v>
      </c>
      <c r="B536" s="4">
        <f t="shared" si="53"/>
        <v>6</v>
      </c>
      <c r="C536" s="4">
        <f t="shared" si="54"/>
        <v>48</v>
      </c>
      <c r="D536" s="4">
        <f t="shared" si="48"/>
        <v>8</v>
      </c>
      <c r="E536" s="4" t="s">
        <v>27</v>
      </c>
      <c r="F536" s="4">
        <f t="shared" si="49"/>
        <v>800</v>
      </c>
      <c r="G536" s="5">
        <f t="shared" si="55"/>
        <v>1.01</v>
      </c>
      <c r="H536" s="6" t="str">
        <f t="shared" si="50"/>
        <v>INSERT INTO public.coupon (plancode, age, "year", couponrate, benefittype, benefitrate, premiumrate) VALUES('EN60', 6, 48, 8, 'A',800, 1.01);</v>
      </c>
      <c r="I536" s="6" t="str">
        <f t="shared" si="51"/>
        <v>{"age":"6", "year":"48", "couponrate":"8", "benefittype":"A", "benefitrate":"800", "premiumrate":"1.01"}</v>
      </c>
      <c r="J536" s="6" t="str">
        <f t="shared" si="52"/>
        <v>,</v>
      </c>
    </row>
    <row r="537" spans="1:10">
      <c r="A537" s="4" t="str">
        <f>'EN60'!A$3</f>
        <v>EN60</v>
      </c>
      <c r="B537" s="4">
        <f t="shared" si="53"/>
        <v>6</v>
      </c>
      <c r="C537" s="4">
        <f t="shared" si="54"/>
        <v>49</v>
      </c>
      <c r="D537" s="4">
        <f t="shared" si="48"/>
        <v>8</v>
      </c>
      <c r="E537" s="4" t="s">
        <v>27</v>
      </c>
      <c r="F537" s="4">
        <f t="shared" si="49"/>
        <v>800</v>
      </c>
      <c r="G537" s="5">
        <f t="shared" si="55"/>
        <v>1.01</v>
      </c>
      <c r="H537" s="6" t="str">
        <f t="shared" si="50"/>
        <v>INSERT INTO public.coupon (plancode, age, "year", couponrate, benefittype, benefitrate, premiumrate) VALUES('EN60', 6, 49, 8, 'A',800, 1.01);</v>
      </c>
      <c r="I537" s="6" t="str">
        <f t="shared" si="51"/>
        <v>{"age":"6", "year":"49", "couponrate":"8", "benefittype":"A", "benefitrate":"800", "premiumrate":"1.01"}</v>
      </c>
      <c r="J537" s="6" t="str">
        <f t="shared" si="52"/>
        <v>,</v>
      </c>
    </row>
    <row r="538" spans="1:10">
      <c r="A538" s="4" t="str">
        <f>'EN60'!A$3</f>
        <v>EN60</v>
      </c>
      <c r="B538" s="4">
        <f t="shared" si="53"/>
        <v>6</v>
      </c>
      <c r="C538" s="4">
        <f t="shared" si="54"/>
        <v>50</v>
      </c>
      <c r="D538" s="4">
        <f t="shared" si="48"/>
        <v>8</v>
      </c>
      <c r="E538" s="4" t="s">
        <v>27</v>
      </c>
      <c r="F538" s="4">
        <f t="shared" si="49"/>
        <v>800</v>
      </c>
      <c r="G538" s="5">
        <f t="shared" si="55"/>
        <v>1.01</v>
      </c>
      <c r="H538" s="6" t="str">
        <f t="shared" si="50"/>
        <v>INSERT INTO public.coupon (plancode, age, "year", couponrate, benefittype, benefitrate, premiumrate) VALUES('EN60', 6, 50, 8, 'A',800, 1.01);</v>
      </c>
      <c r="I538" s="6" t="str">
        <f t="shared" si="51"/>
        <v>{"age":"6", "year":"50", "couponrate":"8", "benefittype":"A", "benefitrate":"800", "premiumrate":"1.01"}</v>
      </c>
      <c r="J538" s="6" t="str">
        <f t="shared" si="52"/>
        <v>,</v>
      </c>
    </row>
    <row r="539" spans="1:10">
      <c r="A539" s="4" t="str">
        <f>'EN60'!A$3</f>
        <v>EN60</v>
      </c>
      <c r="B539" s="4">
        <f t="shared" si="53"/>
        <v>6</v>
      </c>
      <c r="C539" s="4">
        <f t="shared" si="54"/>
        <v>51</v>
      </c>
      <c r="D539" s="4">
        <f t="shared" si="48"/>
        <v>8</v>
      </c>
      <c r="E539" s="4" t="s">
        <v>27</v>
      </c>
      <c r="F539" s="4">
        <f t="shared" si="49"/>
        <v>800</v>
      </c>
      <c r="G539" s="5">
        <f t="shared" si="55"/>
        <v>1.01</v>
      </c>
      <c r="H539" s="6" t="str">
        <f t="shared" si="50"/>
        <v>INSERT INTO public.coupon (plancode, age, "year", couponrate, benefittype, benefitrate, premiumrate) VALUES('EN60', 6, 51, 8, 'A',800, 1.01);</v>
      </c>
      <c r="I539" s="6" t="str">
        <f t="shared" si="51"/>
        <v>{"age":"6", "year":"51", "couponrate":"8", "benefittype":"A", "benefitrate":"800", "premiumrate":"1.01"}</v>
      </c>
      <c r="J539" s="6" t="str">
        <f t="shared" si="52"/>
        <v>,</v>
      </c>
    </row>
    <row r="540" spans="1:10">
      <c r="A540" s="4" t="str">
        <f>'EN60'!A$3</f>
        <v>EN60</v>
      </c>
      <c r="B540" s="4">
        <f t="shared" si="53"/>
        <v>6</v>
      </c>
      <c r="C540" s="4">
        <f t="shared" si="54"/>
        <v>52</v>
      </c>
      <c r="D540" s="4">
        <f t="shared" si="48"/>
        <v>8</v>
      </c>
      <c r="E540" s="4" t="s">
        <v>27</v>
      </c>
      <c r="F540" s="4">
        <f t="shared" si="49"/>
        <v>800</v>
      </c>
      <c r="G540" s="5">
        <f t="shared" si="55"/>
        <v>1.01</v>
      </c>
      <c r="H540" s="6" t="str">
        <f t="shared" si="50"/>
        <v>INSERT INTO public.coupon (plancode, age, "year", couponrate, benefittype, benefitrate, premiumrate) VALUES('EN60', 6, 52, 8, 'A',800, 1.01);</v>
      </c>
      <c r="I540" s="6" t="str">
        <f t="shared" si="51"/>
        <v>{"age":"6", "year":"52", "couponrate":"8", "benefittype":"A", "benefitrate":"800", "premiumrate":"1.01"}</v>
      </c>
      <c r="J540" s="6" t="str">
        <f t="shared" si="52"/>
        <v>,</v>
      </c>
    </row>
    <row r="541" spans="1:10">
      <c r="A541" s="4" t="str">
        <f>'EN60'!A$3</f>
        <v>EN60</v>
      </c>
      <c r="B541" s="4">
        <f t="shared" si="53"/>
        <v>6</v>
      </c>
      <c r="C541" s="4">
        <f t="shared" si="54"/>
        <v>53</v>
      </c>
      <c r="D541" s="4">
        <f t="shared" si="48"/>
        <v>8</v>
      </c>
      <c r="E541" s="4" t="s">
        <v>27</v>
      </c>
      <c r="F541" s="4">
        <f t="shared" si="49"/>
        <v>800</v>
      </c>
      <c r="G541" s="5">
        <f t="shared" si="55"/>
        <v>1.01</v>
      </c>
      <c r="H541" s="6" t="str">
        <f t="shared" si="50"/>
        <v>INSERT INTO public.coupon (plancode, age, "year", couponrate, benefittype, benefitrate, premiumrate) VALUES('EN60', 6, 53, 8, 'A',800, 1.01);</v>
      </c>
      <c r="I541" s="6" t="str">
        <f t="shared" si="51"/>
        <v>{"age":"6", "year":"53", "couponrate":"8", "benefittype":"A", "benefitrate":"800", "premiumrate":"1.01"}</v>
      </c>
      <c r="J541" s="6" t="str">
        <f t="shared" si="52"/>
        <v>,</v>
      </c>
    </row>
    <row r="542" spans="1:10">
      <c r="A542" s="4" t="str">
        <f>'EN60'!A$3</f>
        <v>EN60</v>
      </c>
      <c r="B542" s="4">
        <f t="shared" si="53"/>
        <v>6</v>
      </c>
      <c r="C542" s="4">
        <f t="shared" si="54"/>
        <v>54</v>
      </c>
      <c r="D542" s="4">
        <f t="shared" si="48"/>
        <v>8</v>
      </c>
      <c r="E542" s="4" t="s">
        <v>27</v>
      </c>
      <c r="F542" s="4">
        <f t="shared" si="49"/>
        <v>800</v>
      </c>
      <c r="G542" s="5">
        <f t="shared" si="55"/>
        <v>1.01</v>
      </c>
      <c r="H542" s="6" t="str">
        <f t="shared" si="50"/>
        <v>INSERT INTO public.coupon (plancode, age, "year", couponrate, benefittype, benefitrate, premiumrate) VALUES('EN60', 6, 54, 8, 'A',800, 1.01);</v>
      </c>
      <c r="I542" s="6" t="str">
        <f t="shared" si="51"/>
        <v>{"age":"6", "year":"54", "couponrate":"8", "benefittype":"A", "benefitrate":"800", "premiumrate":"1.01"}</v>
      </c>
      <c r="J542" s="6" t="str">
        <f t="shared" si="52"/>
        <v>,</v>
      </c>
    </row>
    <row r="543" spans="1:10">
      <c r="A543" s="4" t="str">
        <f>'EN60'!A$3</f>
        <v>EN60</v>
      </c>
      <c r="B543" s="4">
        <f t="shared" si="53"/>
        <v>6</v>
      </c>
      <c r="C543" s="4">
        <f t="shared" si="54"/>
        <v>55</v>
      </c>
      <c r="D543" s="4">
        <f t="shared" si="48"/>
        <v>8</v>
      </c>
      <c r="E543" s="4" t="s">
        <v>27</v>
      </c>
      <c r="F543" s="4">
        <f t="shared" si="49"/>
        <v>800</v>
      </c>
      <c r="G543" s="5">
        <f t="shared" si="55"/>
        <v>1.01</v>
      </c>
      <c r="H543" s="6" t="str">
        <f t="shared" si="50"/>
        <v>INSERT INTO public.coupon (plancode, age, "year", couponrate, benefittype, benefitrate, premiumrate) VALUES('EN60', 6, 55, 8, 'A',800, 1.01);</v>
      </c>
      <c r="I543" s="6" t="str">
        <f t="shared" si="51"/>
        <v>{"age":"6", "year":"55", "couponrate":"8", "benefittype":"A", "benefitrate":"800", "premiumrate":"1.01"}</v>
      </c>
      <c r="J543" s="6" t="str">
        <f t="shared" si="52"/>
        <v>,</v>
      </c>
    </row>
    <row r="544" spans="1:10">
      <c r="A544" s="4" t="str">
        <f>'EN60'!A$3</f>
        <v>EN60</v>
      </c>
      <c r="B544" s="4">
        <f t="shared" si="53"/>
        <v>6</v>
      </c>
      <c r="C544" s="4">
        <f t="shared" si="54"/>
        <v>56</v>
      </c>
      <c r="D544" s="4">
        <f t="shared" si="48"/>
        <v>8</v>
      </c>
      <c r="E544" s="4" t="s">
        <v>27</v>
      </c>
      <c r="F544" s="4">
        <f t="shared" si="49"/>
        <v>800</v>
      </c>
      <c r="G544" s="5">
        <f t="shared" si="55"/>
        <v>1.01</v>
      </c>
      <c r="H544" s="6" t="str">
        <f t="shared" si="50"/>
        <v>INSERT INTO public.coupon (plancode, age, "year", couponrate, benefittype, benefitrate, premiumrate) VALUES('EN60', 6, 56, 8, 'A',800, 1.01);</v>
      </c>
      <c r="I544" s="6" t="str">
        <f t="shared" si="51"/>
        <v>{"age":"6", "year":"56", "couponrate":"8", "benefittype":"A", "benefitrate":"800", "premiumrate":"1.01"}</v>
      </c>
      <c r="J544" s="6" t="str">
        <f t="shared" si="52"/>
        <v>,</v>
      </c>
    </row>
    <row r="545" spans="1:10">
      <c r="A545" s="4" t="str">
        <f>'EN60'!A$3</f>
        <v>EN60</v>
      </c>
      <c r="B545" s="4">
        <f t="shared" si="53"/>
        <v>6</v>
      </c>
      <c r="C545" s="4">
        <f t="shared" si="54"/>
        <v>57</v>
      </c>
      <c r="D545" s="4">
        <f t="shared" si="48"/>
        <v>8</v>
      </c>
      <c r="E545" s="4" t="s">
        <v>27</v>
      </c>
      <c r="F545" s="4">
        <f t="shared" si="49"/>
        <v>800</v>
      </c>
      <c r="G545" s="5">
        <f t="shared" si="55"/>
        <v>1.01</v>
      </c>
      <c r="H545" s="6" t="str">
        <f t="shared" si="50"/>
        <v>INSERT INTO public.coupon (plancode, age, "year", couponrate, benefittype, benefitrate, premiumrate) VALUES('EN60', 6, 57, 8, 'A',800, 1.01);</v>
      </c>
      <c r="I545" s="6" t="str">
        <f t="shared" si="51"/>
        <v>{"age":"6", "year":"57", "couponrate":"8", "benefittype":"A", "benefitrate":"800", "premiumrate":"1.01"}</v>
      </c>
      <c r="J545" s="6" t="str">
        <f t="shared" si="52"/>
        <v>,</v>
      </c>
    </row>
    <row r="546" spans="1:10">
      <c r="A546" s="4" t="str">
        <f>'EN60'!A$3</f>
        <v>EN60</v>
      </c>
      <c r="B546" s="4">
        <f t="shared" si="53"/>
        <v>6</v>
      </c>
      <c r="C546" s="4">
        <f t="shared" si="54"/>
        <v>58</v>
      </c>
      <c r="D546" s="4">
        <f t="shared" si="48"/>
        <v>8</v>
      </c>
      <c r="E546" s="4" t="s">
        <v>27</v>
      </c>
      <c r="F546" s="4">
        <f t="shared" si="49"/>
        <v>800</v>
      </c>
      <c r="G546" s="5">
        <f t="shared" si="55"/>
        <v>1.01</v>
      </c>
      <c r="H546" s="6" t="str">
        <f t="shared" si="50"/>
        <v>INSERT INTO public.coupon (plancode, age, "year", couponrate, benefittype, benefitrate, premiumrate) VALUES('EN60', 6, 58, 8, 'A',800, 1.01);</v>
      </c>
      <c r="I546" s="6" t="str">
        <f t="shared" si="51"/>
        <v>{"age":"6", "year":"58", "couponrate":"8", "benefittype":"A", "benefitrate":"800", "premiumrate":"1.01"}</v>
      </c>
      <c r="J546" s="6" t="str">
        <f t="shared" si="52"/>
        <v>,</v>
      </c>
    </row>
    <row r="547" spans="1:10">
      <c r="A547" s="4" t="str">
        <f>'EN60'!A$3</f>
        <v>EN60</v>
      </c>
      <c r="B547" s="4">
        <f t="shared" si="53"/>
        <v>6</v>
      </c>
      <c r="C547" s="4">
        <f t="shared" si="54"/>
        <v>59</v>
      </c>
      <c r="D547" s="4">
        <f t="shared" si="48"/>
        <v>8</v>
      </c>
      <c r="E547" s="4" t="s">
        <v>27</v>
      </c>
      <c r="F547" s="4">
        <f t="shared" si="49"/>
        <v>800</v>
      </c>
      <c r="G547" s="5">
        <f t="shared" si="55"/>
        <v>1.01</v>
      </c>
      <c r="H547" s="6" t="str">
        <f t="shared" si="50"/>
        <v>INSERT INTO public.coupon (plancode, age, "year", couponrate, benefittype, benefitrate, premiumrate) VALUES('EN60', 6, 59, 8, 'A',800, 1.01);</v>
      </c>
      <c r="I547" s="6" t="str">
        <f t="shared" si="51"/>
        <v>{"age":"6", "year":"59", "couponrate":"8", "benefittype":"A", "benefitrate":"800", "premiumrate":"1.01"}</v>
      </c>
      <c r="J547" s="6" t="str">
        <f t="shared" si="52"/>
        <v>,</v>
      </c>
    </row>
    <row r="548" spans="1:10">
      <c r="A548" s="4" t="str">
        <f>'EN60'!A$3</f>
        <v>EN60</v>
      </c>
      <c r="B548" s="4">
        <f t="shared" si="53"/>
        <v>6</v>
      </c>
      <c r="C548" s="4">
        <f t="shared" si="54"/>
        <v>60</v>
      </c>
      <c r="D548" s="4">
        <f t="shared" si="48"/>
        <v>8</v>
      </c>
      <c r="E548" s="4" t="s">
        <v>27</v>
      </c>
      <c r="F548" s="4">
        <f t="shared" si="49"/>
        <v>800</v>
      </c>
      <c r="G548" s="5">
        <f t="shared" si="55"/>
        <v>1.01</v>
      </c>
      <c r="H548" s="6" t="str">
        <f t="shared" si="50"/>
        <v>INSERT INTO public.coupon (plancode, age, "year", couponrate, benefittype, benefitrate, premiumrate) VALUES('EN60', 6, 60, 8, 'A',800, 1.01);</v>
      </c>
      <c r="I548" s="6" t="str">
        <f t="shared" si="51"/>
        <v>{"age":"6", "year":"60", "couponrate":"8", "benefittype":"A", "benefitrate":"800", "premiumrate":"1.01"}</v>
      </c>
      <c r="J548" s="6" t="str">
        <f t="shared" si="52"/>
        <v>,</v>
      </c>
    </row>
    <row r="549" spans="1:10">
      <c r="A549" s="4" t="str">
        <f>'EN60'!A$3</f>
        <v>EN60</v>
      </c>
      <c r="B549" s="4">
        <f t="shared" si="53"/>
        <v>6</v>
      </c>
      <c r="C549" s="4">
        <f t="shared" si="54"/>
        <v>61</v>
      </c>
      <c r="D549" s="4">
        <f t="shared" si="48"/>
        <v>8</v>
      </c>
      <c r="E549" s="4" t="s">
        <v>27</v>
      </c>
      <c r="F549" s="4">
        <f t="shared" si="49"/>
        <v>800</v>
      </c>
      <c r="G549" s="5">
        <f t="shared" si="55"/>
        <v>1.01</v>
      </c>
      <c r="H549" s="6" t="str">
        <f t="shared" si="50"/>
        <v>INSERT INTO public.coupon (plancode, age, "year", couponrate, benefittype, benefitrate, premiumrate) VALUES('EN60', 6, 61, 8, 'A',800, 1.01);</v>
      </c>
      <c r="I549" s="6" t="str">
        <f t="shared" si="51"/>
        <v>{"age":"6", "year":"61", "couponrate":"8", "benefittype":"A", "benefitrate":"800", "premiumrate":"1.01"}</v>
      </c>
      <c r="J549" s="6" t="str">
        <f t="shared" si="52"/>
        <v>,</v>
      </c>
    </row>
    <row r="550" spans="1:10">
      <c r="A550" s="4" t="str">
        <f>'EN60'!A$3</f>
        <v>EN60</v>
      </c>
      <c r="B550" s="4">
        <f t="shared" si="53"/>
        <v>6</v>
      </c>
      <c r="C550" s="4">
        <f t="shared" si="54"/>
        <v>62</v>
      </c>
      <c r="D550" s="4">
        <f t="shared" si="48"/>
        <v>8</v>
      </c>
      <c r="E550" s="4" t="s">
        <v>27</v>
      </c>
      <c r="F550" s="4">
        <f t="shared" si="49"/>
        <v>800</v>
      </c>
      <c r="G550" s="5">
        <f t="shared" si="55"/>
        <v>1.01</v>
      </c>
      <c r="H550" s="6" t="str">
        <f t="shared" si="50"/>
        <v>INSERT INTO public.coupon (plancode, age, "year", couponrate, benefittype, benefitrate, premiumrate) VALUES('EN60', 6, 62, 8, 'A',800, 1.01);</v>
      </c>
      <c r="I550" s="6" t="str">
        <f t="shared" si="51"/>
        <v>{"age":"6", "year":"62", "couponrate":"8", "benefittype":"A", "benefitrate":"800", "premiumrate":"1.01"}</v>
      </c>
      <c r="J550" s="6" t="str">
        <f t="shared" si="52"/>
        <v>,</v>
      </c>
    </row>
    <row r="551" spans="1:10">
      <c r="A551" s="4" t="str">
        <f>'EN60'!A$3</f>
        <v>EN60</v>
      </c>
      <c r="B551" s="4">
        <f t="shared" si="53"/>
        <v>6</v>
      </c>
      <c r="C551" s="4">
        <f t="shared" si="54"/>
        <v>63</v>
      </c>
      <c r="D551" s="4">
        <f t="shared" si="48"/>
        <v>8</v>
      </c>
      <c r="E551" s="4" t="s">
        <v>27</v>
      </c>
      <c r="F551" s="4">
        <f t="shared" si="49"/>
        <v>800</v>
      </c>
      <c r="G551" s="5">
        <f t="shared" si="55"/>
        <v>1.01</v>
      </c>
      <c r="H551" s="6" t="str">
        <f t="shared" si="50"/>
        <v>INSERT INTO public.coupon (plancode, age, "year", couponrate, benefittype, benefitrate, premiumrate) VALUES('EN60', 6, 63, 8, 'A',800, 1.01);</v>
      </c>
      <c r="I551" s="6" t="str">
        <f t="shared" si="51"/>
        <v>{"age":"6", "year":"63", "couponrate":"8", "benefittype":"A", "benefitrate":"800", "premiumrate":"1.01"}</v>
      </c>
      <c r="J551" s="6" t="str">
        <f t="shared" si="52"/>
        <v>,</v>
      </c>
    </row>
    <row r="552" spans="1:10">
      <c r="A552" s="4" t="str">
        <f>'EN60'!A$3</f>
        <v>EN60</v>
      </c>
      <c r="B552" s="4">
        <f t="shared" si="53"/>
        <v>6</v>
      </c>
      <c r="C552" s="4">
        <f t="shared" si="54"/>
        <v>64</v>
      </c>
      <c r="D552" s="4">
        <f t="shared" si="48"/>
        <v>8</v>
      </c>
      <c r="E552" s="4" t="s">
        <v>27</v>
      </c>
      <c r="F552" s="4">
        <f t="shared" si="49"/>
        <v>800</v>
      </c>
      <c r="G552" s="5">
        <f t="shared" si="55"/>
        <v>1.01</v>
      </c>
      <c r="H552" s="6" t="str">
        <f t="shared" si="50"/>
        <v>INSERT INTO public.coupon (plancode, age, "year", couponrate, benefittype, benefitrate, premiumrate) VALUES('EN60', 6, 64, 8, 'A',800, 1.01);</v>
      </c>
      <c r="I552" s="6" t="str">
        <f t="shared" si="51"/>
        <v>{"age":"6", "year":"64", "couponrate":"8", "benefittype":"A", "benefitrate":"800", "premiumrate":"1.01"}</v>
      </c>
      <c r="J552" s="6" t="str">
        <f t="shared" si="52"/>
        <v>,</v>
      </c>
    </row>
    <row r="553" spans="1:10">
      <c r="A553" s="4" t="str">
        <f>'EN60'!A$3</f>
        <v>EN60</v>
      </c>
      <c r="B553" s="4">
        <f t="shared" si="53"/>
        <v>6</v>
      </c>
      <c r="C553" s="4">
        <f t="shared" si="54"/>
        <v>65</v>
      </c>
      <c r="D553" s="4">
        <f t="shared" si="48"/>
        <v>8</v>
      </c>
      <c r="E553" s="4" t="s">
        <v>27</v>
      </c>
      <c r="F553" s="4">
        <f t="shared" si="49"/>
        <v>800</v>
      </c>
      <c r="G553" s="5">
        <f t="shared" si="55"/>
        <v>1.01</v>
      </c>
      <c r="H553" s="6" t="str">
        <f t="shared" si="50"/>
        <v>INSERT INTO public.coupon (plancode, age, "year", couponrate, benefittype, benefitrate, premiumrate) VALUES('EN60', 6, 65, 8, 'A',800, 1.01);</v>
      </c>
      <c r="I553" s="6" t="str">
        <f t="shared" si="51"/>
        <v>{"age":"6", "year":"65", "couponrate":"8", "benefittype":"A", "benefitrate":"800", "premiumrate":"1.01"}</v>
      </c>
      <c r="J553" s="6" t="str">
        <f t="shared" si="52"/>
        <v>,</v>
      </c>
    </row>
    <row r="554" spans="1:10">
      <c r="A554" s="4" t="str">
        <f>'EN60'!A$3</f>
        <v>EN60</v>
      </c>
      <c r="B554" s="4">
        <f t="shared" si="53"/>
        <v>6</v>
      </c>
      <c r="C554" s="4">
        <f t="shared" si="54"/>
        <v>66</v>
      </c>
      <c r="D554" s="4">
        <f t="shared" si="48"/>
        <v>8</v>
      </c>
      <c r="E554" s="4" t="s">
        <v>27</v>
      </c>
      <c r="F554" s="4">
        <f t="shared" si="49"/>
        <v>800</v>
      </c>
      <c r="G554" s="5">
        <f t="shared" si="55"/>
        <v>1.01</v>
      </c>
      <c r="H554" s="6" t="str">
        <f t="shared" si="50"/>
        <v>INSERT INTO public.coupon (plancode, age, "year", couponrate, benefittype, benefitrate, premiumrate) VALUES('EN60', 6, 66, 8, 'A',800, 1.01);</v>
      </c>
      <c r="I554" s="6" t="str">
        <f t="shared" si="51"/>
        <v>{"age":"6", "year":"66", "couponrate":"8", "benefittype":"A", "benefitrate":"800", "premiumrate":"1.01"}</v>
      </c>
      <c r="J554" s="6" t="str">
        <f t="shared" si="52"/>
        <v>,</v>
      </c>
    </row>
    <row r="555" spans="1:10">
      <c r="A555" s="4" t="str">
        <f>'EN60'!A$3</f>
        <v>EN60</v>
      </c>
      <c r="B555" s="4">
        <f t="shared" si="53"/>
        <v>6</v>
      </c>
      <c r="C555" s="4">
        <f t="shared" si="54"/>
        <v>67</v>
      </c>
      <c r="D555" s="4">
        <f t="shared" si="48"/>
        <v>8</v>
      </c>
      <c r="E555" s="4" t="s">
        <v>27</v>
      </c>
      <c r="F555" s="4">
        <f t="shared" si="49"/>
        <v>800</v>
      </c>
      <c r="G555" s="5">
        <f t="shared" si="55"/>
        <v>1.01</v>
      </c>
      <c r="H555" s="6" t="str">
        <f t="shared" si="50"/>
        <v>INSERT INTO public.coupon (plancode, age, "year", couponrate, benefittype, benefitrate, premiumrate) VALUES('EN60', 6, 67, 8, 'A',800, 1.01);</v>
      </c>
      <c r="I555" s="6" t="str">
        <f t="shared" si="51"/>
        <v>{"age":"6", "year":"67", "couponrate":"8", "benefittype":"A", "benefitrate":"800", "premiumrate":"1.01"}</v>
      </c>
      <c r="J555" s="6" t="str">
        <f t="shared" si="52"/>
        <v>,</v>
      </c>
    </row>
    <row r="556" spans="1:10">
      <c r="A556" s="4" t="str">
        <f>'EN60'!A$3</f>
        <v>EN60</v>
      </c>
      <c r="B556" s="4">
        <f t="shared" si="53"/>
        <v>6</v>
      </c>
      <c r="C556" s="4">
        <f t="shared" si="54"/>
        <v>68</v>
      </c>
      <c r="D556" s="4">
        <f t="shared" si="48"/>
        <v>8</v>
      </c>
      <c r="E556" s="4" t="s">
        <v>27</v>
      </c>
      <c r="F556" s="4">
        <f t="shared" si="49"/>
        <v>800</v>
      </c>
      <c r="G556" s="5">
        <f t="shared" si="55"/>
        <v>1.01</v>
      </c>
      <c r="H556" s="6" t="str">
        <f t="shared" si="50"/>
        <v>INSERT INTO public.coupon (plancode, age, "year", couponrate, benefittype, benefitrate, premiumrate) VALUES('EN60', 6, 68, 8, 'A',800, 1.01);</v>
      </c>
      <c r="I556" s="6" t="str">
        <f t="shared" si="51"/>
        <v>{"age":"6", "year":"68", "couponrate":"8", "benefittype":"A", "benefitrate":"800", "premiumrate":"1.01"}</v>
      </c>
      <c r="J556" s="6" t="str">
        <f t="shared" si="52"/>
        <v>,</v>
      </c>
    </row>
    <row r="557" spans="1:10">
      <c r="A557" s="4" t="str">
        <f>'EN60'!A$3</f>
        <v>EN60</v>
      </c>
      <c r="B557" s="4">
        <f t="shared" si="53"/>
        <v>6</v>
      </c>
      <c r="C557" s="4">
        <f t="shared" si="54"/>
        <v>69</v>
      </c>
      <c r="D557" s="4">
        <f t="shared" si="48"/>
        <v>8</v>
      </c>
      <c r="E557" s="4" t="s">
        <v>27</v>
      </c>
      <c r="F557" s="4">
        <f t="shared" si="49"/>
        <v>800</v>
      </c>
      <c r="G557" s="5">
        <f t="shared" si="55"/>
        <v>1.01</v>
      </c>
      <c r="H557" s="6" t="str">
        <f t="shared" si="50"/>
        <v>INSERT INTO public.coupon (plancode, age, "year", couponrate, benefittype, benefitrate, premiumrate) VALUES('EN60', 6, 69, 8, 'A',800, 1.01);</v>
      </c>
      <c r="I557" s="6" t="str">
        <f t="shared" si="51"/>
        <v>{"age":"6", "year":"69", "couponrate":"8", "benefittype":"A", "benefitrate":"800", "premiumrate":"1.01"}</v>
      </c>
      <c r="J557" s="6" t="str">
        <f t="shared" si="52"/>
        <v>,</v>
      </c>
    </row>
    <row r="558" spans="1:10">
      <c r="A558" s="4" t="str">
        <f>'EN60'!A$3</f>
        <v>EN60</v>
      </c>
      <c r="B558" s="4">
        <f t="shared" si="53"/>
        <v>6</v>
      </c>
      <c r="C558" s="4">
        <f t="shared" si="54"/>
        <v>70</v>
      </c>
      <c r="D558" s="4">
        <f t="shared" si="48"/>
        <v>8</v>
      </c>
      <c r="E558" s="4" t="s">
        <v>27</v>
      </c>
      <c r="F558" s="4">
        <f t="shared" si="49"/>
        <v>800</v>
      </c>
      <c r="G558" s="5">
        <f t="shared" si="55"/>
        <v>1.01</v>
      </c>
      <c r="H558" s="6" t="str">
        <f t="shared" si="50"/>
        <v>INSERT INTO public.coupon (plancode, age, "year", couponrate, benefittype, benefitrate, premiumrate) VALUES('EN60', 6, 70, 8, 'A',800, 1.01);</v>
      </c>
      <c r="I558" s="6" t="str">
        <f t="shared" si="51"/>
        <v>{"age":"6", "year":"70", "couponrate":"8", "benefittype":"A", "benefitrate":"800", "premiumrate":"1.01"}</v>
      </c>
      <c r="J558" s="6" t="str">
        <f t="shared" si="52"/>
        <v>,</v>
      </c>
    </row>
    <row r="559" spans="1:10">
      <c r="A559" s="4" t="str">
        <f>'EN60'!A$3</f>
        <v>EN60</v>
      </c>
      <c r="B559" s="4">
        <f t="shared" si="53"/>
        <v>6</v>
      </c>
      <c r="C559" s="4">
        <f t="shared" si="54"/>
        <v>71</v>
      </c>
      <c r="D559" s="4">
        <f t="shared" si="48"/>
        <v>8</v>
      </c>
      <c r="E559" s="4" t="s">
        <v>27</v>
      </c>
      <c r="F559" s="4">
        <f t="shared" si="49"/>
        <v>800</v>
      </c>
      <c r="G559" s="5">
        <f t="shared" si="55"/>
        <v>1.01</v>
      </c>
      <c r="H559" s="6" t="str">
        <f t="shared" si="50"/>
        <v>INSERT INTO public.coupon (plancode, age, "year", couponrate, benefittype, benefitrate, premiumrate) VALUES('EN60', 6, 71, 8, 'A',800, 1.01);</v>
      </c>
      <c r="I559" s="6" t="str">
        <f t="shared" si="51"/>
        <v>{"age":"6", "year":"71", "couponrate":"8", "benefittype":"A", "benefitrate":"800", "premiumrate":"1.01"}</v>
      </c>
      <c r="J559" s="6" t="str">
        <f t="shared" si="52"/>
        <v>,</v>
      </c>
    </row>
    <row r="560" spans="1:10">
      <c r="A560" s="4" t="str">
        <f>'EN60'!A$3</f>
        <v>EN60</v>
      </c>
      <c r="B560" s="4">
        <f t="shared" si="53"/>
        <v>6</v>
      </c>
      <c r="C560" s="4">
        <f t="shared" si="54"/>
        <v>72</v>
      </c>
      <c r="D560" s="4">
        <f t="shared" si="48"/>
        <v>8</v>
      </c>
      <c r="E560" s="4" t="s">
        <v>27</v>
      </c>
      <c r="F560" s="4">
        <f t="shared" si="49"/>
        <v>800</v>
      </c>
      <c r="G560" s="5">
        <f t="shared" si="55"/>
        <v>1.01</v>
      </c>
      <c r="H560" s="6" t="str">
        <f t="shared" si="50"/>
        <v>INSERT INTO public.coupon (plancode, age, "year", couponrate, benefittype, benefitrate, premiumrate) VALUES('EN60', 6, 72, 8, 'A',800, 1.01);</v>
      </c>
      <c r="I560" s="6" t="str">
        <f t="shared" si="51"/>
        <v>{"age":"6", "year":"72", "couponrate":"8", "benefittype":"A", "benefitrate":"800", "premiumrate":"1.01"}</v>
      </c>
      <c r="J560" s="6" t="str">
        <f t="shared" si="52"/>
        <v>,</v>
      </c>
    </row>
    <row r="561" spans="1:10">
      <c r="A561" s="4" t="str">
        <f>'EN60'!A$3</f>
        <v>EN60</v>
      </c>
      <c r="B561" s="4">
        <f t="shared" si="53"/>
        <v>6</v>
      </c>
      <c r="C561" s="4">
        <f t="shared" si="54"/>
        <v>73</v>
      </c>
      <c r="D561" s="4">
        <f t="shared" si="48"/>
        <v>8</v>
      </c>
      <c r="E561" s="4" t="s">
        <v>27</v>
      </c>
      <c r="F561" s="4">
        <f t="shared" si="49"/>
        <v>800</v>
      </c>
      <c r="G561" s="5">
        <f t="shared" si="55"/>
        <v>1.01</v>
      </c>
      <c r="H561" s="6" t="str">
        <f t="shared" si="50"/>
        <v>INSERT INTO public.coupon (plancode, age, "year", couponrate, benefittype, benefitrate, premiumrate) VALUES('EN60', 6, 73, 8, 'A',800, 1.01);</v>
      </c>
      <c r="I561" s="6" t="str">
        <f t="shared" si="51"/>
        <v>{"age":"6", "year":"73", "couponrate":"8", "benefittype":"A", "benefitrate":"800", "premiumrate":"1.01"}</v>
      </c>
      <c r="J561" s="6" t="str">
        <f t="shared" si="52"/>
        <v>,</v>
      </c>
    </row>
    <row r="562" spans="1:10">
      <c r="A562" s="4" t="str">
        <f>'EN60'!A$3</f>
        <v>EN60</v>
      </c>
      <c r="B562" s="4">
        <f t="shared" si="53"/>
        <v>6</v>
      </c>
      <c r="C562" s="4">
        <f t="shared" si="54"/>
        <v>74</v>
      </c>
      <c r="D562" s="4">
        <f t="shared" si="48"/>
        <v>0</v>
      </c>
      <c r="E562" s="4" t="s">
        <v>27</v>
      </c>
      <c r="F562" s="4">
        <f t="shared" si="49"/>
        <v>800</v>
      </c>
      <c r="G562" s="5">
        <f t="shared" si="55"/>
        <v>1.01</v>
      </c>
      <c r="H562" s="6" t="str">
        <f t="shared" si="50"/>
        <v>INSERT INTO public.coupon (plancode, age, "year", couponrate, benefittype, benefitrate, premiumrate) VALUES('EN60', 6, 74, 0, 'A',800, 1.01);</v>
      </c>
      <c r="I562" s="6" t="str">
        <f t="shared" si="51"/>
        <v>{"age":"6", "year":"74", "couponrate":"0", "benefittype":"A", "benefitrate":"800", "premiumrate":"1.01"}</v>
      </c>
    </row>
    <row r="563" spans="1:10">
      <c r="C563" s="6"/>
      <c r="I563" s="6" t="s">
        <v>28</v>
      </c>
    </row>
    <row r="564" spans="1:10">
      <c r="A564" s="3" t="s">
        <v>2</v>
      </c>
      <c r="B564" s="3" t="s">
        <v>23</v>
      </c>
      <c r="C564" s="3" t="s">
        <v>24</v>
      </c>
      <c r="D564" s="3" t="s">
        <v>25</v>
      </c>
      <c r="E564" s="3" t="s">
        <v>8</v>
      </c>
      <c r="F564" s="3" t="s">
        <v>26</v>
      </c>
      <c r="G564" s="3" t="s">
        <v>4</v>
      </c>
      <c r="I564" s="6" t="str">
        <f>"[{""plancode"":"""&amp;A565&amp;""",""returncash"":"""&amp;B$7&amp;""",""ytable"":"""&amp;C$7&amp;""",""maturerate"":"""&amp;B$3&amp;""",""maturepmrate"":"""&amp;C$3&amp;""",""coupon"":["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565" spans="1:10">
      <c r="A565" s="4" t="str">
        <f>'EN60'!A$3</f>
        <v>EN60</v>
      </c>
      <c r="B565" s="8">
        <v>7</v>
      </c>
      <c r="C565" s="4">
        <v>1</v>
      </c>
      <c r="D565" s="4">
        <f>IF(C565+B565=80,0,8)</f>
        <v>8</v>
      </c>
      <c r="E565" s="4" t="s">
        <v>27</v>
      </c>
      <c r="F565" s="4">
        <f t="shared" ref="F565:F637" si="56">IF(C565&gt;7, 800, C565*100)</f>
        <v>100</v>
      </c>
      <c r="G565" s="5">
        <f>'EN60'!C$3</f>
        <v>1.01</v>
      </c>
      <c r="H565" s="6" t="str">
        <f t="shared" ref="H565:H637" si="57">"INSERT INTO public.coupon ("&amp;A$11&amp;", "&amp;B$11&amp;", """&amp;C$11&amp;""", "&amp;D$11&amp;", "&amp;E$11&amp;", "&amp;F$11&amp;", "&amp;G$11&amp;") VALUES('"&amp;A565&amp;"', "&amp;B565&amp;", "&amp;C565&amp;", "&amp;D565&amp;", '"&amp;E565&amp;"',"&amp;F565&amp;", "&amp;G565&amp;");"</f>
        <v>INSERT INTO public.coupon (plancode, age, "year", couponrate, benefittype, benefitrate, premiumrate) VALUES('EN60', 7, 1, 8, 'A',100, 1.01);</v>
      </c>
      <c r="I565" s="6" t="str">
        <f t="shared" ref="I565:I637" si="58">"{""age"":"""&amp;B565&amp;""", ""year"":"""&amp;C565&amp;""", ""couponrate"":"""&amp;D565&amp;""", ""benefittype"":"""&amp;E565&amp;""", ""benefitrate"":"""&amp;F565&amp;""", """&amp;G$11&amp;""":"""&amp;G565&amp;"""}"</f>
        <v>{"age":"7", "year":"1", "couponrate":"8", "benefittype":"A", "benefitrate":"100", "premiumrate":"1.01"}</v>
      </c>
      <c r="J565" s="6" t="str">
        <f t="shared" ref="J565:J636" si="59">IF(OR(I566="]", I565="[", I565="]"), "", ",")</f>
        <v>,</v>
      </c>
    </row>
    <row r="566" spans="1:10">
      <c r="A566" s="4" t="str">
        <f>'EN60'!A$3</f>
        <v>EN60</v>
      </c>
      <c r="B566" s="4">
        <f t="shared" ref="B566:B637" si="60">B565</f>
        <v>7</v>
      </c>
      <c r="C566" s="4">
        <f t="shared" ref="C566:C637" si="61">C565+1</f>
        <v>2</v>
      </c>
      <c r="D566" s="4">
        <f t="shared" ref="D566:D637" si="62">D565</f>
        <v>8</v>
      </c>
      <c r="E566" s="4" t="s">
        <v>27</v>
      </c>
      <c r="F566" s="4">
        <f t="shared" si="56"/>
        <v>200</v>
      </c>
      <c r="G566" s="5">
        <f t="shared" ref="G566:G637" si="63">G565</f>
        <v>1.01</v>
      </c>
      <c r="H566" s="6" t="str">
        <f t="shared" si="57"/>
        <v>INSERT INTO public.coupon (plancode, age, "year", couponrate, benefittype, benefitrate, premiumrate) VALUES('EN60', 7, 2, 8, 'A',200, 1.01);</v>
      </c>
      <c r="I566" s="6" t="str">
        <f t="shared" si="58"/>
        <v>{"age":"7", "year":"2", "couponrate":"8", "benefittype":"A", "benefitrate":"200", "premiumrate":"1.01"}</v>
      </c>
      <c r="J566" s="6" t="str">
        <f t="shared" si="59"/>
        <v>,</v>
      </c>
    </row>
    <row r="567" spans="1:10">
      <c r="A567" s="4" t="str">
        <f>'EN60'!A$3</f>
        <v>EN60</v>
      </c>
      <c r="B567" s="4">
        <f t="shared" si="60"/>
        <v>7</v>
      </c>
      <c r="C567" s="4">
        <f t="shared" si="61"/>
        <v>3</v>
      </c>
      <c r="D567" s="4">
        <f t="shared" si="62"/>
        <v>8</v>
      </c>
      <c r="E567" s="4" t="s">
        <v>27</v>
      </c>
      <c r="F567" s="4">
        <f t="shared" si="56"/>
        <v>300</v>
      </c>
      <c r="G567" s="5">
        <f t="shared" si="63"/>
        <v>1.01</v>
      </c>
      <c r="H567" s="6" t="str">
        <f t="shared" si="57"/>
        <v>INSERT INTO public.coupon (plancode, age, "year", couponrate, benefittype, benefitrate, premiumrate) VALUES('EN60', 7, 3, 8, 'A',300, 1.01);</v>
      </c>
      <c r="I567" s="6" t="str">
        <f t="shared" si="58"/>
        <v>{"age":"7", "year":"3", "couponrate":"8", "benefittype":"A", "benefitrate":"300", "premiumrate":"1.01"}</v>
      </c>
      <c r="J567" s="6" t="str">
        <f t="shared" si="59"/>
        <v>,</v>
      </c>
    </row>
    <row r="568" spans="1:10">
      <c r="A568" s="4" t="str">
        <f>'EN60'!A$3</f>
        <v>EN60</v>
      </c>
      <c r="B568" s="4">
        <f t="shared" si="60"/>
        <v>7</v>
      </c>
      <c r="C568" s="4">
        <f t="shared" si="61"/>
        <v>4</v>
      </c>
      <c r="D568" s="4">
        <f t="shared" si="62"/>
        <v>8</v>
      </c>
      <c r="E568" s="4" t="s">
        <v>27</v>
      </c>
      <c r="F568" s="4">
        <f t="shared" si="56"/>
        <v>400</v>
      </c>
      <c r="G568" s="5">
        <f t="shared" si="63"/>
        <v>1.01</v>
      </c>
      <c r="H568" s="6" t="str">
        <f t="shared" si="57"/>
        <v>INSERT INTO public.coupon (plancode, age, "year", couponrate, benefittype, benefitrate, premiumrate) VALUES('EN60', 7, 4, 8, 'A',400, 1.01);</v>
      </c>
      <c r="I568" s="6" t="str">
        <f t="shared" si="58"/>
        <v>{"age":"7", "year":"4", "couponrate":"8", "benefittype":"A", "benefitrate":"400", "premiumrate":"1.01"}</v>
      </c>
      <c r="J568" s="6" t="str">
        <f t="shared" si="59"/>
        <v>,</v>
      </c>
    </row>
    <row r="569" spans="1:10">
      <c r="A569" s="4" t="str">
        <f>'EN60'!A$3</f>
        <v>EN60</v>
      </c>
      <c r="B569" s="4">
        <f t="shared" si="60"/>
        <v>7</v>
      </c>
      <c r="C569" s="4">
        <f t="shared" si="61"/>
        <v>5</v>
      </c>
      <c r="D569" s="4">
        <f t="shared" si="62"/>
        <v>8</v>
      </c>
      <c r="E569" s="4" t="s">
        <v>27</v>
      </c>
      <c r="F569" s="4">
        <f t="shared" si="56"/>
        <v>500</v>
      </c>
      <c r="G569" s="5">
        <f t="shared" si="63"/>
        <v>1.01</v>
      </c>
      <c r="H569" s="6" t="str">
        <f t="shared" si="57"/>
        <v>INSERT INTO public.coupon (plancode, age, "year", couponrate, benefittype, benefitrate, premiumrate) VALUES('EN60', 7, 5, 8, 'A',500, 1.01);</v>
      </c>
      <c r="I569" s="6" t="str">
        <f t="shared" si="58"/>
        <v>{"age":"7", "year":"5", "couponrate":"8", "benefittype":"A", "benefitrate":"500", "premiumrate":"1.01"}</v>
      </c>
      <c r="J569" s="6" t="str">
        <f t="shared" si="59"/>
        <v>,</v>
      </c>
    </row>
    <row r="570" spans="1:10">
      <c r="A570" s="4" t="str">
        <f>'EN60'!A$3</f>
        <v>EN60</v>
      </c>
      <c r="B570" s="4">
        <f t="shared" si="60"/>
        <v>7</v>
      </c>
      <c r="C570" s="4">
        <f t="shared" si="61"/>
        <v>6</v>
      </c>
      <c r="D570" s="4">
        <f t="shared" si="62"/>
        <v>8</v>
      </c>
      <c r="E570" s="4" t="s">
        <v>27</v>
      </c>
      <c r="F570" s="4">
        <f t="shared" si="56"/>
        <v>600</v>
      </c>
      <c r="G570" s="5">
        <f t="shared" si="63"/>
        <v>1.01</v>
      </c>
      <c r="H570" s="6" t="str">
        <f t="shared" si="57"/>
        <v>INSERT INTO public.coupon (plancode, age, "year", couponrate, benefittype, benefitrate, premiumrate) VALUES('EN60', 7, 6, 8, 'A',600, 1.01);</v>
      </c>
      <c r="I570" s="6" t="str">
        <f t="shared" si="58"/>
        <v>{"age":"7", "year":"6", "couponrate":"8", "benefittype":"A", "benefitrate":"600", "premiumrate":"1.01"}</v>
      </c>
      <c r="J570" s="6" t="str">
        <f t="shared" si="59"/>
        <v>,</v>
      </c>
    </row>
    <row r="571" spans="1:10">
      <c r="A571" s="4" t="str">
        <f>'EN60'!A$3</f>
        <v>EN60</v>
      </c>
      <c r="B571" s="4">
        <f t="shared" si="60"/>
        <v>7</v>
      </c>
      <c r="C571" s="4">
        <f t="shared" si="61"/>
        <v>7</v>
      </c>
      <c r="D571" s="4">
        <f t="shared" si="62"/>
        <v>8</v>
      </c>
      <c r="E571" s="4" t="s">
        <v>27</v>
      </c>
      <c r="F571" s="4">
        <f t="shared" si="56"/>
        <v>700</v>
      </c>
      <c r="G571" s="5">
        <f t="shared" si="63"/>
        <v>1.01</v>
      </c>
      <c r="H571" s="6" t="str">
        <f t="shared" si="57"/>
        <v>INSERT INTO public.coupon (plancode, age, "year", couponrate, benefittype, benefitrate, premiumrate) VALUES('EN60', 7, 7, 8, 'A',700, 1.01);</v>
      </c>
      <c r="I571" s="6" t="str">
        <f t="shared" si="58"/>
        <v>{"age":"7", "year":"7", "couponrate":"8", "benefittype":"A", "benefitrate":"700", "premiumrate":"1.01"}</v>
      </c>
      <c r="J571" s="6" t="str">
        <f t="shared" si="59"/>
        <v>,</v>
      </c>
    </row>
    <row r="572" spans="1:10">
      <c r="A572" s="4" t="str">
        <f>'EN60'!A$3</f>
        <v>EN60</v>
      </c>
      <c r="B572" s="4">
        <f t="shared" si="60"/>
        <v>7</v>
      </c>
      <c r="C572" s="4">
        <f t="shared" si="61"/>
        <v>8</v>
      </c>
      <c r="D572" s="4">
        <f t="shared" si="62"/>
        <v>8</v>
      </c>
      <c r="E572" s="4" t="s">
        <v>27</v>
      </c>
      <c r="F572" s="4">
        <f t="shared" si="56"/>
        <v>800</v>
      </c>
      <c r="G572" s="5">
        <f t="shared" si="63"/>
        <v>1.01</v>
      </c>
      <c r="H572" s="6" t="str">
        <f t="shared" si="57"/>
        <v>INSERT INTO public.coupon (plancode, age, "year", couponrate, benefittype, benefitrate, premiumrate) VALUES('EN60', 7, 8, 8, 'A',800, 1.01);</v>
      </c>
      <c r="I572" s="6" t="str">
        <f t="shared" si="58"/>
        <v>{"age":"7", "year":"8", "couponrate":"8", "benefittype":"A", "benefitrate":"800", "premiumrate":"1.01"}</v>
      </c>
      <c r="J572" s="6" t="str">
        <f t="shared" si="59"/>
        <v>,</v>
      </c>
    </row>
    <row r="573" spans="1:10">
      <c r="A573" s="4" t="str">
        <f>'EN60'!A$3</f>
        <v>EN60</v>
      </c>
      <c r="B573" s="4">
        <f t="shared" si="60"/>
        <v>7</v>
      </c>
      <c r="C573" s="4">
        <f t="shared" si="61"/>
        <v>9</v>
      </c>
      <c r="D573" s="4">
        <f t="shared" si="62"/>
        <v>8</v>
      </c>
      <c r="E573" s="4" t="s">
        <v>27</v>
      </c>
      <c r="F573" s="4">
        <f t="shared" si="56"/>
        <v>800</v>
      </c>
      <c r="G573" s="5">
        <f t="shared" si="63"/>
        <v>1.01</v>
      </c>
      <c r="H573" s="6" t="str">
        <f t="shared" si="57"/>
        <v>INSERT INTO public.coupon (plancode, age, "year", couponrate, benefittype, benefitrate, premiumrate) VALUES('EN60', 7, 9, 8, 'A',800, 1.01);</v>
      </c>
      <c r="I573" s="6" t="str">
        <f t="shared" si="58"/>
        <v>{"age":"7", "year":"9", "couponrate":"8", "benefittype":"A", "benefitrate":"800", "premiumrate":"1.01"}</v>
      </c>
      <c r="J573" s="6" t="str">
        <f t="shared" si="59"/>
        <v>,</v>
      </c>
    </row>
    <row r="574" spans="1:10">
      <c r="A574" s="4" t="str">
        <f>'EN60'!A$3</f>
        <v>EN60</v>
      </c>
      <c r="B574" s="4">
        <f t="shared" si="60"/>
        <v>7</v>
      </c>
      <c r="C574" s="4">
        <f t="shared" si="61"/>
        <v>10</v>
      </c>
      <c r="D574" s="4">
        <f t="shared" si="62"/>
        <v>8</v>
      </c>
      <c r="E574" s="4" t="s">
        <v>27</v>
      </c>
      <c r="F574" s="4">
        <f t="shared" si="56"/>
        <v>800</v>
      </c>
      <c r="G574" s="5">
        <f t="shared" si="63"/>
        <v>1.01</v>
      </c>
      <c r="H574" s="6" t="str">
        <f t="shared" si="57"/>
        <v>INSERT INTO public.coupon (plancode, age, "year", couponrate, benefittype, benefitrate, premiumrate) VALUES('EN60', 7, 10, 8, 'A',800, 1.01);</v>
      </c>
      <c r="I574" s="6" t="str">
        <f t="shared" si="58"/>
        <v>{"age":"7", "year":"10", "couponrate":"8", "benefittype":"A", "benefitrate":"800", "premiumrate":"1.01"}</v>
      </c>
      <c r="J574" s="6" t="str">
        <f t="shared" si="59"/>
        <v>,</v>
      </c>
    </row>
    <row r="575" spans="1:10">
      <c r="A575" s="4" t="str">
        <f>'EN60'!A$3</f>
        <v>EN60</v>
      </c>
      <c r="B575" s="4">
        <f t="shared" si="60"/>
        <v>7</v>
      </c>
      <c r="C575" s="4">
        <f t="shared" si="61"/>
        <v>11</v>
      </c>
      <c r="D575" s="4">
        <f t="shared" si="62"/>
        <v>8</v>
      </c>
      <c r="E575" s="4" t="s">
        <v>27</v>
      </c>
      <c r="F575" s="4">
        <f t="shared" si="56"/>
        <v>800</v>
      </c>
      <c r="G575" s="5">
        <f t="shared" si="63"/>
        <v>1.01</v>
      </c>
      <c r="H575" s="6" t="str">
        <f t="shared" si="57"/>
        <v>INSERT INTO public.coupon (plancode, age, "year", couponrate, benefittype, benefitrate, premiumrate) VALUES('EN60', 7, 11, 8, 'A',800, 1.01);</v>
      </c>
      <c r="I575" s="6" t="str">
        <f t="shared" si="58"/>
        <v>{"age":"7", "year":"11", "couponrate":"8", "benefittype":"A", "benefitrate":"800", "premiumrate":"1.01"}</v>
      </c>
      <c r="J575" s="6" t="str">
        <f t="shared" si="59"/>
        <v>,</v>
      </c>
    </row>
    <row r="576" spans="1:10">
      <c r="A576" s="4" t="str">
        <f>'EN60'!A$3</f>
        <v>EN60</v>
      </c>
      <c r="B576" s="4">
        <f t="shared" si="60"/>
        <v>7</v>
      </c>
      <c r="C576" s="4">
        <f t="shared" si="61"/>
        <v>12</v>
      </c>
      <c r="D576" s="4">
        <f t="shared" si="62"/>
        <v>8</v>
      </c>
      <c r="E576" s="4" t="s">
        <v>27</v>
      </c>
      <c r="F576" s="4">
        <f t="shared" si="56"/>
        <v>800</v>
      </c>
      <c r="G576" s="5">
        <f t="shared" si="63"/>
        <v>1.01</v>
      </c>
      <c r="H576" s="6" t="str">
        <f t="shared" si="57"/>
        <v>INSERT INTO public.coupon (plancode, age, "year", couponrate, benefittype, benefitrate, premiumrate) VALUES('EN60', 7, 12, 8, 'A',800, 1.01);</v>
      </c>
      <c r="I576" s="6" t="str">
        <f t="shared" si="58"/>
        <v>{"age":"7", "year":"12", "couponrate":"8", "benefittype":"A", "benefitrate":"800", "premiumrate":"1.01"}</v>
      </c>
      <c r="J576" s="6" t="str">
        <f t="shared" si="59"/>
        <v>,</v>
      </c>
    </row>
    <row r="577" spans="1:10">
      <c r="A577" s="4" t="str">
        <f>'EN60'!A$3</f>
        <v>EN60</v>
      </c>
      <c r="B577" s="4">
        <f t="shared" si="60"/>
        <v>7</v>
      </c>
      <c r="C577" s="4">
        <f t="shared" si="61"/>
        <v>13</v>
      </c>
      <c r="D577" s="4">
        <f t="shared" si="62"/>
        <v>8</v>
      </c>
      <c r="E577" s="4" t="s">
        <v>27</v>
      </c>
      <c r="F577" s="4">
        <f t="shared" si="56"/>
        <v>800</v>
      </c>
      <c r="G577" s="5">
        <f t="shared" si="63"/>
        <v>1.01</v>
      </c>
      <c r="H577" s="6" t="str">
        <f t="shared" si="57"/>
        <v>INSERT INTO public.coupon (plancode, age, "year", couponrate, benefittype, benefitrate, premiumrate) VALUES('EN60', 7, 13, 8, 'A',800, 1.01);</v>
      </c>
      <c r="I577" s="6" t="str">
        <f t="shared" si="58"/>
        <v>{"age":"7", "year":"13", "couponrate":"8", "benefittype":"A", "benefitrate":"800", "premiumrate":"1.01"}</v>
      </c>
      <c r="J577" s="6" t="str">
        <f t="shared" si="59"/>
        <v>,</v>
      </c>
    </row>
    <row r="578" spans="1:10">
      <c r="A578" s="4" t="str">
        <f>'EN60'!A$3</f>
        <v>EN60</v>
      </c>
      <c r="B578" s="4">
        <f t="shared" si="60"/>
        <v>7</v>
      </c>
      <c r="C578" s="4">
        <f t="shared" si="61"/>
        <v>14</v>
      </c>
      <c r="D578" s="4">
        <f t="shared" si="62"/>
        <v>8</v>
      </c>
      <c r="E578" s="4" t="s">
        <v>27</v>
      </c>
      <c r="F578" s="4">
        <f t="shared" si="56"/>
        <v>800</v>
      </c>
      <c r="G578" s="5">
        <f t="shared" si="63"/>
        <v>1.01</v>
      </c>
      <c r="H578" s="6" t="str">
        <f t="shared" si="57"/>
        <v>INSERT INTO public.coupon (plancode, age, "year", couponrate, benefittype, benefitrate, premiumrate) VALUES('EN60', 7, 14, 8, 'A',800, 1.01);</v>
      </c>
      <c r="I578" s="6" t="str">
        <f t="shared" si="58"/>
        <v>{"age":"7", "year":"14", "couponrate":"8", "benefittype":"A", "benefitrate":"800", "premiumrate":"1.01"}</v>
      </c>
      <c r="J578" s="6" t="str">
        <f t="shared" si="59"/>
        <v>,</v>
      </c>
    </row>
    <row r="579" spans="1:10">
      <c r="A579" s="4" t="str">
        <f>'EN60'!A$3</f>
        <v>EN60</v>
      </c>
      <c r="B579" s="4">
        <f t="shared" si="60"/>
        <v>7</v>
      </c>
      <c r="C579" s="4">
        <f t="shared" si="61"/>
        <v>15</v>
      </c>
      <c r="D579" s="4">
        <f t="shared" si="62"/>
        <v>8</v>
      </c>
      <c r="E579" s="4" t="s">
        <v>27</v>
      </c>
      <c r="F579" s="4">
        <f t="shared" si="56"/>
        <v>800</v>
      </c>
      <c r="G579" s="5">
        <f t="shared" si="63"/>
        <v>1.01</v>
      </c>
      <c r="H579" s="6" t="str">
        <f t="shared" si="57"/>
        <v>INSERT INTO public.coupon (plancode, age, "year", couponrate, benefittype, benefitrate, premiumrate) VALUES('EN60', 7, 15, 8, 'A',800, 1.01);</v>
      </c>
      <c r="I579" s="6" t="str">
        <f t="shared" si="58"/>
        <v>{"age":"7", "year":"15", "couponrate":"8", "benefittype":"A", "benefitrate":"800", "premiumrate":"1.01"}</v>
      </c>
      <c r="J579" s="6" t="str">
        <f t="shared" si="59"/>
        <v>,</v>
      </c>
    </row>
    <row r="580" spans="1:10">
      <c r="A580" s="4" t="str">
        <f>'EN60'!A$3</f>
        <v>EN60</v>
      </c>
      <c r="B580" s="4">
        <f t="shared" si="60"/>
        <v>7</v>
      </c>
      <c r="C580" s="4">
        <f t="shared" si="61"/>
        <v>16</v>
      </c>
      <c r="D580" s="4">
        <f t="shared" si="62"/>
        <v>8</v>
      </c>
      <c r="E580" s="4" t="s">
        <v>27</v>
      </c>
      <c r="F580" s="4">
        <f t="shared" si="56"/>
        <v>800</v>
      </c>
      <c r="G580" s="5">
        <f t="shared" si="63"/>
        <v>1.01</v>
      </c>
      <c r="H580" s="6" t="str">
        <f t="shared" si="57"/>
        <v>INSERT INTO public.coupon (plancode, age, "year", couponrate, benefittype, benefitrate, premiumrate) VALUES('EN60', 7, 16, 8, 'A',800, 1.01);</v>
      </c>
      <c r="I580" s="6" t="str">
        <f t="shared" si="58"/>
        <v>{"age":"7", "year":"16", "couponrate":"8", "benefittype":"A", "benefitrate":"800", "premiumrate":"1.01"}</v>
      </c>
      <c r="J580" s="6" t="str">
        <f t="shared" si="59"/>
        <v>,</v>
      </c>
    </row>
    <row r="581" spans="1:10">
      <c r="A581" s="4" t="str">
        <f>'EN60'!A$3</f>
        <v>EN60</v>
      </c>
      <c r="B581" s="4">
        <f t="shared" si="60"/>
        <v>7</v>
      </c>
      <c r="C581" s="4">
        <f t="shared" si="61"/>
        <v>17</v>
      </c>
      <c r="D581" s="4">
        <f t="shared" si="62"/>
        <v>8</v>
      </c>
      <c r="E581" s="4" t="s">
        <v>27</v>
      </c>
      <c r="F581" s="4">
        <f t="shared" si="56"/>
        <v>800</v>
      </c>
      <c r="G581" s="5">
        <f t="shared" si="63"/>
        <v>1.01</v>
      </c>
      <c r="H581" s="6" t="str">
        <f t="shared" si="57"/>
        <v>INSERT INTO public.coupon (plancode, age, "year", couponrate, benefittype, benefitrate, premiumrate) VALUES('EN60', 7, 17, 8, 'A',800, 1.01);</v>
      </c>
      <c r="I581" s="6" t="str">
        <f t="shared" si="58"/>
        <v>{"age":"7", "year":"17", "couponrate":"8", "benefittype":"A", "benefitrate":"800", "premiumrate":"1.01"}</v>
      </c>
      <c r="J581" s="6" t="str">
        <f t="shared" si="59"/>
        <v>,</v>
      </c>
    </row>
    <row r="582" spans="1:10">
      <c r="A582" s="4" t="str">
        <f>'EN60'!A$3</f>
        <v>EN60</v>
      </c>
      <c r="B582" s="4">
        <f t="shared" si="60"/>
        <v>7</v>
      </c>
      <c r="C582" s="4">
        <f t="shared" si="61"/>
        <v>18</v>
      </c>
      <c r="D582" s="4">
        <f t="shared" si="62"/>
        <v>8</v>
      </c>
      <c r="E582" s="4" t="s">
        <v>27</v>
      </c>
      <c r="F582" s="4">
        <f t="shared" si="56"/>
        <v>800</v>
      </c>
      <c r="G582" s="5">
        <f t="shared" si="63"/>
        <v>1.01</v>
      </c>
      <c r="H582" s="6" t="str">
        <f t="shared" si="57"/>
        <v>INSERT INTO public.coupon (plancode, age, "year", couponrate, benefittype, benefitrate, premiumrate) VALUES('EN60', 7, 18, 8, 'A',800, 1.01);</v>
      </c>
      <c r="I582" s="6" t="str">
        <f t="shared" si="58"/>
        <v>{"age":"7", "year":"18", "couponrate":"8", "benefittype":"A", "benefitrate":"800", "premiumrate":"1.01"}</v>
      </c>
      <c r="J582" s="6" t="str">
        <f t="shared" si="59"/>
        <v>,</v>
      </c>
    </row>
    <row r="583" spans="1:10">
      <c r="A583" s="4" t="str">
        <f>'EN60'!A$3</f>
        <v>EN60</v>
      </c>
      <c r="B583" s="4">
        <f t="shared" si="60"/>
        <v>7</v>
      </c>
      <c r="C583" s="4">
        <f t="shared" si="61"/>
        <v>19</v>
      </c>
      <c r="D583" s="4">
        <f t="shared" si="62"/>
        <v>8</v>
      </c>
      <c r="E583" s="4" t="s">
        <v>27</v>
      </c>
      <c r="F583" s="4">
        <f t="shared" si="56"/>
        <v>800</v>
      </c>
      <c r="G583" s="5">
        <f t="shared" si="63"/>
        <v>1.01</v>
      </c>
      <c r="H583" s="6" t="str">
        <f t="shared" si="57"/>
        <v>INSERT INTO public.coupon (plancode, age, "year", couponrate, benefittype, benefitrate, premiumrate) VALUES('EN60', 7, 19, 8, 'A',800, 1.01);</v>
      </c>
      <c r="I583" s="6" t="str">
        <f t="shared" si="58"/>
        <v>{"age":"7", "year":"19", "couponrate":"8", "benefittype":"A", "benefitrate":"800", "premiumrate":"1.01"}</v>
      </c>
      <c r="J583" s="6" t="str">
        <f t="shared" si="59"/>
        <v>,</v>
      </c>
    </row>
    <row r="584" spans="1:10">
      <c r="A584" s="4" t="str">
        <f>'EN60'!A$3</f>
        <v>EN60</v>
      </c>
      <c r="B584" s="4">
        <f t="shared" si="60"/>
        <v>7</v>
      </c>
      <c r="C584" s="4">
        <f t="shared" si="61"/>
        <v>20</v>
      </c>
      <c r="D584" s="4">
        <f t="shared" si="62"/>
        <v>8</v>
      </c>
      <c r="E584" s="4" t="s">
        <v>27</v>
      </c>
      <c r="F584" s="4">
        <f t="shared" si="56"/>
        <v>800</v>
      </c>
      <c r="G584" s="5">
        <f t="shared" si="63"/>
        <v>1.01</v>
      </c>
      <c r="H584" s="6" t="str">
        <f t="shared" si="57"/>
        <v>INSERT INTO public.coupon (plancode, age, "year", couponrate, benefittype, benefitrate, premiumrate) VALUES('EN60', 7, 20, 8, 'A',800, 1.01);</v>
      </c>
      <c r="I584" s="6" t="str">
        <f t="shared" si="58"/>
        <v>{"age":"7", "year":"20", "couponrate":"8", "benefittype":"A", "benefitrate":"800", "premiumrate":"1.01"}</v>
      </c>
      <c r="J584" s="6" t="str">
        <f t="shared" si="59"/>
        <v>,</v>
      </c>
    </row>
    <row r="585" spans="1:10">
      <c r="A585" s="4" t="str">
        <f>'EN60'!A$3</f>
        <v>EN60</v>
      </c>
      <c r="B585" s="4">
        <f t="shared" si="60"/>
        <v>7</v>
      </c>
      <c r="C585" s="4">
        <f t="shared" si="61"/>
        <v>21</v>
      </c>
      <c r="D585" s="4">
        <f t="shared" si="62"/>
        <v>8</v>
      </c>
      <c r="E585" s="4" t="s">
        <v>27</v>
      </c>
      <c r="F585" s="4">
        <f t="shared" si="56"/>
        <v>800</v>
      </c>
      <c r="G585" s="5">
        <f t="shared" si="63"/>
        <v>1.01</v>
      </c>
      <c r="H585" s="6" t="str">
        <f t="shared" si="57"/>
        <v>INSERT INTO public.coupon (plancode, age, "year", couponrate, benefittype, benefitrate, premiumrate) VALUES('EN60', 7, 21, 8, 'A',800, 1.01);</v>
      </c>
      <c r="I585" s="6" t="str">
        <f t="shared" si="58"/>
        <v>{"age":"7", "year":"21", "couponrate":"8", "benefittype":"A", "benefitrate":"800", "premiumrate":"1.01"}</v>
      </c>
      <c r="J585" s="6" t="str">
        <f t="shared" si="59"/>
        <v>,</v>
      </c>
    </row>
    <row r="586" spans="1:10">
      <c r="A586" s="4" t="str">
        <f>'EN60'!A$3</f>
        <v>EN60</v>
      </c>
      <c r="B586" s="4">
        <f t="shared" si="60"/>
        <v>7</v>
      </c>
      <c r="C586" s="4">
        <f t="shared" si="61"/>
        <v>22</v>
      </c>
      <c r="D586" s="4">
        <f t="shared" si="62"/>
        <v>8</v>
      </c>
      <c r="E586" s="4" t="s">
        <v>27</v>
      </c>
      <c r="F586" s="4">
        <f t="shared" si="56"/>
        <v>800</v>
      </c>
      <c r="G586" s="5">
        <f t="shared" si="63"/>
        <v>1.01</v>
      </c>
      <c r="H586" s="6" t="str">
        <f t="shared" si="57"/>
        <v>INSERT INTO public.coupon (plancode, age, "year", couponrate, benefittype, benefitrate, premiumrate) VALUES('EN60', 7, 22, 8, 'A',800, 1.01);</v>
      </c>
      <c r="I586" s="6" t="str">
        <f t="shared" si="58"/>
        <v>{"age":"7", "year":"22", "couponrate":"8", "benefittype":"A", "benefitrate":"800", "premiumrate":"1.01"}</v>
      </c>
      <c r="J586" s="6" t="str">
        <f t="shared" si="59"/>
        <v>,</v>
      </c>
    </row>
    <row r="587" spans="1:10">
      <c r="A587" s="4" t="str">
        <f>'EN60'!A$3</f>
        <v>EN60</v>
      </c>
      <c r="B587" s="4">
        <f t="shared" si="60"/>
        <v>7</v>
      </c>
      <c r="C587" s="4">
        <f t="shared" si="61"/>
        <v>23</v>
      </c>
      <c r="D587" s="4">
        <f t="shared" si="62"/>
        <v>8</v>
      </c>
      <c r="E587" s="4" t="s">
        <v>27</v>
      </c>
      <c r="F587" s="4">
        <f t="shared" si="56"/>
        <v>800</v>
      </c>
      <c r="G587" s="5">
        <f t="shared" si="63"/>
        <v>1.01</v>
      </c>
      <c r="H587" s="6" t="str">
        <f t="shared" si="57"/>
        <v>INSERT INTO public.coupon (plancode, age, "year", couponrate, benefittype, benefitrate, premiumrate) VALUES('EN60', 7, 23, 8, 'A',800, 1.01);</v>
      </c>
      <c r="I587" s="6" t="str">
        <f t="shared" si="58"/>
        <v>{"age":"7", "year":"23", "couponrate":"8", "benefittype":"A", "benefitrate":"800", "premiumrate":"1.01"}</v>
      </c>
      <c r="J587" s="6" t="str">
        <f t="shared" si="59"/>
        <v>,</v>
      </c>
    </row>
    <row r="588" spans="1:10">
      <c r="A588" s="4" t="str">
        <f>'EN60'!A$3</f>
        <v>EN60</v>
      </c>
      <c r="B588" s="4">
        <f t="shared" si="60"/>
        <v>7</v>
      </c>
      <c r="C588" s="4">
        <f t="shared" si="61"/>
        <v>24</v>
      </c>
      <c r="D588" s="4">
        <f t="shared" si="62"/>
        <v>8</v>
      </c>
      <c r="E588" s="4" t="s">
        <v>27</v>
      </c>
      <c r="F588" s="4">
        <f t="shared" si="56"/>
        <v>800</v>
      </c>
      <c r="G588" s="5">
        <f t="shared" si="63"/>
        <v>1.01</v>
      </c>
      <c r="H588" s="6" t="str">
        <f t="shared" si="57"/>
        <v>INSERT INTO public.coupon (plancode, age, "year", couponrate, benefittype, benefitrate, premiumrate) VALUES('EN60', 7, 24, 8, 'A',800, 1.01);</v>
      </c>
      <c r="I588" s="6" t="str">
        <f t="shared" si="58"/>
        <v>{"age":"7", "year":"24", "couponrate":"8", "benefittype":"A", "benefitrate":"800", "premiumrate":"1.01"}</v>
      </c>
      <c r="J588" s="6" t="str">
        <f t="shared" si="59"/>
        <v>,</v>
      </c>
    </row>
    <row r="589" spans="1:10">
      <c r="A589" s="4" t="str">
        <f>'EN60'!A$3</f>
        <v>EN60</v>
      </c>
      <c r="B589" s="4">
        <f t="shared" si="60"/>
        <v>7</v>
      </c>
      <c r="C589" s="4">
        <f t="shared" si="61"/>
        <v>25</v>
      </c>
      <c r="D589" s="4">
        <f t="shared" si="62"/>
        <v>8</v>
      </c>
      <c r="E589" s="4" t="s">
        <v>27</v>
      </c>
      <c r="F589" s="4">
        <f t="shared" si="56"/>
        <v>800</v>
      </c>
      <c r="G589" s="5">
        <f t="shared" si="63"/>
        <v>1.01</v>
      </c>
      <c r="H589" s="6" t="str">
        <f t="shared" si="57"/>
        <v>INSERT INTO public.coupon (plancode, age, "year", couponrate, benefittype, benefitrate, premiumrate) VALUES('EN60', 7, 25, 8, 'A',800, 1.01);</v>
      </c>
      <c r="I589" s="6" t="str">
        <f t="shared" si="58"/>
        <v>{"age":"7", "year":"25", "couponrate":"8", "benefittype":"A", "benefitrate":"800", "premiumrate":"1.01"}</v>
      </c>
      <c r="J589" s="6" t="str">
        <f t="shared" si="59"/>
        <v>,</v>
      </c>
    </row>
    <row r="590" spans="1:10">
      <c r="A590" s="4" t="str">
        <f>'EN60'!A$3</f>
        <v>EN60</v>
      </c>
      <c r="B590" s="4">
        <f t="shared" si="60"/>
        <v>7</v>
      </c>
      <c r="C590" s="4">
        <f t="shared" si="61"/>
        <v>26</v>
      </c>
      <c r="D590" s="4">
        <f t="shared" si="62"/>
        <v>8</v>
      </c>
      <c r="E590" s="4" t="s">
        <v>27</v>
      </c>
      <c r="F590" s="4">
        <f t="shared" si="56"/>
        <v>800</v>
      </c>
      <c r="G590" s="5">
        <f t="shared" si="63"/>
        <v>1.01</v>
      </c>
      <c r="H590" s="6" t="str">
        <f t="shared" si="57"/>
        <v>INSERT INTO public.coupon (plancode, age, "year", couponrate, benefittype, benefitrate, premiumrate) VALUES('EN60', 7, 26, 8, 'A',800, 1.01);</v>
      </c>
      <c r="I590" s="6" t="str">
        <f t="shared" si="58"/>
        <v>{"age":"7", "year":"26", "couponrate":"8", "benefittype":"A", "benefitrate":"800", "premiumrate":"1.01"}</v>
      </c>
      <c r="J590" s="6" t="str">
        <f t="shared" si="59"/>
        <v>,</v>
      </c>
    </row>
    <row r="591" spans="1:10">
      <c r="A591" s="4" t="str">
        <f>'EN60'!A$3</f>
        <v>EN60</v>
      </c>
      <c r="B591" s="4">
        <f t="shared" si="60"/>
        <v>7</v>
      </c>
      <c r="C591" s="4">
        <f t="shared" si="61"/>
        <v>27</v>
      </c>
      <c r="D591" s="4">
        <f t="shared" si="62"/>
        <v>8</v>
      </c>
      <c r="E591" s="4" t="s">
        <v>27</v>
      </c>
      <c r="F591" s="4">
        <f t="shared" si="56"/>
        <v>800</v>
      </c>
      <c r="G591" s="5">
        <f t="shared" si="63"/>
        <v>1.01</v>
      </c>
      <c r="H591" s="6" t="str">
        <f t="shared" si="57"/>
        <v>INSERT INTO public.coupon (plancode, age, "year", couponrate, benefittype, benefitrate, premiumrate) VALUES('EN60', 7, 27, 8, 'A',800, 1.01);</v>
      </c>
      <c r="I591" s="6" t="str">
        <f t="shared" si="58"/>
        <v>{"age":"7", "year":"27", "couponrate":"8", "benefittype":"A", "benefitrate":"800", "premiumrate":"1.01"}</v>
      </c>
      <c r="J591" s="6" t="str">
        <f t="shared" si="59"/>
        <v>,</v>
      </c>
    </row>
    <row r="592" spans="1:10">
      <c r="A592" s="4" t="str">
        <f>'EN60'!A$3</f>
        <v>EN60</v>
      </c>
      <c r="B592" s="4">
        <f t="shared" si="60"/>
        <v>7</v>
      </c>
      <c r="C592" s="4">
        <f t="shared" si="61"/>
        <v>28</v>
      </c>
      <c r="D592" s="4">
        <f t="shared" si="62"/>
        <v>8</v>
      </c>
      <c r="E592" s="4" t="s">
        <v>27</v>
      </c>
      <c r="F592" s="4">
        <f t="shared" si="56"/>
        <v>800</v>
      </c>
      <c r="G592" s="5">
        <f t="shared" si="63"/>
        <v>1.01</v>
      </c>
      <c r="H592" s="6" t="str">
        <f t="shared" si="57"/>
        <v>INSERT INTO public.coupon (plancode, age, "year", couponrate, benefittype, benefitrate, premiumrate) VALUES('EN60', 7, 28, 8, 'A',800, 1.01);</v>
      </c>
      <c r="I592" s="6" t="str">
        <f t="shared" si="58"/>
        <v>{"age":"7", "year":"28", "couponrate":"8", "benefittype":"A", "benefitrate":"800", "premiumrate":"1.01"}</v>
      </c>
      <c r="J592" s="6" t="str">
        <f t="shared" si="59"/>
        <v>,</v>
      </c>
    </row>
    <row r="593" spans="1:10">
      <c r="A593" s="4" t="str">
        <f>'EN60'!A$3</f>
        <v>EN60</v>
      </c>
      <c r="B593" s="4">
        <f t="shared" si="60"/>
        <v>7</v>
      </c>
      <c r="C593" s="4">
        <f t="shared" si="61"/>
        <v>29</v>
      </c>
      <c r="D593" s="4">
        <f t="shared" si="62"/>
        <v>8</v>
      </c>
      <c r="E593" s="4" t="s">
        <v>27</v>
      </c>
      <c r="F593" s="4">
        <f t="shared" si="56"/>
        <v>800</v>
      </c>
      <c r="G593" s="5">
        <f t="shared" si="63"/>
        <v>1.01</v>
      </c>
      <c r="H593" s="6" t="str">
        <f t="shared" si="57"/>
        <v>INSERT INTO public.coupon (plancode, age, "year", couponrate, benefittype, benefitrate, premiumrate) VALUES('EN60', 7, 29, 8, 'A',800, 1.01);</v>
      </c>
      <c r="I593" s="6" t="str">
        <f t="shared" si="58"/>
        <v>{"age":"7", "year":"29", "couponrate":"8", "benefittype":"A", "benefitrate":"800", "premiumrate":"1.01"}</v>
      </c>
      <c r="J593" s="6" t="str">
        <f t="shared" si="59"/>
        <v>,</v>
      </c>
    </row>
    <row r="594" spans="1:10">
      <c r="A594" s="4" t="str">
        <f>'EN60'!A$3</f>
        <v>EN60</v>
      </c>
      <c r="B594" s="4">
        <f t="shared" si="60"/>
        <v>7</v>
      </c>
      <c r="C594" s="4">
        <f t="shared" si="61"/>
        <v>30</v>
      </c>
      <c r="D594" s="4">
        <f t="shared" si="62"/>
        <v>8</v>
      </c>
      <c r="E594" s="4" t="s">
        <v>27</v>
      </c>
      <c r="F594" s="4">
        <f t="shared" si="56"/>
        <v>800</v>
      </c>
      <c r="G594" s="5">
        <f t="shared" si="63"/>
        <v>1.01</v>
      </c>
      <c r="H594" s="6" t="str">
        <f t="shared" si="57"/>
        <v>INSERT INTO public.coupon (plancode, age, "year", couponrate, benefittype, benefitrate, premiumrate) VALUES('EN60', 7, 30, 8, 'A',800, 1.01);</v>
      </c>
      <c r="I594" s="6" t="str">
        <f t="shared" si="58"/>
        <v>{"age":"7", "year":"30", "couponrate":"8", "benefittype":"A", "benefitrate":"800", "premiumrate":"1.01"}</v>
      </c>
      <c r="J594" s="6" t="str">
        <f t="shared" si="59"/>
        <v>,</v>
      </c>
    </row>
    <row r="595" spans="1:10">
      <c r="A595" s="4" t="str">
        <f>'EN60'!A$3</f>
        <v>EN60</v>
      </c>
      <c r="B595" s="4">
        <f t="shared" si="60"/>
        <v>7</v>
      </c>
      <c r="C595" s="4">
        <f t="shared" si="61"/>
        <v>31</v>
      </c>
      <c r="D595" s="4">
        <f t="shared" si="62"/>
        <v>8</v>
      </c>
      <c r="E595" s="4" t="s">
        <v>27</v>
      </c>
      <c r="F595" s="4">
        <f t="shared" si="56"/>
        <v>800</v>
      </c>
      <c r="G595" s="5">
        <f t="shared" si="63"/>
        <v>1.01</v>
      </c>
      <c r="H595" s="6" t="str">
        <f t="shared" si="57"/>
        <v>INSERT INTO public.coupon (plancode, age, "year", couponrate, benefittype, benefitrate, premiumrate) VALUES('EN60', 7, 31, 8, 'A',800, 1.01);</v>
      </c>
      <c r="I595" s="6" t="str">
        <f t="shared" si="58"/>
        <v>{"age":"7", "year":"31", "couponrate":"8", "benefittype":"A", "benefitrate":"800", "premiumrate":"1.01"}</v>
      </c>
      <c r="J595" s="6" t="str">
        <f t="shared" si="59"/>
        <v>,</v>
      </c>
    </row>
    <row r="596" spans="1:10">
      <c r="A596" s="4" t="str">
        <f>'EN60'!A$3</f>
        <v>EN60</v>
      </c>
      <c r="B596" s="4">
        <f t="shared" si="60"/>
        <v>7</v>
      </c>
      <c r="C596" s="4">
        <f t="shared" si="61"/>
        <v>32</v>
      </c>
      <c r="D596" s="4">
        <f t="shared" si="62"/>
        <v>8</v>
      </c>
      <c r="E596" s="4" t="s">
        <v>27</v>
      </c>
      <c r="F596" s="4">
        <f t="shared" si="56"/>
        <v>800</v>
      </c>
      <c r="G596" s="5">
        <f t="shared" si="63"/>
        <v>1.01</v>
      </c>
      <c r="H596" s="6" t="str">
        <f t="shared" si="57"/>
        <v>INSERT INTO public.coupon (plancode, age, "year", couponrate, benefittype, benefitrate, premiumrate) VALUES('EN60', 7, 32, 8, 'A',800, 1.01);</v>
      </c>
      <c r="I596" s="6" t="str">
        <f t="shared" si="58"/>
        <v>{"age":"7", "year":"32", "couponrate":"8", "benefittype":"A", "benefitrate":"800", "premiumrate":"1.01"}</v>
      </c>
      <c r="J596" s="6" t="str">
        <f t="shared" si="59"/>
        <v>,</v>
      </c>
    </row>
    <row r="597" spans="1:10">
      <c r="A597" s="4" t="str">
        <f>'EN60'!A$3</f>
        <v>EN60</v>
      </c>
      <c r="B597" s="4">
        <f t="shared" si="60"/>
        <v>7</v>
      </c>
      <c r="C597" s="4">
        <f t="shared" si="61"/>
        <v>33</v>
      </c>
      <c r="D597" s="4">
        <f t="shared" si="62"/>
        <v>8</v>
      </c>
      <c r="E597" s="4" t="s">
        <v>27</v>
      </c>
      <c r="F597" s="4">
        <f t="shared" si="56"/>
        <v>800</v>
      </c>
      <c r="G597" s="5">
        <f t="shared" si="63"/>
        <v>1.01</v>
      </c>
      <c r="H597" s="6" t="str">
        <f t="shared" si="57"/>
        <v>INSERT INTO public.coupon (plancode, age, "year", couponrate, benefittype, benefitrate, premiumrate) VALUES('EN60', 7, 33, 8, 'A',800, 1.01);</v>
      </c>
      <c r="I597" s="6" t="str">
        <f t="shared" si="58"/>
        <v>{"age":"7", "year":"33", "couponrate":"8", "benefittype":"A", "benefitrate":"800", "premiumrate":"1.01"}</v>
      </c>
      <c r="J597" s="6" t="str">
        <f t="shared" si="59"/>
        <v>,</v>
      </c>
    </row>
    <row r="598" spans="1:10">
      <c r="A598" s="4" t="str">
        <f>'EN60'!A$3</f>
        <v>EN60</v>
      </c>
      <c r="B598" s="4">
        <f t="shared" si="60"/>
        <v>7</v>
      </c>
      <c r="C598" s="4">
        <f t="shared" si="61"/>
        <v>34</v>
      </c>
      <c r="D598" s="4">
        <f t="shared" si="62"/>
        <v>8</v>
      </c>
      <c r="E598" s="4" t="s">
        <v>27</v>
      </c>
      <c r="F598" s="4">
        <f t="shared" si="56"/>
        <v>800</v>
      </c>
      <c r="G598" s="5">
        <f t="shared" si="63"/>
        <v>1.01</v>
      </c>
      <c r="H598" s="6" t="str">
        <f t="shared" si="57"/>
        <v>INSERT INTO public.coupon (plancode, age, "year", couponrate, benefittype, benefitrate, premiumrate) VALUES('EN60', 7, 34, 8, 'A',800, 1.01);</v>
      </c>
      <c r="I598" s="6" t="str">
        <f t="shared" si="58"/>
        <v>{"age":"7", "year":"34", "couponrate":"8", "benefittype":"A", "benefitrate":"800", "premiumrate":"1.01"}</v>
      </c>
      <c r="J598" s="6" t="str">
        <f t="shared" si="59"/>
        <v>,</v>
      </c>
    </row>
    <row r="599" spans="1:10">
      <c r="A599" s="4" t="str">
        <f>'EN60'!A$3</f>
        <v>EN60</v>
      </c>
      <c r="B599" s="4">
        <f t="shared" si="60"/>
        <v>7</v>
      </c>
      <c r="C599" s="4">
        <f t="shared" si="61"/>
        <v>35</v>
      </c>
      <c r="D599" s="4">
        <f t="shared" si="62"/>
        <v>8</v>
      </c>
      <c r="E599" s="4" t="s">
        <v>27</v>
      </c>
      <c r="F599" s="4">
        <f t="shared" si="56"/>
        <v>800</v>
      </c>
      <c r="G599" s="5">
        <f t="shared" si="63"/>
        <v>1.01</v>
      </c>
      <c r="H599" s="6" t="str">
        <f t="shared" si="57"/>
        <v>INSERT INTO public.coupon (plancode, age, "year", couponrate, benefittype, benefitrate, premiumrate) VALUES('EN60', 7, 35, 8, 'A',800, 1.01);</v>
      </c>
      <c r="I599" s="6" t="str">
        <f t="shared" si="58"/>
        <v>{"age":"7", "year":"35", "couponrate":"8", "benefittype":"A", "benefitrate":"800", "premiumrate":"1.01"}</v>
      </c>
      <c r="J599" s="6" t="str">
        <f t="shared" si="59"/>
        <v>,</v>
      </c>
    </row>
    <row r="600" spans="1:10">
      <c r="A600" s="4" t="str">
        <f>'EN60'!A$3</f>
        <v>EN60</v>
      </c>
      <c r="B600" s="4">
        <f t="shared" si="60"/>
        <v>7</v>
      </c>
      <c r="C600" s="4">
        <f t="shared" si="61"/>
        <v>36</v>
      </c>
      <c r="D600" s="4">
        <f t="shared" si="62"/>
        <v>8</v>
      </c>
      <c r="E600" s="4" t="s">
        <v>27</v>
      </c>
      <c r="F600" s="4">
        <f t="shared" si="56"/>
        <v>800</v>
      </c>
      <c r="G600" s="5">
        <f t="shared" si="63"/>
        <v>1.01</v>
      </c>
      <c r="H600" s="6" t="str">
        <f t="shared" si="57"/>
        <v>INSERT INTO public.coupon (plancode, age, "year", couponrate, benefittype, benefitrate, premiumrate) VALUES('EN60', 7, 36, 8, 'A',800, 1.01);</v>
      </c>
      <c r="I600" s="6" t="str">
        <f t="shared" si="58"/>
        <v>{"age":"7", "year":"36", "couponrate":"8", "benefittype":"A", "benefitrate":"800", "premiumrate":"1.01"}</v>
      </c>
      <c r="J600" s="6" t="str">
        <f t="shared" si="59"/>
        <v>,</v>
      </c>
    </row>
    <row r="601" spans="1:10">
      <c r="A601" s="4" t="str">
        <f>'EN60'!A$3</f>
        <v>EN60</v>
      </c>
      <c r="B601" s="4">
        <f t="shared" si="60"/>
        <v>7</v>
      </c>
      <c r="C601" s="4">
        <f t="shared" si="61"/>
        <v>37</v>
      </c>
      <c r="D601" s="4">
        <f t="shared" si="62"/>
        <v>8</v>
      </c>
      <c r="E601" s="4" t="s">
        <v>27</v>
      </c>
      <c r="F601" s="4">
        <f t="shared" si="56"/>
        <v>800</v>
      </c>
      <c r="G601" s="5">
        <f t="shared" si="63"/>
        <v>1.01</v>
      </c>
      <c r="H601" s="6" t="str">
        <f t="shared" si="57"/>
        <v>INSERT INTO public.coupon (plancode, age, "year", couponrate, benefittype, benefitrate, premiumrate) VALUES('EN60', 7, 37, 8, 'A',800, 1.01);</v>
      </c>
      <c r="I601" s="6" t="str">
        <f t="shared" si="58"/>
        <v>{"age":"7", "year":"37", "couponrate":"8", "benefittype":"A", "benefitrate":"800", "premiumrate":"1.01"}</v>
      </c>
      <c r="J601" s="6" t="str">
        <f t="shared" si="59"/>
        <v>,</v>
      </c>
    </row>
    <row r="602" spans="1:10">
      <c r="A602" s="4" t="str">
        <f>'EN60'!A$3</f>
        <v>EN60</v>
      </c>
      <c r="B602" s="4">
        <f t="shared" si="60"/>
        <v>7</v>
      </c>
      <c r="C602" s="4">
        <f t="shared" si="61"/>
        <v>38</v>
      </c>
      <c r="D602" s="4">
        <f t="shared" si="62"/>
        <v>8</v>
      </c>
      <c r="E602" s="4" t="s">
        <v>27</v>
      </c>
      <c r="F602" s="4">
        <f t="shared" si="56"/>
        <v>800</v>
      </c>
      <c r="G602" s="5">
        <f t="shared" si="63"/>
        <v>1.01</v>
      </c>
      <c r="H602" s="6" t="str">
        <f t="shared" si="57"/>
        <v>INSERT INTO public.coupon (plancode, age, "year", couponrate, benefittype, benefitrate, premiumrate) VALUES('EN60', 7, 38, 8, 'A',800, 1.01);</v>
      </c>
      <c r="I602" s="6" t="str">
        <f t="shared" si="58"/>
        <v>{"age":"7", "year":"38", "couponrate":"8", "benefittype":"A", "benefitrate":"800", "premiumrate":"1.01"}</v>
      </c>
      <c r="J602" s="6" t="str">
        <f t="shared" si="59"/>
        <v>,</v>
      </c>
    </row>
    <row r="603" spans="1:10">
      <c r="A603" s="4" t="str">
        <f>'EN60'!A$3</f>
        <v>EN60</v>
      </c>
      <c r="B603" s="4">
        <f t="shared" si="60"/>
        <v>7</v>
      </c>
      <c r="C603" s="4">
        <f t="shared" si="61"/>
        <v>39</v>
      </c>
      <c r="D603" s="4">
        <f t="shared" si="62"/>
        <v>8</v>
      </c>
      <c r="E603" s="4" t="s">
        <v>27</v>
      </c>
      <c r="F603" s="4">
        <f t="shared" si="56"/>
        <v>800</v>
      </c>
      <c r="G603" s="5">
        <f t="shared" si="63"/>
        <v>1.01</v>
      </c>
      <c r="H603" s="6" t="str">
        <f t="shared" si="57"/>
        <v>INSERT INTO public.coupon (plancode, age, "year", couponrate, benefittype, benefitrate, premiumrate) VALUES('EN60', 7, 39, 8, 'A',800, 1.01);</v>
      </c>
      <c r="I603" s="6" t="str">
        <f t="shared" si="58"/>
        <v>{"age":"7", "year":"39", "couponrate":"8", "benefittype":"A", "benefitrate":"800", "premiumrate":"1.01"}</v>
      </c>
      <c r="J603" s="6" t="str">
        <f t="shared" si="59"/>
        <v>,</v>
      </c>
    </row>
    <row r="604" spans="1:10">
      <c r="A604" s="4" t="str">
        <f>'EN60'!A$3</f>
        <v>EN60</v>
      </c>
      <c r="B604" s="4">
        <f t="shared" si="60"/>
        <v>7</v>
      </c>
      <c r="C604" s="4">
        <f t="shared" si="61"/>
        <v>40</v>
      </c>
      <c r="D604" s="4">
        <f t="shared" si="62"/>
        <v>8</v>
      </c>
      <c r="E604" s="4" t="s">
        <v>27</v>
      </c>
      <c r="F604" s="4">
        <f t="shared" si="56"/>
        <v>800</v>
      </c>
      <c r="G604" s="5">
        <f t="shared" si="63"/>
        <v>1.01</v>
      </c>
      <c r="H604" s="6" t="str">
        <f t="shared" si="57"/>
        <v>INSERT INTO public.coupon (plancode, age, "year", couponrate, benefittype, benefitrate, premiumrate) VALUES('EN60', 7, 40, 8, 'A',800, 1.01);</v>
      </c>
      <c r="I604" s="6" t="str">
        <f t="shared" si="58"/>
        <v>{"age":"7", "year":"40", "couponrate":"8", "benefittype":"A", "benefitrate":"800", "premiumrate":"1.01"}</v>
      </c>
      <c r="J604" s="6" t="str">
        <f t="shared" si="59"/>
        <v>,</v>
      </c>
    </row>
    <row r="605" spans="1:10">
      <c r="A605" s="4" t="str">
        <f>'EN60'!A$3</f>
        <v>EN60</v>
      </c>
      <c r="B605" s="4">
        <f t="shared" si="60"/>
        <v>7</v>
      </c>
      <c r="C605" s="4">
        <f t="shared" si="61"/>
        <v>41</v>
      </c>
      <c r="D605" s="4">
        <f t="shared" si="62"/>
        <v>8</v>
      </c>
      <c r="E605" s="4" t="s">
        <v>27</v>
      </c>
      <c r="F605" s="4">
        <f t="shared" si="56"/>
        <v>800</v>
      </c>
      <c r="G605" s="5">
        <f t="shared" si="63"/>
        <v>1.01</v>
      </c>
      <c r="H605" s="6" t="str">
        <f t="shared" si="57"/>
        <v>INSERT INTO public.coupon (plancode, age, "year", couponrate, benefittype, benefitrate, premiumrate) VALUES('EN60', 7, 41, 8, 'A',800, 1.01);</v>
      </c>
      <c r="I605" s="6" t="str">
        <f t="shared" si="58"/>
        <v>{"age":"7", "year":"41", "couponrate":"8", "benefittype":"A", "benefitrate":"800", "premiumrate":"1.01"}</v>
      </c>
      <c r="J605" s="6" t="str">
        <f t="shared" si="59"/>
        <v>,</v>
      </c>
    </row>
    <row r="606" spans="1:10">
      <c r="A606" s="4" t="str">
        <f>'EN60'!A$3</f>
        <v>EN60</v>
      </c>
      <c r="B606" s="4">
        <f t="shared" si="60"/>
        <v>7</v>
      </c>
      <c r="C606" s="4">
        <f t="shared" si="61"/>
        <v>42</v>
      </c>
      <c r="D606" s="4">
        <f t="shared" si="62"/>
        <v>8</v>
      </c>
      <c r="E606" s="4" t="s">
        <v>27</v>
      </c>
      <c r="F606" s="4">
        <f t="shared" si="56"/>
        <v>800</v>
      </c>
      <c r="G606" s="5">
        <f t="shared" si="63"/>
        <v>1.01</v>
      </c>
      <c r="H606" s="6" t="str">
        <f t="shared" si="57"/>
        <v>INSERT INTO public.coupon (plancode, age, "year", couponrate, benefittype, benefitrate, premiumrate) VALUES('EN60', 7, 42, 8, 'A',800, 1.01);</v>
      </c>
      <c r="I606" s="6" t="str">
        <f t="shared" si="58"/>
        <v>{"age":"7", "year":"42", "couponrate":"8", "benefittype":"A", "benefitrate":"800", "premiumrate":"1.01"}</v>
      </c>
      <c r="J606" s="6" t="str">
        <f t="shared" si="59"/>
        <v>,</v>
      </c>
    </row>
    <row r="607" spans="1:10">
      <c r="A607" s="4" t="str">
        <f>'EN60'!A$3</f>
        <v>EN60</v>
      </c>
      <c r="B607" s="4">
        <f t="shared" si="60"/>
        <v>7</v>
      </c>
      <c r="C607" s="4">
        <f t="shared" si="61"/>
        <v>43</v>
      </c>
      <c r="D607" s="4">
        <f t="shared" si="62"/>
        <v>8</v>
      </c>
      <c r="E607" s="4" t="s">
        <v>27</v>
      </c>
      <c r="F607" s="4">
        <f t="shared" si="56"/>
        <v>800</v>
      </c>
      <c r="G607" s="5">
        <f t="shared" si="63"/>
        <v>1.01</v>
      </c>
      <c r="H607" s="6" t="str">
        <f t="shared" si="57"/>
        <v>INSERT INTO public.coupon (plancode, age, "year", couponrate, benefittype, benefitrate, premiumrate) VALUES('EN60', 7, 43, 8, 'A',800, 1.01);</v>
      </c>
      <c r="I607" s="6" t="str">
        <f t="shared" si="58"/>
        <v>{"age":"7", "year":"43", "couponrate":"8", "benefittype":"A", "benefitrate":"800", "premiumrate":"1.01"}</v>
      </c>
      <c r="J607" s="6" t="str">
        <f t="shared" si="59"/>
        <v>,</v>
      </c>
    </row>
    <row r="608" spans="1:10">
      <c r="A608" s="4" t="str">
        <f>'EN60'!A$3</f>
        <v>EN60</v>
      </c>
      <c r="B608" s="4">
        <f t="shared" si="60"/>
        <v>7</v>
      </c>
      <c r="C608" s="4">
        <f t="shared" si="61"/>
        <v>44</v>
      </c>
      <c r="D608" s="4">
        <f t="shared" si="62"/>
        <v>8</v>
      </c>
      <c r="E608" s="4" t="s">
        <v>27</v>
      </c>
      <c r="F608" s="4">
        <f t="shared" si="56"/>
        <v>800</v>
      </c>
      <c r="G608" s="5">
        <f t="shared" si="63"/>
        <v>1.01</v>
      </c>
      <c r="H608" s="6" t="str">
        <f t="shared" si="57"/>
        <v>INSERT INTO public.coupon (plancode, age, "year", couponrate, benefittype, benefitrate, premiumrate) VALUES('EN60', 7, 44, 8, 'A',800, 1.01);</v>
      </c>
      <c r="I608" s="6" t="str">
        <f t="shared" si="58"/>
        <v>{"age":"7", "year":"44", "couponrate":"8", "benefittype":"A", "benefitrate":"800", "premiumrate":"1.01"}</v>
      </c>
      <c r="J608" s="6" t="str">
        <f t="shared" si="59"/>
        <v>,</v>
      </c>
    </row>
    <row r="609" spans="1:10">
      <c r="A609" s="4" t="str">
        <f>'EN60'!A$3</f>
        <v>EN60</v>
      </c>
      <c r="B609" s="4">
        <f t="shared" si="60"/>
        <v>7</v>
      </c>
      <c r="C609" s="4">
        <f t="shared" si="61"/>
        <v>45</v>
      </c>
      <c r="D609" s="4">
        <f t="shared" si="62"/>
        <v>8</v>
      </c>
      <c r="E609" s="4" t="s">
        <v>27</v>
      </c>
      <c r="F609" s="4">
        <f t="shared" si="56"/>
        <v>800</v>
      </c>
      <c r="G609" s="5">
        <f t="shared" si="63"/>
        <v>1.01</v>
      </c>
      <c r="H609" s="6" t="str">
        <f t="shared" si="57"/>
        <v>INSERT INTO public.coupon (plancode, age, "year", couponrate, benefittype, benefitrate, premiumrate) VALUES('EN60', 7, 45, 8, 'A',800, 1.01);</v>
      </c>
      <c r="I609" s="6" t="str">
        <f t="shared" si="58"/>
        <v>{"age":"7", "year":"45", "couponrate":"8", "benefittype":"A", "benefitrate":"800", "premiumrate":"1.01"}</v>
      </c>
      <c r="J609" s="6" t="str">
        <f t="shared" si="59"/>
        <v>,</v>
      </c>
    </row>
    <row r="610" spans="1:10">
      <c r="A610" s="4" t="str">
        <f>'EN60'!A$3</f>
        <v>EN60</v>
      </c>
      <c r="B610" s="4">
        <f t="shared" si="60"/>
        <v>7</v>
      </c>
      <c r="C610" s="4">
        <f t="shared" si="61"/>
        <v>46</v>
      </c>
      <c r="D610" s="4">
        <f t="shared" si="62"/>
        <v>8</v>
      </c>
      <c r="E610" s="4" t="s">
        <v>27</v>
      </c>
      <c r="F610" s="4">
        <f t="shared" si="56"/>
        <v>800</v>
      </c>
      <c r="G610" s="5">
        <f t="shared" si="63"/>
        <v>1.01</v>
      </c>
      <c r="H610" s="6" t="str">
        <f t="shared" si="57"/>
        <v>INSERT INTO public.coupon (plancode, age, "year", couponrate, benefittype, benefitrate, premiumrate) VALUES('EN60', 7, 46, 8, 'A',800, 1.01);</v>
      </c>
      <c r="I610" s="6" t="str">
        <f t="shared" si="58"/>
        <v>{"age":"7", "year":"46", "couponrate":"8", "benefittype":"A", "benefitrate":"800", "premiumrate":"1.01"}</v>
      </c>
      <c r="J610" s="6" t="str">
        <f t="shared" si="59"/>
        <v>,</v>
      </c>
    </row>
    <row r="611" spans="1:10">
      <c r="A611" s="4" t="str">
        <f>'EN60'!A$3</f>
        <v>EN60</v>
      </c>
      <c r="B611" s="4">
        <f t="shared" si="60"/>
        <v>7</v>
      </c>
      <c r="C611" s="4">
        <f t="shared" si="61"/>
        <v>47</v>
      </c>
      <c r="D611" s="4">
        <f t="shared" si="62"/>
        <v>8</v>
      </c>
      <c r="E611" s="4" t="s">
        <v>27</v>
      </c>
      <c r="F611" s="4">
        <f t="shared" si="56"/>
        <v>800</v>
      </c>
      <c r="G611" s="5">
        <f t="shared" si="63"/>
        <v>1.01</v>
      </c>
      <c r="H611" s="6" t="str">
        <f t="shared" si="57"/>
        <v>INSERT INTO public.coupon (plancode, age, "year", couponrate, benefittype, benefitrate, premiumrate) VALUES('EN60', 7, 47, 8, 'A',800, 1.01);</v>
      </c>
      <c r="I611" s="6" t="str">
        <f t="shared" si="58"/>
        <v>{"age":"7", "year":"47", "couponrate":"8", "benefittype":"A", "benefitrate":"800", "premiumrate":"1.01"}</v>
      </c>
      <c r="J611" s="6" t="str">
        <f t="shared" si="59"/>
        <v>,</v>
      </c>
    </row>
    <row r="612" spans="1:10">
      <c r="A612" s="4" t="str">
        <f>'EN60'!A$3</f>
        <v>EN60</v>
      </c>
      <c r="B612" s="4">
        <f t="shared" si="60"/>
        <v>7</v>
      </c>
      <c r="C612" s="4">
        <f t="shared" si="61"/>
        <v>48</v>
      </c>
      <c r="D612" s="4">
        <f t="shared" si="62"/>
        <v>8</v>
      </c>
      <c r="E612" s="4" t="s">
        <v>27</v>
      </c>
      <c r="F612" s="4">
        <f t="shared" si="56"/>
        <v>800</v>
      </c>
      <c r="G612" s="5">
        <f t="shared" si="63"/>
        <v>1.01</v>
      </c>
      <c r="H612" s="6" t="str">
        <f t="shared" si="57"/>
        <v>INSERT INTO public.coupon (plancode, age, "year", couponrate, benefittype, benefitrate, premiumrate) VALUES('EN60', 7, 48, 8, 'A',800, 1.01);</v>
      </c>
      <c r="I612" s="6" t="str">
        <f t="shared" si="58"/>
        <v>{"age":"7", "year":"48", "couponrate":"8", "benefittype":"A", "benefitrate":"800", "premiumrate":"1.01"}</v>
      </c>
      <c r="J612" s="6" t="str">
        <f t="shared" si="59"/>
        <v>,</v>
      </c>
    </row>
    <row r="613" spans="1:10">
      <c r="A613" s="4" t="str">
        <f>'EN60'!A$3</f>
        <v>EN60</v>
      </c>
      <c r="B613" s="4">
        <f t="shared" si="60"/>
        <v>7</v>
      </c>
      <c r="C613" s="4">
        <f t="shared" si="61"/>
        <v>49</v>
      </c>
      <c r="D613" s="4">
        <f t="shared" si="62"/>
        <v>8</v>
      </c>
      <c r="E613" s="4" t="s">
        <v>27</v>
      </c>
      <c r="F613" s="4">
        <f t="shared" si="56"/>
        <v>800</v>
      </c>
      <c r="G613" s="5">
        <f t="shared" si="63"/>
        <v>1.01</v>
      </c>
      <c r="H613" s="6" t="str">
        <f t="shared" si="57"/>
        <v>INSERT INTO public.coupon (plancode, age, "year", couponrate, benefittype, benefitrate, premiumrate) VALUES('EN60', 7, 49, 8, 'A',800, 1.01);</v>
      </c>
      <c r="I613" s="6" t="str">
        <f t="shared" si="58"/>
        <v>{"age":"7", "year":"49", "couponrate":"8", "benefittype":"A", "benefitrate":"800", "premiumrate":"1.01"}</v>
      </c>
      <c r="J613" s="6" t="str">
        <f t="shared" si="59"/>
        <v>,</v>
      </c>
    </row>
    <row r="614" spans="1:10">
      <c r="A614" s="4" t="str">
        <f>'EN60'!A$3</f>
        <v>EN60</v>
      </c>
      <c r="B614" s="4">
        <f t="shared" si="60"/>
        <v>7</v>
      </c>
      <c r="C614" s="4">
        <f t="shared" si="61"/>
        <v>50</v>
      </c>
      <c r="D614" s="4">
        <f t="shared" si="62"/>
        <v>8</v>
      </c>
      <c r="E614" s="4" t="s">
        <v>27</v>
      </c>
      <c r="F614" s="4">
        <f t="shared" si="56"/>
        <v>800</v>
      </c>
      <c r="G614" s="5">
        <f t="shared" si="63"/>
        <v>1.01</v>
      </c>
      <c r="H614" s="6" t="str">
        <f t="shared" si="57"/>
        <v>INSERT INTO public.coupon (plancode, age, "year", couponrate, benefittype, benefitrate, premiumrate) VALUES('EN60', 7, 50, 8, 'A',800, 1.01);</v>
      </c>
      <c r="I614" s="6" t="str">
        <f t="shared" si="58"/>
        <v>{"age":"7", "year":"50", "couponrate":"8", "benefittype":"A", "benefitrate":"800", "premiumrate":"1.01"}</v>
      </c>
      <c r="J614" s="6" t="str">
        <f t="shared" si="59"/>
        <v>,</v>
      </c>
    </row>
    <row r="615" spans="1:10">
      <c r="A615" s="4" t="str">
        <f>'EN60'!A$3</f>
        <v>EN60</v>
      </c>
      <c r="B615" s="4">
        <f t="shared" si="60"/>
        <v>7</v>
      </c>
      <c r="C615" s="4">
        <f t="shared" si="61"/>
        <v>51</v>
      </c>
      <c r="D615" s="4">
        <f t="shared" si="62"/>
        <v>8</v>
      </c>
      <c r="E615" s="4" t="s">
        <v>27</v>
      </c>
      <c r="F615" s="4">
        <f t="shared" si="56"/>
        <v>800</v>
      </c>
      <c r="G615" s="5">
        <f t="shared" si="63"/>
        <v>1.01</v>
      </c>
      <c r="H615" s="6" t="str">
        <f t="shared" si="57"/>
        <v>INSERT INTO public.coupon (plancode, age, "year", couponrate, benefittype, benefitrate, premiumrate) VALUES('EN60', 7, 51, 8, 'A',800, 1.01);</v>
      </c>
      <c r="I615" s="6" t="str">
        <f t="shared" si="58"/>
        <v>{"age":"7", "year":"51", "couponrate":"8", "benefittype":"A", "benefitrate":"800", "premiumrate":"1.01"}</v>
      </c>
      <c r="J615" s="6" t="str">
        <f t="shared" si="59"/>
        <v>,</v>
      </c>
    </row>
    <row r="616" spans="1:10">
      <c r="A616" s="4" t="str">
        <f>'EN60'!A$3</f>
        <v>EN60</v>
      </c>
      <c r="B616" s="4">
        <f t="shared" si="60"/>
        <v>7</v>
      </c>
      <c r="C616" s="4">
        <f t="shared" si="61"/>
        <v>52</v>
      </c>
      <c r="D616" s="4">
        <f t="shared" si="62"/>
        <v>8</v>
      </c>
      <c r="E616" s="4" t="s">
        <v>27</v>
      </c>
      <c r="F616" s="4">
        <f t="shared" si="56"/>
        <v>800</v>
      </c>
      <c r="G616" s="5">
        <f t="shared" si="63"/>
        <v>1.01</v>
      </c>
      <c r="H616" s="6" t="str">
        <f t="shared" si="57"/>
        <v>INSERT INTO public.coupon (plancode, age, "year", couponrate, benefittype, benefitrate, premiumrate) VALUES('EN60', 7, 52, 8, 'A',800, 1.01);</v>
      </c>
      <c r="I616" s="6" t="str">
        <f t="shared" si="58"/>
        <v>{"age":"7", "year":"52", "couponrate":"8", "benefittype":"A", "benefitrate":"800", "premiumrate":"1.01"}</v>
      </c>
      <c r="J616" s="6" t="str">
        <f t="shared" si="59"/>
        <v>,</v>
      </c>
    </row>
    <row r="617" spans="1:10">
      <c r="A617" s="4" t="str">
        <f>'EN60'!A$3</f>
        <v>EN60</v>
      </c>
      <c r="B617" s="4">
        <f t="shared" si="60"/>
        <v>7</v>
      </c>
      <c r="C617" s="4">
        <f t="shared" si="61"/>
        <v>53</v>
      </c>
      <c r="D617" s="4">
        <f t="shared" si="62"/>
        <v>8</v>
      </c>
      <c r="E617" s="4" t="s">
        <v>27</v>
      </c>
      <c r="F617" s="4">
        <f t="shared" si="56"/>
        <v>800</v>
      </c>
      <c r="G617" s="5">
        <f t="shared" si="63"/>
        <v>1.01</v>
      </c>
      <c r="H617" s="6" t="str">
        <f t="shared" si="57"/>
        <v>INSERT INTO public.coupon (plancode, age, "year", couponrate, benefittype, benefitrate, premiumrate) VALUES('EN60', 7, 53, 8, 'A',800, 1.01);</v>
      </c>
      <c r="I617" s="6" t="str">
        <f t="shared" si="58"/>
        <v>{"age":"7", "year":"53", "couponrate":"8", "benefittype":"A", "benefitrate":"800", "premiumrate":"1.01"}</v>
      </c>
      <c r="J617" s="6" t="str">
        <f t="shared" si="59"/>
        <v>,</v>
      </c>
    </row>
    <row r="618" spans="1:10">
      <c r="A618" s="4" t="str">
        <f>'EN60'!A$3</f>
        <v>EN60</v>
      </c>
      <c r="B618" s="4">
        <f t="shared" si="60"/>
        <v>7</v>
      </c>
      <c r="C618" s="4">
        <f t="shared" si="61"/>
        <v>54</v>
      </c>
      <c r="D618" s="4">
        <f t="shared" si="62"/>
        <v>8</v>
      </c>
      <c r="E618" s="4" t="s">
        <v>27</v>
      </c>
      <c r="F618" s="4">
        <f t="shared" si="56"/>
        <v>800</v>
      </c>
      <c r="G618" s="5">
        <f t="shared" si="63"/>
        <v>1.01</v>
      </c>
      <c r="H618" s="6" t="str">
        <f t="shared" si="57"/>
        <v>INSERT INTO public.coupon (plancode, age, "year", couponrate, benefittype, benefitrate, premiumrate) VALUES('EN60', 7, 54, 8, 'A',800, 1.01);</v>
      </c>
      <c r="I618" s="6" t="str">
        <f t="shared" si="58"/>
        <v>{"age":"7", "year":"54", "couponrate":"8", "benefittype":"A", "benefitrate":"800", "premiumrate":"1.01"}</v>
      </c>
      <c r="J618" s="6" t="str">
        <f t="shared" si="59"/>
        <v>,</v>
      </c>
    </row>
    <row r="619" spans="1:10">
      <c r="A619" s="4" t="str">
        <f>'EN60'!A$3</f>
        <v>EN60</v>
      </c>
      <c r="B619" s="4">
        <f t="shared" si="60"/>
        <v>7</v>
      </c>
      <c r="C619" s="4">
        <f t="shared" si="61"/>
        <v>55</v>
      </c>
      <c r="D619" s="4">
        <f t="shared" si="62"/>
        <v>8</v>
      </c>
      <c r="E619" s="4" t="s">
        <v>27</v>
      </c>
      <c r="F619" s="4">
        <f t="shared" si="56"/>
        <v>800</v>
      </c>
      <c r="G619" s="5">
        <f t="shared" si="63"/>
        <v>1.01</v>
      </c>
      <c r="H619" s="6" t="str">
        <f t="shared" si="57"/>
        <v>INSERT INTO public.coupon (plancode, age, "year", couponrate, benefittype, benefitrate, premiumrate) VALUES('EN60', 7, 55, 8, 'A',800, 1.01);</v>
      </c>
      <c r="I619" s="6" t="str">
        <f t="shared" si="58"/>
        <v>{"age":"7", "year":"55", "couponrate":"8", "benefittype":"A", "benefitrate":"800", "premiumrate":"1.01"}</v>
      </c>
      <c r="J619" s="6" t="str">
        <f t="shared" si="59"/>
        <v>,</v>
      </c>
    </row>
    <row r="620" spans="1:10">
      <c r="A620" s="4" t="str">
        <f>'EN60'!A$3</f>
        <v>EN60</v>
      </c>
      <c r="B620" s="4">
        <f t="shared" si="60"/>
        <v>7</v>
      </c>
      <c r="C620" s="4">
        <f t="shared" si="61"/>
        <v>56</v>
      </c>
      <c r="D620" s="4">
        <f t="shared" si="62"/>
        <v>8</v>
      </c>
      <c r="E620" s="4" t="s">
        <v>27</v>
      </c>
      <c r="F620" s="4">
        <f t="shared" si="56"/>
        <v>800</v>
      </c>
      <c r="G620" s="5">
        <f t="shared" si="63"/>
        <v>1.01</v>
      </c>
      <c r="H620" s="6" t="str">
        <f t="shared" si="57"/>
        <v>INSERT INTO public.coupon (plancode, age, "year", couponrate, benefittype, benefitrate, premiumrate) VALUES('EN60', 7, 56, 8, 'A',800, 1.01);</v>
      </c>
      <c r="I620" s="6" t="str">
        <f t="shared" si="58"/>
        <v>{"age":"7", "year":"56", "couponrate":"8", "benefittype":"A", "benefitrate":"800", "premiumrate":"1.01"}</v>
      </c>
      <c r="J620" s="6" t="str">
        <f t="shared" si="59"/>
        <v>,</v>
      </c>
    </row>
    <row r="621" spans="1:10">
      <c r="A621" s="4" t="str">
        <f>'EN60'!A$3</f>
        <v>EN60</v>
      </c>
      <c r="B621" s="4">
        <f t="shared" si="60"/>
        <v>7</v>
      </c>
      <c r="C621" s="4">
        <f t="shared" si="61"/>
        <v>57</v>
      </c>
      <c r="D621" s="4">
        <f t="shared" si="62"/>
        <v>8</v>
      </c>
      <c r="E621" s="4" t="s">
        <v>27</v>
      </c>
      <c r="F621" s="4">
        <f t="shared" si="56"/>
        <v>800</v>
      </c>
      <c r="G621" s="5">
        <f t="shared" si="63"/>
        <v>1.01</v>
      </c>
      <c r="H621" s="6" t="str">
        <f t="shared" si="57"/>
        <v>INSERT INTO public.coupon (plancode, age, "year", couponrate, benefittype, benefitrate, premiumrate) VALUES('EN60', 7, 57, 8, 'A',800, 1.01);</v>
      </c>
      <c r="I621" s="6" t="str">
        <f t="shared" si="58"/>
        <v>{"age":"7", "year":"57", "couponrate":"8", "benefittype":"A", "benefitrate":"800", "premiumrate":"1.01"}</v>
      </c>
      <c r="J621" s="6" t="str">
        <f t="shared" si="59"/>
        <v>,</v>
      </c>
    </row>
    <row r="622" spans="1:10">
      <c r="A622" s="4" t="str">
        <f>'EN60'!A$3</f>
        <v>EN60</v>
      </c>
      <c r="B622" s="4">
        <f t="shared" si="60"/>
        <v>7</v>
      </c>
      <c r="C622" s="4">
        <f t="shared" si="61"/>
        <v>58</v>
      </c>
      <c r="D622" s="4">
        <f t="shared" si="62"/>
        <v>8</v>
      </c>
      <c r="E622" s="4" t="s">
        <v>27</v>
      </c>
      <c r="F622" s="4">
        <f t="shared" si="56"/>
        <v>800</v>
      </c>
      <c r="G622" s="5">
        <f t="shared" si="63"/>
        <v>1.01</v>
      </c>
      <c r="H622" s="6" t="str">
        <f t="shared" si="57"/>
        <v>INSERT INTO public.coupon (plancode, age, "year", couponrate, benefittype, benefitrate, premiumrate) VALUES('EN60', 7, 58, 8, 'A',800, 1.01);</v>
      </c>
      <c r="I622" s="6" t="str">
        <f t="shared" si="58"/>
        <v>{"age":"7", "year":"58", "couponrate":"8", "benefittype":"A", "benefitrate":"800", "premiumrate":"1.01"}</v>
      </c>
      <c r="J622" s="6" t="str">
        <f t="shared" si="59"/>
        <v>,</v>
      </c>
    </row>
    <row r="623" spans="1:10">
      <c r="A623" s="4" t="str">
        <f>'EN60'!A$3</f>
        <v>EN60</v>
      </c>
      <c r="B623" s="4">
        <f t="shared" si="60"/>
        <v>7</v>
      </c>
      <c r="C623" s="4">
        <f t="shared" si="61"/>
        <v>59</v>
      </c>
      <c r="D623" s="4">
        <f t="shared" si="62"/>
        <v>8</v>
      </c>
      <c r="E623" s="4" t="s">
        <v>27</v>
      </c>
      <c r="F623" s="4">
        <f t="shared" si="56"/>
        <v>800</v>
      </c>
      <c r="G623" s="5">
        <f t="shared" si="63"/>
        <v>1.01</v>
      </c>
      <c r="H623" s="6" t="str">
        <f t="shared" si="57"/>
        <v>INSERT INTO public.coupon (plancode, age, "year", couponrate, benefittype, benefitrate, premiumrate) VALUES('EN60', 7, 59, 8, 'A',800, 1.01);</v>
      </c>
      <c r="I623" s="6" t="str">
        <f t="shared" si="58"/>
        <v>{"age":"7", "year":"59", "couponrate":"8", "benefittype":"A", "benefitrate":"800", "premiumrate":"1.01"}</v>
      </c>
      <c r="J623" s="6" t="str">
        <f t="shared" si="59"/>
        <v>,</v>
      </c>
    </row>
    <row r="624" spans="1:10">
      <c r="A624" s="4" t="str">
        <f>'EN60'!A$3</f>
        <v>EN60</v>
      </c>
      <c r="B624" s="4">
        <f t="shared" si="60"/>
        <v>7</v>
      </c>
      <c r="C624" s="4">
        <f t="shared" si="61"/>
        <v>60</v>
      </c>
      <c r="D624" s="4">
        <f t="shared" si="62"/>
        <v>8</v>
      </c>
      <c r="E624" s="4" t="s">
        <v>27</v>
      </c>
      <c r="F624" s="4">
        <f t="shared" si="56"/>
        <v>800</v>
      </c>
      <c r="G624" s="5">
        <f t="shared" si="63"/>
        <v>1.01</v>
      </c>
      <c r="H624" s="6" t="str">
        <f t="shared" si="57"/>
        <v>INSERT INTO public.coupon (plancode, age, "year", couponrate, benefittype, benefitrate, premiumrate) VALUES('EN60', 7, 60, 8, 'A',800, 1.01);</v>
      </c>
      <c r="I624" s="6" t="str">
        <f t="shared" si="58"/>
        <v>{"age":"7", "year":"60", "couponrate":"8", "benefittype":"A", "benefitrate":"800", "premiumrate":"1.01"}</v>
      </c>
      <c r="J624" s="6" t="str">
        <f t="shared" si="59"/>
        <v>,</v>
      </c>
    </row>
    <row r="625" spans="1:10">
      <c r="A625" s="4" t="str">
        <f>'EN60'!A$3</f>
        <v>EN60</v>
      </c>
      <c r="B625" s="4">
        <f t="shared" si="60"/>
        <v>7</v>
      </c>
      <c r="C625" s="4">
        <f t="shared" si="61"/>
        <v>61</v>
      </c>
      <c r="D625" s="4">
        <f t="shared" si="62"/>
        <v>8</v>
      </c>
      <c r="E625" s="4" t="s">
        <v>27</v>
      </c>
      <c r="F625" s="4">
        <f t="shared" si="56"/>
        <v>800</v>
      </c>
      <c r="G625" s="5">
        <f t="shared" si="63"/>
        <v>1.01</v>
      </c>
      <c r="H625" s="6" t="str">
        <f t="shared" si="57"/>
        <v>INSERT INTO public.coupon (plancode, age, "year", couponrate, benefittype, benefitrate, premiumrate) VALUES('EN60', 7, 61, 8, 'A',800, 1.01);</v>
      </c>
      <c r="I625" s="6" t="str">
        <f t="shared" si="58"/>
        <v>{"age":"7", "year":"61", "couponrate":"8", "benefittype":"A", "benefitrate":"800", "premiumrate":"1.01"}</v>
      </c>
      <c r="J625" s="6" t="str">
        <f t="shared" si="59"/>
        <v>,</v>
      </c>
    </row>
    <row r="626" spans="1:10">
      <c r="A626" s="4" t="str">
        <f>'EN60'!A$3</f>
        <v>EN60</v>
      </c>
      <c r="B626" s="4">
        <f t="shared" si="60"/>
        <v>7</v>
      </c>
      <c r="C626" s="4">
        <f t="shared" si="61"/>
        <v>62</v>
      </c>
      <c r="D626" s="4">
        <f t="shared" si="62"/>
        <v>8</v>
      </c>
      <c r="E626" s="4" t="s">
        <v>27</v>
      </c>
      <c r="F626" s="4">
        <f t="shared" si="56"/>
        <v>800</v>
      </c>
      <c r="G626" s="5">
        <f t="shared" si="63"/>
        <v>1.01</v>
      </c>
      <c r="H626" s="6" t="str">
        <f t="shared" si="57"/>
        <v>INSERT INTO public.coupon (plancode, age, "year", couponrate, benefittype, benefitrate, premiumrate) VALUES('EN60', 7, 62, 8, 'A',800, 1.01);</v>
      </c>
      <c r="I626" s="6" t="str">
        <f t="shared" si="58"/>
        <v>{"age":"7", "year":"62", "couponrate":"8", "benefittype":"A", "benefitrate":"800", "premiumrate":"1.01"}</v>
      </c>
      <c r="J626" s="6" t="str">
        <f t="shared" si="59"/>
        <v>,</v>
      </c>
    </row>
    <row r="627" spans="1:10">
      <c r="A627" s="4" t="str">
        <f>'EN60'!A$3</f>
        <v>EN60</v>
      </c>
      <c r="B627" s="4">
        <f t="shared" si="60"/>
        <v>7</v>
      </c>
      <c r="C627" s="4">
        <f t="shared" si="61"/>
        <v>63</v>
      </c>
      <c r="D627" s="4">
        <f t="shared" si="62"/>
        <v>8</v>
      </c>
      <c r="E627" s="4" t="s">
        <v>27</v>
      </c>
      <c r="F627" s="4">
        <f t="shared" si="56"/>
        <v>800</v>
      </c>
      <c r="G627" s="5">
        <f t="shared" si="63"/>
        <v>1.01</v>
      </c>
      <c r="H627" s="6" t="str">
        <f t="shared" si="57"/>
        <v>INSERT INTO public.coupon (plancode, age, "year", couponrate, benefittype, benefitrate, premiumrate) VALUES('EN60', 7, 63, 8, 'A',800, 1.01);</v>
      </c>
      <c r="I627" s="6" t="str">
        <f t="shared" si="58"/>
        <v>{"age":"7", "year":"63", "couponrate":"8", "benefittype":"A", "benefitrate":"800", "premiumrate":"1.01"}</v>
      </c>
      <c r="J627" s="6" t="str">
        <f t="shared" si="59"/>
        <v>,</v>
      </c>
    </row>
    <row r="628" spans="1:10">
      <c r="A628" s="4" t="str">
        <f>'EN60'!A$3</f>
        <v>EN60</v>
      </c>
      <c r="B628" s="4">
        <f t="shared" si="60"/>
        <v>7</v>
      </c>
      <c r="C628" s="4">
        <f t="shared" si="61"/>
        <v>64</v>
      </c>
      <c r="D628" s="4">
        <f t="shared" si="62"/>
        <v>8</v>
      </c>
      <c r="E628" s="4" t="s">
        <v>27</v>
      </c>
      <c r="F628" s="4">
        <f t="shared" si="56"/>
        <v>800</v>
      </c>
      <c r="G628" s="5">
        <f t="shared" si="63"/>
        <v>1.01</v>
      </c>
      <c r="H628" s="6" t="str">
        <f t="shared" si="57"/>
        <v>INSERT INTO public.coupon (plancode, age, "year", couponrate, benefittype, benefitrate, premiumrate) VALUES('EN60', 7, 64, 8, 'A',800, 1.01);</v>
      </c>
      <c r="I628" s="6" t="str">
        <f t="shared" si="58"/>
        <v>{"age":"7", "year":"64", "couponrate":"8", "benefittype":"A", "benefitrate":"800", "premiumrate":"1.01"}</v>
      </c>
      <c r="J628" s="6" t="str">
        <f t="shared" si="59"/>
        <v>,</v>
      </c>
    </row>
    <row r="629" spans="1:10">
      <c r="A629" s="4" t="str">
        <f>'EN60'!A$3</f>
        <v>EN60</v>
      </c>
      <c r="B629" s="4">
        <f t="shared" si="60"/>
        <v>7</v>
      </c>
      <c r="C629" s="4">
        <f t="shared" si="61"/>
        <v>65</v>
      </c>
      <c r="D629" s="4">
        <f t="shared" si="62"/>
        <v>8</v>
      </c>
      <c r="E629" s="4" t="s">
        <v>27</v>
      </c>
      <c r="F629" s="4">
        <f t="shared" si="56"/>
        <v>800</v>
      </c>
      <c r="G629" s="5">
        <f t="shared" si="63"/>
        <v>1.01</v>
      </c>
      <c r="H629" s="6" t="str">
        <f t="shared" si="57"/>
        <v>INSERT INTO public.coupon (plancode, age, "year", couponrate, benefittype, benefitrate, premiumrate) VALUES('EN60', 7, 65, 8, 'A',800, 1.01);</v>
      </c>
      <c r="I629" s="6" t="str">
        <f t="shared" si="58"/>
        <v>{"age":"7", "year":"65", "couponrate":"8", "benefittype":"A", "benefitrate":"800", "premiumrate":"1.01"}</v>
      </c>
      <c r="J629" s="6" t="str">
        <f t="shared" si="59"/>
        <v>,</v>
      </c>
    </row>
    <row r="630" spans="1:10">
      <c r="A630" s="4" t="str">
        <f>'EN60'!A$3</f>
        <v>EN60</v>
      </c>
      <c r="B630" s="4">
        <f t="shared" si="60"/>
        <v>7</v>
      </c>
      <c r="C630" s="4">
        <f t="shared" si="61"/>
        <v>66</v>
      </c>
      <c r="D630" s="4">
        <f t="shared" si="62"/>
        <v>8</v>
      </c>
      <c r="E630" s="4" t="s">
        <v>27</v>
      </c>
      <c r="F630" s="4">
        <f t="shared" si="56"/>
        <v>800</v>
      </c>
      <c r="G630" s="5">
        <f t="shared" si="63"/>
        <v>1.01</v>
      </c>
      <c r="H630" s="6" t="str">
        <f t="shared" si="57"/>
        <v>INSERT INTO public.coupon (plancode, age, "year", couponrate, benefittype, benefitrate, premiumrate) VALUES('EN60', 7, 66, 8, 'A',800, 1.01);</v>
      </c>
      <c r="I630" s="6" t="str">
        <f t="shared" si="58"/>
        <v>{"age":"7", "year":"66", "couponrate":"8", "benefittype":"A", "benefitrate":"800", "premiumrate":"1.01"}</v>
      </c>
      <c r="J630" s="6" t="str">
        <f t="shared" si="59"/>
        <v>,</v>
      </c>
    </row>
    <row r="631" spans="1:10">
      <c r="A631" s="4" t="str">
        <f>'EN60'!A$3</f>
        <v>EN60</v>
      </c>
      <c r="B631" s="4">
        <f t="shared" si="60"/>
        <v>7</v>
      </c>
      <c r="C631" s="4">
        <f t="shared" si="61"/>
        <v>67</v>
      </c>
      <c r="D631" s="4">
        <f t="shared" si="62"/>
        <v>8</v>
      </c>
      <c r="E631" s="4" t="s">
        <v>27</v>
      </c>
      <c r="F631" s="4">
        <f t="shared" si="56"/>
        <v>800</v>
      </c>
      <c r="G631" s="5">
        <f t="shared" si="63"/>
        <v>1.01</v>
      </c>
      <c r="H631" s="6" t="str">
        <f t="shared" si="57"/>
        <v>INSERT INTO public.coupon (plancode, age, "year", couponrate, benefittype, benefitrate, premiumrate) VALUES('EN60', 7, 67, 8, 'A',800, 1.01);</v>
      </c>
      <c r="I631" s="6" t="str">
        <f t="shared" si="58"/>
        <v>{"age":"7", "year":"67", "couponrate":"8", "benefittype":"A", "benefitrate":"800", "premiumrate":"1.01"}</v>
      </c>
      <c r="J631" s="6" t="str">
        <f t="shared" si="59"/>
        <v>,</v>
      </c>
    </row>
    <row r="632" spans="1:10">
      <c r="A632" s="4" t="str">
        <f>'EN60'!A$3</f>
        <v>EN60</v>
      </c>
      <c r="B632" s="4">
        <f t="shared" si="60"/>
        <v>7</v>
      </c>
      <c r="C632" s="4">
        <f t="shared" si="61"/>
        <v>68</v>
      </c>
      <c r="D632" s="4">
        <f t="shared" si="62"/>
        <v>8</v>
      </c>
      <c r="E632" s="4" t="s">
        <v>27</v>
      </c>
      <c r="F632" s="4">
        <f t="shared" si="56"/>
        <v>800</v>
      </c>
      <c r="G632" s="5">
        <f t="shared" si="63"/>
        <v>1.01</v>
      </c>
      <c r="H632" s="6" t="str">
        <f t="shared" si="57"/>
        <v>INSERT INTO public.coupon (plancode, age, "year", couponrate, benefittype, benefitrate, premiumrate) VALUES('EN60', 7, 68, 8, 'A',800, 1.01);</v>
      </c>
      <c r="I632" s="6" t="str">
        <f t="shared" si="58"/>
        <v>{"age":"7", "year":"68", "couponrate":"8", "benefittype":"A", "benefitrate":"800", "premiumrate":"1.01"}</v>
      </c>
      <c r="J632" s="6" t="str">
        <f t="shared" si="59"/>
        <v>,</v>
      </c>
    </row>
    <row r="633" spans="1:10">
      <c r="A633" s="4" t="str">
        <f>'EN60'!A$3</f>
        <v>EN60</v>
      </c>
      <c r="B633" s="4">
        <f t="shared" si="60"/>
        <v>7</v>
      </c>
      <c r="C633" s="4">
        <f t="shared" si="61"/>
        <v>69</v>
      </c>
      <c r="D633" s="4">
        <f t="shared" si="62"/>
        <v>8</v>
      </c>
      <c r="E633" s="4" t="s">
        <v>27</v>
      </c>
      <c r="F633" s="4">
        <f t="shared" si="56"/>
        <v>800</v>
      </c>
      <c r="G633" s="5">
        <f t="shared" si="63"/>
        <v>1.01</v>
      </c>
      <c r="H633" s="6" t="str">
        <f t="shared" si="57"/>
        <v>INSERT INTO public.coupon (plancode, age, "year", couponrate, benefittype, benefitrate, premiumrate) VALUES('EN60', 7, 69, 8, 'A',800, 1.01);</v>
      </c>
      <c r="I633" s="6" t="str">
        <f t="shared" si="58"/>
        <v>{"age":"7", "year":"69", "couponrate":"8", "benefittype":"A", "benefitrate":"800", "premiumrate":"1.01"}</v>
      </c>
      <c r="J633" s="6" t="str">
        <f t="shared" si="59"/>
        <v>,</v>
      </c>
    </row>
    <row r="634" spans="1:10">
      <c r="A634" s="4" t="str">
        <f>'EN60'!A$3</f>
        <v>EN60</v>
      </c>
      <c r="B634" s="4">
        <f t="shared" si="60"/>
        <v>7</v>
      </c>
      <c r="C634" s="4">
        <f t="shared" si="61"/>
        <v>70</v>
      </c>
      <c r="D634" s="4">
        <f t="shared" si="62"/>
        <v>8</v>
      </c>
      <c r="E634" s="4" t="s">
        <v>27</v>
      </c>
      <c r="F634" s="4">
        <f t="shared" si="56"/>
        <v>800</v>
      </c>
      <c r="G634" s="5">
        <f t="shared" si="63"/>
        <v>1.01</v>
      </c>
      <c r="H634" s="6" t="str">
        <f t="shared" si="57"/>
        <v>INSERT INTO public.coupon (plancode, age, "year", couponrate, benefittype, benefitrate, premiumrate) VALUES('EN60', 7, 70, 8, 'A',800, 1.01);</v>
      </c>
      <c r="I634" s="6" t="str">
        <f t="shared" si="58"/>
        <v>{"age":"7", "year":"70", "couponrate":"8", "benefittype":"A", "benefitrate":"800", "premiumrate":"1.01"}</v>
      </c>
      <c r="J634" s="6" t="str">
        <f t="shared" si="59"/>
        <v>,</v>
      </c>
    </row>
    <row r="635" spans="1:10">
      <c r="A635" s="4" t="str">
        <f>'EN60'!A$3</f>
        <v>EN60</v>
      </c>
      <c r="B635" s="4">
        <f t="shared" si="60"/>
        <v>7</v>
      </c>
      <c r="C635" s="4">
        <f t="shared" si="61"/>
        <v>71</v>
      </c>
      <c r="D635" s="4">
        <f t="shared" si="62"/>
        <v>8</v>
      </c>
      <c r="E635" s="4" t="s">
        <v>27</v>
      </c>
      <c r="F635" s="4">
        <f t="shared" si="56"/>
        <v>800</v>
      </c>
      <c r="G635" s="5">
        <f t="shared" si="63"/>
        <v>1.01</v>
      </c>
      <c r="H635" s="6" t="str">
        <f t="shared" si="57"/>
        <v>INSERT INTO public.coupon (plancode, age, "year", couponrate, benefittype, benefitrate, premiumrate) VALUES('EN60', 7, 71, 8, 'A',800, 1.01);</v>
      </c>
      <c r="I635" s="6" t="str">
        <f t="shared" si="58"/>
        <v>{"age":"7", "year":"71", "couponrate":"8", "benefittype":"A", "benefitrate":"800", "premiumrate":"1.01"}</v>
      </c>
      <c r="J635" s="6" t="str">
        <f t="shared" si="59"/>
        <v>,</v>
      </c>
    </row>
    <row r="636" spans="1:10">
      <c r="A636" s="4" t="str">
        <f>'EN60'!A$3</f>
        <v>EN60</v>
      </c>
      <c r="B636" s="4">
        <f t="shared" si="60"/>
        <v>7</v>
      </c>
      <c r="C636" s="4">
        <f t="shared" si="61"/>
        <v>72</v>
      </c>
      <c r="D636" s="4">
        <f t="shared" si="62"/>
        <v>8</v>
      </c>
      <c r="E636" s="4" t="s">
        <v>27</v>
      </c>
      <c r="F636" s="4">
        <f t="shared" si="56"/>
        <v>800</v>
      </c>
      <c r="G636" s="5">
        <f t="shared" si="63"/>
        <v>1.01</v>
      </c>
      <c r="H636" s="6" t="str">
        <f t="shared" si="57"/>
        <v>INSERT INTO public.coupon (plancode, age, "year", couponrate, benefittype, benefitrate, premiumrate) VALUES('EN60', 7, 72, 8, 'A',800, 1.01);</v>
      </c>
      <c r="I636" s="6" t="str">
        <f t="shared" si="58"/>
        <v>{"age":"7", "year":"72", "couponrate":"8", "benefittype":"A", "benefitrate":"800", "premiumrate":"1.01"}</v>
      </c>
      <c r="J636" s="6" t="str">
        <f t="shared" si="59"/>
        <v>,</v>
      </c>
    </row>
    <row r="637" spans="1:10">
      <c r="A637" s="4" t="str">
        <f>'EN60'!A$3</f>
        <v>EN60</v>
      </c>
      <c r="B637" s="4">
        <f t="shared" si="60"/>
        <v>7</v>
      </c>
      <c r="C637" s="4">
        <f t="shared" si="61"/>
        <v>73</v>
      </c>
      <c r="D637" s="4">
        <f t="shared" si="62"/>
        <v>8</v>
      </c>
      <c r="E637" s="4" t="s">
        <v>27</v>
      </c>
      <c r="F637" s="4">
        <f t="shared" si="56"/>
        <v>800</v>
      </c>
      <c r="G637" s="5">
        <f t="shared" si="63"/>
        <v>1.01</v>
      </c>
      <c r="H637" s="6" t="str">
        <f t="shared" si="57"/>
        <v>INSERT INTO public.coupon (plancode, age, "year", couponrate, benefittype, benefitrate, premiumrate) VALUES('EN60', 7, 73, 8, 'A',800, 1.01);</v>
      </c>
      <c r="I637" s="6" t="str">
        <f t="shared" si="58"/>
        <v>{"age":"7", "year":"73", "couponrate":"8", "benefittype":"A", "benefitrate":"800", "premiumrate":"1.01"}</v>
      </c>
    </row>
    <row r="638" spans="1:10">
      <c r="C638" s="6"/>
      <c r="I638" s="6" t="s">
        <v>28</v>
      </c>
    </row>
    <row r="639" spans="1:10">
      <c r="A639" s="3" t="s">
        <v>2</v>
      </c>
      <c r="B639" s="3" t="s">
        <v>23</v>
      </c>
      <c r="C639" s="3" t="s">
        <v>24</v>
      </c>
      <c r="D639" s="3" t="s">
        <v>25</v>
      </c>
      <c r="E639" s="3" t="s">
        <v>8</v>
      </c>
      <c r="F639" s="3" t="s">
        <v>26</v>
      </c>
      <c r="G639" s="3" t="s">
        <v>4</v>
      </c>
      <c r="I639" s="6" t="str">
        <f>"[{""plancode"":"""&amp;A640&amp;""",""returncash"":"""&amp;B$7&amp;""",""ytable"":"""&amp;C$7&amp;""",""maturerate"":"""&amp;B$3&amp;""",""maturepmrate"":"""&amp;C$3&amp;""",""coupon"":["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640" spans="1:10">
      <c r="A640" s="4" t="str">
        <f>'EN60'!A$3</f>
        <v>EN60</v>
      </c>
      <c r="B640" s="8">
        <v>8</v>
      </c>
      <c r="C640" s="4">
        <v>1</v>
      </c>
      <c r="D640" s="4">
        <f>IF(C640+B640=80,0,8)</f>
        <v>8</v>
      </c>
      <c r="E640" s="4" t="s">
        <v>27</v>
      </c>
      <c r="F640" s="4">
        <f t="shared" ref="F640:F711" si="64">IF(C640&gt;7, 800, C640*100)</f>
        <v>100</v>
      </c>
      <c r="G640" s="5">
        <f>'EN60'!C$3</f>
        <v>1.01</v>
      </c>
      <c r="H640" s="6" t="str">
        <f t="shared" ref="H640:H711" si="65">"INSERT INTO public.coupon ("&amp;A$11&amp;", "&amp;B$11&amp;", """&amp;C$11&amp;""", "&amp;D$11&amp;", "&amp;E$11&amp;", "&amp;F$11&amp;", "&amp;G$11&amp;") VALUES('"&amp;A640&amp;"', "&amp;B640&amp;", "&amp;C640&amp;", "&amp;D640&amp;", '"&amp;E640&amp;"',"&amp;F640&amp;", "&amp;G640&amp;");"</f>
        <v>INSERT INTO public.coupon (plancode, age, "year", couponrate, benefittype, benefitrate, premiumrate) VALUES('EN60', 8, 1, 8, 'A',100, 1.01);</v>
      </c>
      <c r="I640" s="6" t="str">
        <f t="shared" ref="I640:I711" si="66">"{""age"":"""&amp;B640&amp;""", ""year"":"""&amp;C640&amp;""", ""couponrate"":"""&amp;D640&amp;""", ""benefittype"":"""&amp;E640&amp;""", ""benefitrate"":"""&amp;F640&amp;""", """&amp;G$11&amp;""":"""&amp;G640&amp;"""}"</f>
        <v>{"age":"8", "year":"1", "couponrate":"8", "benefittype":"A", "benefitrate":"100", "premiumrate":"1.01"}</v>
      </c>
      <c r="J640" s="6" t="str">
        <f t="shared" ref="J640:J710" si="67">IF(OR(I641="]", I640="[", I640="]"), "", ",")</f>
        <v>,</v>
      </c>
    </row>
    <row r="641" spans="1:10">
      <c r="A641" s="4" t="str">
        <f>'EN60'!A$3</f>
        <v>EN60</v>
      </c>
      <c r="B641" s="4">
        <f t="shared" ref="B641:B711" si="68">B640</f>
        <v>8</v>
      </c>
      <c r="C641" s="4">
        <f t="shared" ref="C641:C711" si="69">C640+1</f>
        <v>2</v>
      </c>
      <c r="D641" s="4">
        <f t="shared" ref="D641:D711" si="70">D640</f>
        <v>8</v>
      </c>
      <c r="E641" s="4" t="s">
        <v>27</v>
      </c>
      <c r="F641" s="4">
        <f t="shared" si="64"/>
        <v>200</v>
      </c>
      <c r="G641" s="5">
        <f t="shared" ref="G641:G711" si="71">G640</f>
        <v>1.01</v>
      </c>
      <c r="H641" s="6" t="str">
        <f t="shared" si="65"/>
        <v>INSERT INTO public.coupon (plancode, age, "year", couponrate, benefittype, benefitrate, premiumrate) VALUES('EN60', 8, 2, 8, 'A',200, 1.01);</v>
      </c>
      <c r="I641" s="6" t="str">
        <f t="shared" si="66"/>
        <v>{"age":"8", "year":"2", "couponrate":"8", "benefittype":"A", "benefitrate":"200", "premiumrate":"1.01"}</v>
      </c>
      <c r="J641" s="6" t="str">
        <f t="shared" si="67"/>
        <v>,</v>
      </c>
    </row>
    <row r="642" spans="1:10">
      <c r="A642" s="4" t="str">
        <f>'EN60'!A$3</f>
        <v>EN60</v>
      </c>
      <c r="B642" s="4">
        <f t="shared" si="68"/>
        <v>8</v>
      </c>
      <c r="C642" s="4">
        <f t="shared" si="69"/>
        <v>3</v>
      </c>
      <c r="D642" s="4">
        <f t="shared" si="70"/>
        <v>8</v>
      </c>
      <c r="E642" s="4" t="s">
        <v>27</v>
      </c>
      <c r="F642" s="4">
        <f t="shared" si="64"/>
        <v>300</v>
      </c>
      <c r="G642" s="5">
        <f t="shared" si="71"/>
        <v>1.01</v>
      </c>
      <c r="H642" s="6" t="str">
        <f t="shared" si="65"/>
        <v>INSERT INTO public.coupon (plancode, age, "year", couponrate, benefittype, benefitrate, premiumrate) VALUES('EN60', 8, 3, 8, 'A',300, 1.01);</v>
      </c>
      <c r="I642" s="6" t="str">
        <f t="shared" si="66"/>
        <v>{"age":"8", "year":"3", "couponrate":"8", "benefittype":"A", "benefitrate":"300", "premiumrate":"1.01"}</v>
      </c>
      <c r="J642" s="6" t="str">
        <f t="shared" si="67"/>
        <v>,</v>
      </c>
    </row>
    <row r="643" spans="1:10">
      <c r="A643" s="4" t="str">
        <f>'EN60'!A$3</f>
        <v>EN60</v>
      </c>
      <c r="B643" s="4">
        <f t="shared" si="68"/>
        <v>8</v>
      </c>
      <c r="C643" s="4">
        <f t="shared" si="69"/>
        <v>4</v>
      </c>
      <c r="D643" s="4">
        <f t="shared" si="70"/>
        <v>8</v>
      </c>
      <c r="E643" s="4" t="s">
        <v>27</v>
      </c>
      <c r="F643" s="4">
        <f t="shared" si="64"/>
        <v>400</v>
      </c>
      <c r="G643" s="5">
        <f t="shared" si="71"/>
        <v>1.01</v>
      </c>
      <c r="H643" s="6" t="str">
        <f t="shared" si="65"/>
        <v>INSERT INTO public.coupon (plancode, age, "year", couponrate, benefittype, benefitrate, premiumrate) VALUES('EN60', 8, 4, 8, 'A',400, 1.01);</v>
      </c>
      <c r="I643" s="6" t="str">
        <f t="shared" si="66"/>
        <v>{"age":"8", "year":"4", "couponrate":"8", "benefittype":"A", "benefitrate":"400", "premiumrate":"1.01"}</v>
      </c>
      <c r="J643" s="6" t="str">
        <f t="shared" si="67"/>
        <v>,</v>
      </c>
    </row>
    <row r="644" spans="1:10">
      <c r="A644" s="4" t="str">
        <f>'EN60'!A$3</f>
        <v>EN60</v>
      </c>
      <c r="B644" s="4">
        <f t="shared" si="68"/>
        <v>8</v>
      </c>
      <c r="C644" s="4">
        <f t="shared" si="69"/>
        <v>5</v>
      </c>
      <c r="D644" s="4">
        <f t="shared" si="70"/>
        <v>8</v>
      </c>
      <c r="E644" s="4" t="s">
        <v>27</v>
      </c>
      <c r="F644" s="4">
        <f t="shared" si="64"/>
        <v>500</v>
      </c>
      <c r="G644" s="5">
        <f t="shared" si="71"/>
        <v>1.01</v>
      </c>
      <c r="H644" s="6" t="str">
        <f t="shared" si="65"/>
        <v>INSERT INTO public.coupon (plancode, age, "year", couponrate, benefittype, benefitrate, premiumrate) VALUES('EN60', 8, 5, 8, 'A',500, 1.01);</v>
      </c>
      <c r="I644" s="6" t="str">
        <f t="shared" si="66"/>
        <v>{"age":"8", "year":"5", "couponrate":"8", "benefittype":"A", "benefitrate":"500", "premiumrate":"1.01"}</v>
      </c>
      <c r="J644" s="6" t="str">
        <f t="shared" si="67"/>
        <v>,</v>
      </c>
    </row>
    <row r="645" spans="1:10">
      <c r="A645" s="4" t="str">
        <f>'EN60'!A$3</f>
        <v>EN60</v>
      </c>
      <c r="B645" s="4">
        <f t="shared" si="68"/>
        <v>8</v>
      </c>
      <c r="C645" s="4">
        <f t="shared" si="69"/>
        <v>6</v>
      </c>
      <c r="D645" s="4">
        <f t="shared" si="70"/>
        <v>8</v>
      </c>
      <c r="E645" s="4" t="s">
        <v>27</v>
      </c>
      <c r="F645" s="4">
        <f t="shared" si="64"/>
        <v>600</v>
      </c>
      <c r="G645" s="5">
        <f t="shared" si="71"/>
        <v>1.01</v>
      </c>
      <c r="H645" s="6" t="str">
        <f t="shared" si="65"/>
        <v>INSERT INTO public.coupon (plancode, age, "year", couponrate, benefittype, benefitrate, premiumrate) VALUES('EN60', 8, 6, 8, 'A',600, 1.01);</v>
      </c>
      <c r="I645" s="6" t="str">
        <f t="shared" si="66"/>
        <v>{"age":"8", "year":"6", "couponrate":"8", "benefittype":"A", "benefitrate":"600", "premiumrate":"1.01"}</v>
      </c>
      <c r="J645" s="6" t="str">
        <f t="shared" si="67"/>
        <v>,</v>
      </c>
    </row>
    <row r="646" spans="1:10">
      <c r="A646" s="4" t="str">
        <f>'EN60'!A$3</f>
        <v>EN60</v>
      </c>
      <c r="B646" s="4">
        <f t="shared" si="68"/>
        <v>8</v>
      </c>
      <c r="C646" s="4">
        <f t="shared" si="69"/>
        <v>7</v>
      </c>
      <c r="D646" s="4">
        <f t="shared" si="70"/>
        <v>8</v>
      </c>
      <c r="E646" s="4" t="s">
        <v>27</v>
      </c>
      <c r="F646" s="4">
        <f t="shared" si="64"/>
        <v>700</v>
      </c>
      <c r="G646" s="5">
        <f t="shared" si="71"/>
        <v>1.01</v>
      </c>
      <c r="H646" s="6" t="str">
        <f t="shared" si="65"/>
        <v>INSERT INTO public.coupon (plancode, age, "year", couponrate, benefittype, benefitrate, premiumrate) VALUES('EN60', 8, 7, 8, 'A',700, 1.01);</v>
      </c>
      <c r="I646" s="6" t="str">
        <f t="shared" si="66"/>
        <v>{"age":"8", "year":"7", "couponrate":"8", "benefittype":"A", "benefitrate":"700", "premiumrate":"1.01"}</v>
      </c>
      <c r="J646" s="6" t="str">
        <f t="shared" si="67"/>
        <v>,</v>
      </c>
    </row>
    <row r="647" spans="1:10">
      <c r="A647" s="4" t="str">
        <f>'EN60'!A$3</f>
        <v>EN60</v>
      </c>
      <c r="B647" s="4">
        <f t="shared" si="68"/>
        <v>8</v>
      </c>
      <c r="C647" s="4">
        <f t="shared" si="69"/>
        <v>8</v>
      </c>
      <c r="D647" s="4">
        <f t="shared" si="70"/>
        <v>8</v>
      </c>
      <c r="E647" s="4" t="s">
        <v>27</v>
      </c>
      <c r="F647" s="4">
        <f t="shared" si="64"/>
        <v>800</v>
      </c>
      <c r="G647" s="5">
        <f t="shared" si="71"/>
        <v>1.01</v>
      </c>
      <c r="H647" s="6" t="str">
        <f t="shared" si="65"/>
        <v>INSERT INTO public.coupon (plancode, age, "year", couponrate, benefittype, benefitrate, premiumrate) VALUES('EN60', 8, 8, 8, 'A',800, 1.01);</v>
      </c>
      <c r="I647" s="6" t="str">
        <f t="shared" si="66"/>
        <v>{"age":"8", "year":"8", "couponrate":"8", "benefittype":"A", "benefitrate":"800", "premiumrate":"1.01"}</v>
      </c>
      <c r="J647" s="6" t="str">
        <f t="shared" si="67"/>
        <v>,</v>
      </c>
    </row>
    <row r="648" spans="1:10">
      <c r="A648" s="4" t="str">
        <f>'EN60'!A$3</f>
        <v>EN60</v>
      </c>
      <c r="B648" s="4">
        <f t="shared" si="68"/>
        <v>8</v>
      </c>
      <c r="C648" s="4">
        <f t="shared" si="69"/>
        <v>9</v>
      </c>
      <c r="D648" s="4">
        <f t="shared" si="70"/>
        <v>8</v>
      </c>
      <c r="E648" s="4" t="s">
        <v>27</v>
      </c>
      <c r="F648" s="4">
        <f t="shared" si="64"/>
        <v>800</v>
      </c>
      <c r="G648" s="5">
        <f t="shared" si="71"/>
        <v>1.01</v>
      </c>
      <c r="H648" s="6" t="str">
        <f t="shared" si="65"/>
        <v>INSERT INTO public.coupon (plancode, age, "year", couponrate, benefittype, benefitrate, premiumrate) VALUES('EN60', 8, 9, 8, 'A',800, 1.01);</v>
      </c>
      <c r="I648" s="6" t="str">
        <f t="shared" si="66"/>
        <v>{"age":"8", "year":"9", "couponrate":"8", "benefittype":"A", "benefitrate":"800", "premiumrate":"1.01"}</v>
      </c>
      <c r="J648" s="6" t="str">
        <f t="shared" si="67"/>
        <v>,</v>
      </c>
    </row>
    <row r="649" spans="1:10">
      <c r="A649" s="4" t="str">
        <f>'EN60'!A$3</f>
        <v>EN60</v>
      </c>
      <c r="B649" s="4">
        <f t="shared" si="68"/>
        <v>8</v>
      </c>
      <c r="C649" s="4">
        <f t="shared" si="69"/>
        <v>10</v>
      </c>
      <c r="D649" s="4">
        <f t="shared" si="70"/>
        <v>8</v>
      </c>
      <c r="E649" s="4" t="s">
        <v>27</v>
      </c>
      <c r="F649" s="4">
        <f t="shared" si="64"/>
        <v>800</v>
      </c>
      <c r="G649" s="5">
        <f t="shared" si="71"/>
        <v>1.01</v>
      </c>
      <c r="H649" s="6" t="str">
        <f t="shared" si="65"/>
        <v>INSERT INTO public.coupon (plancode, age, "year", couponrate, benefittype, benefitrate, premiumrate) VALUES('EN60', 8, 10, 8, 'A',800, 1.01);</v>
      </c>
      <c r="I649" s="6" t="str">
        <f t="shared" si="66"/>
        <v>{"age":"8", "year":"10", "couponrate":"8", "benefittype":"A", "benefitrate":"800", "premiumrate":"1.01"}</v>
      </c>
      <c r="J649" s="6" t="str">
        <f t="shared" si="67"/>
        <v>,</v>
      </c>
    </row>
    <row r="650" spans="1:10">
      <c r="A650" s="4" t="str">
        <f>'EN60'!A$3</f>
        <v>EN60</v>
      </c>
      <c r="B650" s="4">
        <f t="shared" si="68"/>
        <v>8</v>
      </c>
      <c r="C650" s="4">
        <f t="shared" si="69"/>
        <v>11</v>
      </c>
      <c r="D650" s="4">
        <f t="shared" si="70"/>
        <v>8</v>
      </c>
      <c r="E650" s="4" t="s">
        <v>27</v>
      </c>
      <c r="F650" s="4">
        <f t="shared" si="64"/>
        <v>800</v>
      </c>
      <c r="G650" s="5">
        <f t="shared" si="71"/>
        <v>1.01</v>
      </c>
      <c r="H650" s="6" t="str">
        <f t="shared" si="65"/>
        <v>INSERT INTO public.coupon (plancode, age, "year", couponrate, benefittype, benefitrate, premiumrate) VALUES('EN60', 8, 11, 8, 'A',800, 1.01);</v>
      </c>
      <c r="I650" s="6" t="str">
        <f t="shared" si="66"/>
        <v>{"age":"8", "year":"11", "couponrate":"8", "benefittype":"A", "benefitrate":"800", "premiumrate":"1.01"}</v>
      </c>
      <c r="J650" s="6" t="str">
        <f t="shared" si="67"/>
        <v>,</v>
      </c>
    </row>
    <row r="651" spans="1:10">
      <c r="A651" s="4" t="str">
        <f>'EN60'!A$3</f>
        <v>EN60</v>
      </c>
      <c r="B651" s="4">
        <f t="shared" si="68"/>
        <v>8</v>
      </c>
      <c r="C651" s="4">
        <f t="shared" si="69"/>
        <v>12</v>
      </c>
      <c r="D651" s="4">
        <f t="shared" si="70"/>
        <v>8</v>
      </c>
      <c r="E651" s="4" t="s">
        <v>27</v>
      </c>
      <c r="F651" s="4">
        <f t="shared" si="64"/>
        <v>800</v>
      </c>
      <c r="G651" s="5">
        <f t="shared" si="71"/>
        <v>1.01</v>
      </c>
      <c r="H651" s="6" t="str">
        <f t="shared" si="65"/>
        <v>INSERT INTO public.coupon (plancode, age, "year", couponrate, benefittype, benefitrate, premiumrate) VALUES('EN60', 8, 12, 8, 'A',800, 1.01);</v>
      </c>
      <c r="I651" s="6" t="str">
        <f t="shared" si="66"/>
        <v>{"age":"8", "year":"12", "couponrate":"8", "benefittype":"A", "benefitrate":"800", "premiumrate":"1.01"}</v>
      </c>
      <c r="J651" s="6" t="str">
        <f t="shared" si="67"/>
        <v>,</v>
      </c>
    </row>
    <row r="652" spans="1:10">
      <c r="A652" s="4" t="str">
        <f>'EN60'!A$3</f>
        <v>EN60</v>
      </c>
      <c r="B652" s="4">
        <f t="shared" si="68"/>
        <v>8</v>
      </c>
      <c r="C652" s="4">
        <f t="shared" si="69"/>
        <v>13</v>
      </c>
      <c r="D652" s="4">
        <f t="shared" si="70"/>
        <v>8</v>
      </c>
      <c r="E652" s="4" t="s">
        <v>27</v>
      </c>
      <c r="F652" s="4">
        <f t="shared" si="64"/>
        <v>800</v>
      </c>
      <c r="G652" s="5">
        <f t="shared" si="71"/>
        <v>1.01</v>
      </c>
      <c r="H652" s="6" t="str">
        <f t="shared" si="65"/>
        <v>INSERT INTO public.coupon (plancode, age, "year", couponrate, benefittype, benefitrate, premiumrate) VALUES('EN60', 8, 13, 8, 'A',800, 1.01);</v>
      </c>
      <c r="I652" s="6" t="str">
        <f t="shared" si="66"/>
        <v>{"age":"8", "year":"13", "couponrate":"8", "benefittype":"A", "benefitrate":"800", "premiumrate":"1.01"}</v>
      </c>
      <c r="J652" s="6" t="str">
        <f t="shared" si="67"/>
        <v>,</v>
      </c>
    </row>
    <row r="653" spans="1:10">
      <c r="A653" s="4" t="str">
        <f>'EN60'!A$3</f>
        <v>EN60</v>
      </c>
      <c r="B653" s="4">
        <f t="shared" si="68"/>
        <v>8</v>
      </c>
      <c r="C653" s="4">
        <f t="shared" si="69"/>
        <v>14</v>
      </c>
      <c r="D653" s="4">
        <f t="shared" si="70"/>
        <v>8</v>
      </c>
      <c r="E653" s="4" t="s">
        <v>27</v>
      </c>
      <c r="F653" s="4">
        <f t="shared" si="64"/>
        <v>800</v>
      </c>
      <c r="G653" s="5">
        <f t="shared" si="71"/>
        <v>1.01</v>
      </c>
      <c r="H653" s="6" t="str">
        <f t="shared" si="65"/>
        <v>INSERT INTO public.coupon (plancode, age, "year", couponrate, benefittype, benefitrate, premiumrate) VALUES('EN60', 8, 14, 8, 'A',800, 1.01);</v>
      </c>
      <c r="I653" s="6" t="str">
        <f t="shared" si="66"/>
        <v>{"age":"8", "year":"14", "couponrate":"8", "benefittype":"A", "benefitrate":"800", "premiumrate":"1.01"}</v>
      </c>
      <c r="J653" s="6" t="str">
        <f t="shared" si="67"/>
        <v>,</v>
      </c>
    </row>
    <row r="654" spans="1:10">
      <c r="A654" s="4" t="str">
        <f>'EN60'!A$3</f>
        <v>EN60</v>
      </c>
      <c r="B654" s="4">
        <f t="shared" si="68"/>
        <v>8</v>
      </c>
      <c r="C654" s="4">
        <f t="shared" si="69"/>
        <v>15</v>
      </c>
      <c r="D654" s="4">
        <f t="shared" si="70"/>
        <v>8</v>
      </c>
      <c r="E654" s="4" t="s">
        <v>27</v>
      </c>
      <c r="F654" s="4">
        <f t="shared" si="64"/>
        <v>800</v>
      </c>
      <c r="G654" s="5">
        <f t="shared" si="71"/>
        <v>1.01</v>
      </c>
      <c r="H654" s="6" t="str">
        <f t="shared" si="65"/>
        <v>INSERT INTO public.coupon (plancode, age, "year", couponrate, benefittype, benefitrate, premiumrate) VALUES('EN60', 8, 15, 8, 'A',800, 1.01);</v>
      </c>
      <c r="I654" s="6" t="str">
        <f t="shared" si="66"/>
        <v>{"age":"8", "year":"15", "couponrate":"8", "benefittype":"A", "benefitrate":"800", "premiumrate":"1.01"}</v>
      </c>
      <c r="J654" s="6" t="str">
        <f t="shared" si="67"/>
        <v>,</v>
      </c>
    </row>
    <row r="655" spans="1:10">
      <c r="A655" s="4" t="str">
        <f>'EN60'!A$3</f>
        <v>EN60</v>
      </c>
      <c r="B655" s="4">
        <f t="shared" si="68"/>
        <v>8</v>
      </c>
      <c r="C655" s="4">
        <f t="shared" si="69"/>
        <v>16</v>
      </c>
      <c r="D655" s="4">
        <f t="shared" si="70"/>
        <v>8</v>
      </c>
      <c r="E655" s="4" t="s">
        <v>27</v>
      </c>
      <c r="F655" s="4">
        <f t="shared" si="64"/>
        <v>800</v>
      </c>
      <c r="G655" s="5">
        <f t="shared" si="71"/>
        <v>1.01</v>
      </c>
      <c r="H655" s="6" t="str">
        <f t="shared" si="65"/>
        <v>INSERT INTO public.coupon (plancode, age, "year", couponrate, benefittype, benefitrate, premiumrate) VALUES('EN60', 8, 16, 8, 'A',800, 1.01);</v>
      </c>
      <c r="I655" s="6" t="str">
        <f t="shared" si="66"/>
        <v>{"age":"8", "year":"16", "couponrate":"8", "benefittype":"A", "benefitrate":"800", "premiumrate":"1.01"}</v>
      </c>
      <c r="J655" s="6" t="str">
        <f t="shared" si="67"/>
        <v>,</v>
      </c>
    </row>
    <row r="656" spans="1:10">
      <c r="A656" s="4" t="str">
        <f>'EN60'!A$3</f>
        <v>EN60</v>
      </c>
      <c r="B656" s="4">
        <f t="shared" si="68"/>
        <v>8</v>
      </c>
      <c r="C656" s="4">
        <f t="shared" si="69"/>
        <v>17</v>
      </c>
      <c r="D656" s="4">
        <f t="shared" si="70"/>
        <v>8</v>
      </c>
      <c r="E656" s="4" t="s">
        <v>27</v>
      </c>
      <c r="F656" s="4">
        <f t="shared" si="64"/>
        <v>800</v>
      </c>
      <c r="G656" s="5">
        <f t="shared" si="71"/>
        <v>1.01</v>
      </c>
      <c r="H656" s="6" t="str">
        <f t="shared" si="65"/>
        <v>INSERT INTO public.coupon (plancode, age, "year", couponrate, benefittype, benefitrate, premiumrate) VALUES('EN60', 8, 17, 8, 'A',800, 1.01);</v>
      </c>
      <c r="I656" s="6" t="str">
        <f t="shared" si="66"/>
        <v>{"age":"8", "year":"17", "couponrate":"8", "benefittype":"A", "benefitrate":"800", "premiumrate":"1.01"}</v>
      </c>
      <c r="J656" s="6" t="str">
        <f t="shared" si="67"/>
        <v>,</v>
      </c>
    </row>
    <row r="657" spans="1:10">
      <c r="A657" s="4" t="str">
        <f>'EN60'!A$3</f>
        <v>EN60</v>
      </c>
      <c r="B657" s="4">
        <f t="shared" si="68"/>
        <v>8</v>
      </c>
      <c r="C657" s="4">
        <f t="shared" si="69"/>
        <v>18</v>
      </c>
      <c r="D657" s="4">
        <f t="shared" si="70"/>
        <v>8</v>
      </c>
      <c r="E657" s="4" t="s">
        <v>27</v>
      </c>
      <c r="F657" s="4">
        <f t="shared" si="64"/>
        <v>800</v>
      </c>
      <c r="G657" s="5">
        <f t="shared" si="71"/>
        <v>1.01</v>
      </c>
      <c r="H657" s="6" t="str">
        <f t="shared" si="65"/>
        <v>INSERT INTO public.coupon (plancode, age, "year", couponrate, benefittype, benefitrate, premiumrate) VALUES('EN60', 8, 18, 8, 'A',800, 1.01);</v>
      </c>
      <c r="I657" s="6" t="str">
        <f t="shared" si="66"/>
        <v>{"age":"8", "year":"18", "couponrate":"8", "benefittype":"A", "benefitrate":"800", "premiumrate":"1.01"}</v>
      </c>
      <c r="J657" s="6" t="str">
        <f t="shared" si="67"/>
        <v>,</v>
      </c>
    </row>
    <row r="658" spans="1:10">
      <c r="A658" s="4" t="str">
        <f>'EN60'!A$3</f>
        <v>EN60</v>
      </c>
      <c r="B658" s="4">
        <f t="shared" si="68"/>
        <v>8</v>
      </c>
      <c r="C658" s="4">
        <f t="shared" si="69"/>
        <v>19</v>
      </c>
      <c r="D658" s="4">
        <f t="shared" si="70"/>
        <v>8</v>
      </c>
      <c r="E658" s="4" t="s">
        <v>27</v>
      </c>
      <c r="F658" s="4">
        <f t="shared" si="64"/>
        <v>800</v>
      </c>
      <c r="G658" s="5">
        <f t="shared" si="71"/>
        <v>1.01</v>
      </c>
      <c r="H658" s="6" t="str">
        <f t="shared" si="65"/>
        <v>INSERT INTO public.coupon (plancode, age, "year", couponrate, benefittype, benefitrate, premiumrate) VALUES('EN60', 8, 19, 8, 'A',800, 1.01);</v>
      </c>
      <c r="I658" s="6" t="str">
        <f t="shared" si="66"/>
        <v>{"age":"8", "year":"19", "couponrate":"8", "benefittype":"A", "benefitrate":"800", "premiumrate":"1.01"}</v>
      </c>
      <c r="J658" s="6" t="str">
        <f t="shared" si="67"/>
        <v>,</v>
      </c>
    </row>
    <row r="659" spans="1:10">
      <c r="A659" s="4" t="str">
        <f>'EN60'!A$3</f>
        <v>EN60</v>
      </c>
      <c r="B659" s="4">
        <f t="shared" si="68"/>
        <v>8</v>
      </c>
      <c r="C659" s="4">
        <f t="shared" si="69"/>
        <v>20</v>
      </c>
      <c r="D659" s="4">
        <f t="shared" si="70"/>
        <v>8</v>
      </c>
      <c r="E659" s="4" t="s">
        <v>27</v>
      </c>
      <c r="F659" s="4">
        <f t="shared" si="64"/>
        <v>800</v>
      </c>
      <c r="G659" s="5">
        <f t="shared" si="71"/>
        <v>1.01</v>
      </c>
      <c r="H659" s="6" t="str">
        <f t="shared" si="65"/>
        <v>INSERT INTO public.coupon (plancode, age, "year", couponrate, benefittype, benefitrate, premiumrate) VALUES('EN60', 8, 20, 8, 'A',800, 1.01);</v>
      </c>
      <c r="I659" s="6" t="str">
        <f t="shared" si="66"/>
        <v>{"age":"8", "year":"20", "couponrate":"8", "benefittype":"A", "benefitrate":"800", "premiumrate":"1.01"}</v>
      </c>
      <c r="J659" s="6" t="str">
        <f t="shared" si="67"/>
        <v>,</v>
      </c>
    </row>
    <row r="660" spans="1:10">
      <c r="A660" s="4" t="str">
        <f>'EN60'!A$3</f>
        <v>EN60</v>
      </c>
      <c r="B660" s="4">
        <f t="shared" si="68"/>
        <v>8</v>
      </c>
      <c r="C660" s="4">
        <f t="shared" si="69"/>
        <v>21</v>
      </c>
      <c r="D660" s="4">
        <f t="shared" si="70"/>
        <v>8</v>
      </c>
      <c r="E660" s="4" t="s">
        <v>27</v>
      </c>
      <c r="F660" s="4">
        <f t="shared" si="64"/>
        <v>800</v>
      </c>
      <c r="G660" s="5">
        <f t="shared" si="71"/>
        <v>1.01</v>
      </c>
      <c r="H660" s="6" t="str">
        <f t="shared" si="65"/>
        <v>INSERT INTO public.coupon (plancode, age, "year", couponrate, benefittype, benefitrate, premiumrate) VALUES('EN60', 8, 21, 8, 'A',800, 1.01);</v>
      </c>
      <c r="I660" s="6" t="str">
        <f t="shared" si="66"/>
        <v>{"age":"8", "year":"21", "couponrate":"8", "benefittype":"A", "benefitrate":"800", "premiumrate":"1.01"}</v>
      </c>
      <c r="J660" s="6" t="str">
        <f t="shared" si="67"/>
        <v>,</v>
      </c>
    </row>
    <row r="661" spans="1:10">
      <c r="A661" s="4" t="str">
        <f>'EN60'!A$3</f>
        <v>EN60</v>
      </c>
      <c r="B661" s="4">
        <f t="shared" si="68"/>
        <v>8</v>
      </c>
      <c r="C661" s="4">
        <f t="shared" si="69"/>
        <v>22</v>
      </c>
      <c r="D661" s="4">
        <f t="shared" si="70"/>
        <v>8</v>
      </c>
      <c r="E661" s="4" t="s">
        <v>27</v>
      </c>
      <c r="F661" s="4">
        <f t="shared" si="64"/>
        <v>800</v>
      </c>
      <c r="G661" s="5">
        <f t="shared" si="71"/>
        <v>1.01</v>
      </c>
      <c r="H661" s="6" t="str">
        <f t="shared" si="65"/>
        <v>INSERT INTO public.coupon (plancode, age, "year", couponrate, benefittype, benefitrate, premiumrate) VALUES('EN60', 8, 22, 8, 'A',800, 1.01);</v>
      </c>
      <c r="I661" s="6" t="str">
        <f t="shared" si="66"/>
        <v>{"age":"8", "year":"22", "couponrate":"8", "benefittype":"A", "benefitrate":"800", "premiumrate":"1.01"}</v>
      </c>
      <c r="J661" s="6" t="str">
        <f t="shared" si="67"/>
        <v>,</v>
      </c>
    </row>
    <row r="662" spans="1:10">
      <c r="A662" s="4" t="str">
        <f>'EN60'!A$3</f>
        <v>EN60</v>
      </c>
      <c r="B662" s="4">
        <f t="shared" si="68"/>
        <v>8</v>
      </c>
      <c r="C662" s="4">
        <f t="shared" si="69"/>
        <v>23</v>
      </c>
      <c r="D662" s="4">
        <f t="shared" si="70"/>
        <v>8</v>
      </c>
      <c r="E662" s="4" t="s">
        <v>27</v>
      </c>
      <c r="F662" s="4">
        <f t="shared" si="64"/>
        <v>800</v>
      </c>
      <c r="G662" s="5">
        <f t="shared" si="71"/>
        <v>1.01</v>
      </c>
      <c r="H662" s="6" t="str">
        <f t="shared" si="65"/>
        <v>INSERT INTO public.coupon (plancode, age, "year", couponrate, benefittype, benefitrate, premiumrate) VALUES('EN60', 8, 23, 8, 'A',800, 1.01);</v>
      </c>
      <c r="I662" s="6" t="str">
        <f t="shared" si="66"/>
        <v>{"age":"8", "year":"23", "couponrate":"8", "benefittype":"A", "benefitrate":"800", "premiumrate":"1.01"}</v>
      </c>
      <c r="J662" s="6" t="str">
        <f t="shared" si="67"/>
        <v>,</v>
      </c>
    </row>
    <row r="663" spans="1:10">
      <c r="A663" s="4" t="str">
        <f>'EN60'!A$3</f>
        <v>EN60</v>
      </c>
      <c r="B663" s="4">
        <f t="shared" si="68"/>
        <v>8</v>
      </c>
      <c r="C663" s="4">
        <f t="shared" si="69"/>
        <v>24</v>
      </c>
      <c r="D663" s="4">
        <f t="shared" si="70"/>
        <v>8</v>
      </c>
      <c r="E663" s="4" t="s">
        <v>27</v>
      </c>
      <c r="F663" s="4">
        <f t="shared" si="64"/>
        <v>800</v>
      </c>
      <c r="G663" s="5">
        <f t="shared" si="71"/>
        <v>1.01</v>
      </c>
      <c r="H663" s="6" t="str">
        <f t="shared" si="65"/>
        <v>INSERT INTO public.coupon (plancode, age, "year", couponrate, benefittype, benefitrate, premiumrate) VALUES('EN60', 8, 24, 8, 'A',800, 1.01);</v>
      </c>
      <c r="I663" s="6" t="str">
        <f t="shared" si="66"/>
        <v>{"age":"8", "year":"24", "couponrate":"8", "benefittype":"A", "benefitrate":"800", "premiumrate":"1.01"}</v>
      </c>
      <c r="J663" s="6" t="str">
        <f t="shared" si="67"/>
        <v>,</v>
      </c>
    </row>
    <row r="664" spans="1:10">
      <c r="A664" s="4" t="str">
        <f>'EN60'!A$3</f>
        <v>EN60</v>
      </c>
      <c r="B664" s="4">
        <f t="shared" si="68"/>
        <v>8</v>
      </c>
      <c r="C664" s="4">
        <f t="shared" si="69"/>
        <v>25</v>
      </c>
      <c r="D664" s="4">
        <f t="shared" si="70"/>
        <v>8</v>
      </c>
      <c r="E664" s="4" t="s">
        <v>27</v>
      </c>
      <c r="F664" s="4">
        <f t="shared" si="64"/>
        <v>800</v>
      </c>
      <c r="G664" s="5">
        <f t="shared" si="71"/>
        <v>1.01</v>
      </c>
      <c r="H664" s="6" t="str">
        <f t="shared" si="65"/>
        <v>INSERT INTO public.coupon (plancode, age, "year", couponrate, benefittype, benefitrate, premiumrate) VALUES('EN60', 8, 25, 8, 'A',800, 1.01);</v>
      </c>
      <c r="I664" s="6" t="str">
        <f t="shared" si="66"/>
        <v>{"age":"8", "year":"25", "couponrate":"8", "benefittype":"A", "benefitrate":"800", "premiumrate":"1.01"}</v>
      </c>
      <c r="J664" s="6" t="str">
        <f t="shared" si="67"/>
        <v>,</v>
      </c>
    </row>
    <row r="665" spans="1:10">
      <c r="A665" s="4" t="str">
        <f>'EN60'!A$3</f>
        <v>EN60</v>
      </c>
      <c r="B665" s="4">
        <f t="shared" si="68"/>
        <v>8</v>
      </c>
      <c r="C665" s="4">
        <f t="shared" si="69"/>
        <v>26</v>
      </c>
      <c r="D665" s="4">
        <f t="shared" si="70"/>
        <v>8</v>
      </c>
      <c r="E665" s="4" t="s">
        <v>27</v>
      </c>
      <c r="F665" s="4">
        <f t="shared" si="64"/>
        <v>800</v>
      </c>
      <c r="G665" s="5">
        <f t="shared" si="71"/>
        <v>1.01</v>
      </c>
      <c r="H665" s="6" t="str">
        <f t="shared" si="65"/>
        <v>INSERT INTO public.coupon (plancode, age, "year", couponrate, benefittype, benefitrate, premiumrate) VALUES('EN60', 8, 26, 8, 'A',800, 1.01);</v>
      </c>
      <c r="I665" s="6" t="str">
        <f t="shared" si="66"/>
        <v>{"age":"8", "year":"26", "couponrate":"8", "benefittype":"A", "benefitrate":"800", "premiumrate":"1.01"}</v>
      </c>
      <c r="J665" s="6" t="str">
        <f t="shared" si="67"/>
        <v>,</v>
      </c>
    </row>
    <row r="666" spans="1:10">
      <c r="A666" s="4" t="str">
        <f>'EN60'!A$3</f>
        <v>EN60</v>
      </c>
      <c r="B666" s="4">
        <f t="shared" si="68"/>
        <v>8</v>
      </c>
      <c r="C666" s="4">
        <f t="shared" si="69"/>
        <v>27</v>
      </c>
      <c r="D666" s="4">
        <f t="shared" si="70"/>
        <v>8</v>
      </c>
      <c r="E666" s="4" t="s">
        <v>27</v>
      </c>
      <c r="F666" s="4">
        <f t="shared" si="64"/>
        <v>800</v>
      </c>
      <c r="G666" s="5">
        <f t="shared" si="71"/>
        <v>1.01</v>
      </c>
      <c r="H666" s="6" t="str">
        <f t="shared" si="65"/>
        <v>INSERT INTO public.coupon (plancode, age, "year", couponrate, benefittype, benefitrate, premiumrate) VALUES('EN60', 8, 27, 8, 'A',800, 1.01);</v>
      </c>
      <c r="I666" s="6" t="str">
        <f t="shared" si="66"/>
        <v>{"age":"8", "year":"27", "couponrate":"8", "benefittype":"A", "benefitrate":"800", "premiumrate":"1.01"}</v>
      </c>
      <c r="J666" s="6" t="str">
        <f t="shared" si="67"/>
        <v>,</v>
      </c>
    </row>
    <row r="667" spans="1:10">
      <c r="A667" s="4" t="str">
        <f>'EN60'!A$3</f>
        <v>EN60</v>
      </c>
      <c r="B667" s="4">
        <f t="shared" si="68"/>
        <v>8</v>
      </c>
      <c r="C667" s="4">
        <f t="shared" si="69"/>
        <v>28</v>
      </c>
      <c r="D667" s="4">
        <f t="shared" si="70"/>
        <v>8</v>
      </c>
      <c r="E667" s="4" t="s">
        <v>27</v>
      </c>
      <c r="F667" s="4">
        <f t="shared" si="64"/>
        <v>800</v>
      </c>
      <c r="G667" s="5">
        <f t="shared" si="71"/>
        <v>1.01</v>
      </c>
      <c r="H667" s="6" t="str">
        <f t="shared" si="65"/>
        <v>INSERT INTO public.coupon (plancode, age, "year", couponrate, benefittype, benefitrate, premiumrate) VALUES('EN60', 8, 28, 8, 'A',800, 1.01);</v>
      </c>
      <c r="I667" s="6" t="str">
        <f t="shared" si="66"/>
        <v>{"age":"8", "year":"28", "couponrate":"8", "benefittype":"A", "benefitrate":"800", "premiumrate":"1.01"}</v>
      </c>
      <c r="J667" s="6" t="str">
        <f t="shared" si="67"/>
        <v>,</v>
      </c>
    </row>
    <row r="668" spans="1:10">
      <c r="A668" s="4" t="str">
        <f>'EN60'!A$3</f>
        <v>EN60</v>
      </c>
      <c r="B668" s="4">
        <f t="shared" si="68"/>
        <v>8</v>
      </c>
      <c r="C668" s="4">
        <f t="shared" si="69"/>
        <v>29</v>
      </c>
      <c r="D668" s="4">
        <f t="shared" si="70"/>
        <v>8</v>
      </c>
      <c r="E668" s="4" t="s">
        <v>27</v>
      </c>
      <c r="F668" s="4">
        <f t="shared" si="64"/>
        <v>800</v>
      </c>
      <c r="G668" s="5">
        <f t="shared" si="71"/>
        <v>1.01</v>
      </c>
      <c r="H668" s="6" t="str">
        <f t="shared" si="65"/>
        <v>INSERT INTO public.coupon (plancode, age, "year", couponrate, benefittype, benefitrate, premiumrate) VALUES('EN60', 8, 29, 8, 'A',800, 1.01);</v>
      </c>
      <c r="I668" s="6" t="str">
        <f t="shared" si="66"/>
        <v>{"age":"8", "year":"29", "couponrate":"8", "benefittype":"A", "benefitrate":"800", "premiumrate":"1.01"}</v>
      </c>
      <c r="J668" s="6" t="str">
        <f t="shared" si="67"/>
        <v>,</v>
      </c>
    </row>
    <row r="669" spans="1:10">
      <c r="A669" s="4" t="str">
        <f>'EN60'!A$3</f>
        <v>EN60</v>
      </c>
      <c r="B669" s="4">
        <f t="shared" si="68"/>
        <v>8</v>
      </c>
      <c r="C669" s="4">
        <f t="shared" si="69"/>
        <v>30</v>
      </c>
      <c r="D669" s="4">
        <f t="shared" si="70"/>
        <v>8</v>
      </c>
      <c r="E669" s="4" t="s">
        <v>27</v>
      </c>
      <c r="F669" s="4">
        <f t="shared" si="64"/>
        <v>800</v>
      </c>
      <c r="G669" s="5">
        <f t="shared" si="71"/>
        <v>1.01</v>
      </c>
      <c r="H669" s="6" t="str">
        <f t="shared" si="65"/>
        <v>INSERT INTO public.coupon (plancode, age, "year", couponrate, benefittype, benefitrate, premiumrate) VALUES('EN60', 8, 30, 8, 'A',800, 1.01);</v>
      </c>
      <c r="I669" s="6" t="str">
        <f t="shared" si="66"/>
        <v>{"age":"8", "year":"30", "couponrate":"8", "benefittype":"A", "benefitrate":"800", "premiumrate":"1.01"}</v>
      </c>
      <c r="J669" s="6" t="str">
        <f t="shared" si="67"/>
        <v>,</v>
      </c>
    </row>
    <row r="670" spans="1:10">
      <c r="A670" s="4" t="str">
        <f>'EN60'!A$3</f>
        <v>EN60</v>
      </c>
      <c r="B670" s="4">
        <f t="shared" si="68"/>
        <v>8</v>
      </c>
      <c r="C670" s="4">
        <f t="shared" si="69"/>
        <v>31</v>
      </c>
      <c r="D670" s="4">
        <f t="shared" si="70"/>
        <v>8</v>
      </c>
      <c r="E670" s="4" t="s">
        <v>27</v>
      </c>
      <c r="F670" s="4">
        <f t="shared" si="64"/>
        <v>800</v>
      </c>
      <c r="G670" s="5">
        <f t="shared" si="71"/>
        <v>1.01</v>
      </c>
      <c r="H670" s="6" t="str">
        <f t="shared" si="65"/>
        <v>INSERT INTO public.coupon (plancode, age, "year", couponrate, benefittype, benefitrate, premiumrate) VALUES('EN60', 8, 31, 8, 'A',800, 1.01);</v>
      </c>
      <c r="I670" s="6" t="str">
        <f t="shared" si="66"/>
        <v>{"age":"8", "year":"31", "couponrate":"8", "benefittype":"A", "benefitrate":"800", "premiumrate":"1.01"}</v>
      </c>
      <c r="J670" s="6" t="str">
        <f t="shared" si="67"/>
        <v>,</v>
      </c>
    </row>
    <row r="671" spans="1:10">
      <c r="A671" s="4" t="str">
        <f>'EN60'!A$3</f>
        <v>EN60</v>
      </c>
      <c r="B671" s="4">
        <f t="shared" si="68"/>
        <v>8</v>
      </c>
      <c r="C671" s="4">
        <f t="shared" si="69"/>
        <v>32</v>
      </c>
      <c r="D671" s="4">
        <f t="shared" si="70"/>
        <v>8</v>
      </c>
      <c r="E671" s="4" t="s">
        <v>27</v>
      </c>
      <c r="F671" s="4">
        <f t="shared" si="64"/>
        <v>800</v>
      </c>
      <c r="G671" s="5">
        <f t="shared" si="71"/>
        <v>1.01</v>
      </c>
      <c r="H671" s="6" t="str">
        <f t="shared" si="65"/>
        <v>INSERT INTO public.coupon (plancode, age, "year", couponrate, benefittype, benefitrate, premiumrate) VALUES('EN60', 8, 32, 8, 'A',800, 1.01);</v>
      </c>
      <c r="I671" s="6" t="str">
        <f t="shared" si="66"/>
        <v>{"age":"8", "year":"32", "couponrate":"8", "benefittype":"A", "benefitrate":"800", "premiumrate":"1.01"}</v>
      </c>
      <c r="J671" s="6" t="str">
        <f t="shared" si="67"/>
        <v>,</v>
      </c>
    </row>
    <row r="672" spans="1:10">
      <c r="A672" s="4" t="str">
        <f>'EN60'!A$3</f>
        <v>EN60</v>
      </c>
      <c r="B672" s="4">
        <f t="shared" si="68"/>
        <v>8</v>
      </c>
      <c r="C672" s="4">
        <f t="shared" si="69"/>
        <v>33</v>
      </c>
      <c r="D672" s="4">
        <f t="shared" si="70"/>
        <v>8</v>
      </c>
      <c r="E672" s="4" t="s">
        <v>27</v>
      </c>
      <c r="F672" s="4">
        <f t="shared" si="64"/>
        <v>800</v>
      </c>
      <c r="G672" s="5">
        <f t="shared" si="71"/>
        <v>1.01</v>
      </c>
      <c r="H672" s="6" t="str">
        <f t="shared" si="65"/>
        <v>INSERT INTO public.coupon (plancode, age, "year", couponrate, benefittype, benefitrate, premiumrate) VALUES('EN60', 8, 33, 8, 'A',800, 1.01);</v>
      </c>
      <c r="I672" s="6" t="str">
        <f t="shared" si="66"/>
        <v>{"age":"8", "year":"33", "couponrate":"8", "benefittype":"A", "benefitrate":"800", "premiumrate":"1.01"}</v>
      </c>
      <c r="J672" s="6" t="str">
        <f t="shared" si="67"/>
        <v>,</v>
      </c>
    </row>
    <row r="673" spans="1:10">
      <c r="A673" s="4" t="str">
        <f>'EN60'!A$3</f>
        <v>EN60</v>
      </c>
      <c r="B673" s="4">
        <f t="shared" si="68"/>
        <v>8</v>
      </c>
      <c r="C673" s="4">
        <f t="shared" si="69"/>
        <v>34</v>
      </c>
      <c r="D673" s="4">
        <f t="shared" si="70"/>
        <v>8</v>
      </c>
      <c r="E673" s="4" t="s">
        <v>27</v>
      </c>
      <c r="F673" s="4">
        <f t="shared" si="64"/>
        <v>800</v>
      </c>
      <c r="G673" s="5">
        <f t="shared" si="71"/>
        <v>1.01</v>
      </c>
      <c r="H673" s="6" t="str">
        <f t="shared" si="65"/>
        <v>INSERT INTO public.coupon (plancode, age, "year", couponrate, benefittype, benefitrate, premiumrate) VALUES('EN60', 8, 34, 8, 'A',800, 1.01);</v>
      </c>
      <c r="I673" s="6" t="str">
        <f t="shared" si="66"/>
        <v>{"age":"8", "year":"34", "couponrate":"8", "benefittype":"A", "benefitrate":"800", "premiumrate":"1.01"}</v>
      </c>
      <c r="J673" s="6" t="str">
        <f t="shared" si="67"/>
        <v>,</v>
      </c>
    </row>
    <row r="674" spans="1:10">
      <c r="A674" s="4" t="str">
        <f>'EN60'!A$3</f>
        <v>EN60</v>
      </c>
      <c r="B674" s="4">
        <f t="shared" si="68"/>
        <v>8</v>
      </c>
      <c r="C674" s="4">
        <f t="shared" si="69"/>
        <v>35</v>
      </c>
      <c r="D674" s="4">
        <f t="shared" si="70"/>
        <v>8</v>
      </c>
      <c r="E674" s="4" t="s">
        <v>27</v>
      </c>
      <c r="F674" s="4">
        <f t="shared" si="64"/>
        <v>800</v>
      </c>
      <c r="G674" s="5">
        <f t="shared" si="71"/>
        <v>1.01</v>
      </c>
      <c r="H674" s="6" t="str">
        <f t="shared" si="65"/>
        <v>INSERT INTO public.coupon (plancode, age, "year", couponrate, benefittype, benefitrate, premiumrate) VALUES('EN60', 8, 35, 8, 'A',800, 1.01);</v>
      </c>
      <c r="I674" s="6" t="str">
        <f t="shared" si="66"/>
        <v>{"age":"8", "year":"35", "couponrate":"8", "benefittype":"A", "benefitrate":"800", "premiumrate":"1.01"}</v>
      </c>
      <c r="J674" s="6" t="str">
        <f t="shared" si="67"/>
        <v>,</v>
      </c>
    </row>
    <row r="675" spans="1:10">
      <c r="A675" s="4" t="str">
        <f>'EN60'!A$3</f>
        <v>EN60</v>
      </c>
      <c r="B675" s="4">
        <f t="shared" si="68"/>
        <v>8</v>
      </c>
      <c r="C675" s="4">
        <f t="shared" si="69"/>
        <v>36</v>
      </c>
      <c r="D675" s="4">
        <f t="shared" si="70"/>
        <v>8</v>
      </c>
      <c r="E675" s="4" t="s">
        <v>27</v>
      </c>
      <c r="F675" s="4">
        <f t="shared" si="64"/>
        <v>800</v>
      </c>
      <c r="G675" s="5">
        <f t="shared" si="71"/>
        <v>1.01</v>
      </c>
      <c r="H675" s="6" t="str">
        <f t="shared" si="65"/>
        <v>INSERT INTO public.coupon (plancode, age, "year", couponrate, benefittype, benefitrate, premiumrate) VALUES('EN60', 8, 36, 8, 'A',800, 1.01);</v>
      </c>
      <c r="I675" s="6" t="str">
        <f t="shared" si="66"/>
        <v>{"age":"8", "year":"36", "couponrate":"8", "benefittype":"A", "benefitrate":"800", "premiumrate":"1.01"}</v>
      </c>
      <c r="J675" s="6" t="str">
        <f t="shared" si="67"/>
        <v>,</v>
      </c>
    </row>
    <row r="676" spans="1:10">
      <c r="A676" s="4" t="str">
        <f>'EN60'!A$3</f>
        <v>EN60</v>
      </c>
      <c r="B676" s="4">
        <f t="shared" si="68"/>
        <v>8</v>
      </c>
      <c r="C676" s="4">
        <f t="shared" si="69"/>
        <v>37</v>
      </c>
      <c r="D676" s="4">
        <f t="shared" si="70"/>
        <v>8</v>
      </c>
      <c r="E676" s="4" t="s">
        <v>27</v>
      </c>
      <c r="F676" s="4">
        <f t="shared" si="64"/>
        <v>800</v>
      </c>
      <c r="G676" s="5">
        <f t="shared" si="71"/>
        <v>1.01</v>
      </c>
      <c r="H676" s="6" t="str">
        <f t="shared" si="65"/>
        <v>INSERT INTO public.coupon (plancode, age, "year", couponrate, benefittype, benefitrate, premiumrate) VALUES('EN60', 8, 37, 8, 'A',800, 1.01);</v>
      </c>
      <c r="I676" s="6" t="str">
        <f t="shared" si="66"/>
        <v>{"age":"8", "year":"37", "couponrate":"8", "benefittype":"A", "benefitrate":"800", "premiumrate":"1.01"}</v>
      </c>
      <c r="J676" s="6" t="str">
        <f t="shared" si="67"/>
        <v>,</v>
      </c>
    </row>
    <row r="677" spans="1:10">
      <c r="A677" s="4" t="str">
        <f>'EN60'!A$3</f>
        <v>EN60</v>
      </c>
      <c r="B677" s="4">
        <f t="shared" si="68"/>
        <v>8</v>
      </c>
      <c r="C677" s="4">
        <f t="shared" si="69"/>
        <v>38</v>
      </c>
      <c r="D677" s="4">
        <f t="shared" si="70"/>
        <v>8</v>
      </c>
      <c r="E677" s="4" t="s">
        <v>27</v>
      </c>
      <c r="F677" s="4">
        <f t="shared" si="64"/>
        <v>800</v>
      </c>
      <c r="G677" s="5">
        <f t="shared" si="71"/>
        <v>1.01</v>
      </c>
      <c r="H677" s="6" t="str">
        <f t="shared" si="65"/>
        <v>INSERT INTO public.coupon (plancode, age, "year", couponrate, benefittype, benefitrate, premiumrate) VALUES('EN60', 8, 38, 8, 'A',800, 1.01);</v>
      </c>
      <c r="I677" s="6" t="str">
        <f t="shared" si="66"/>
        <v>{"age":"8", "year":"38", "couponrate":"8", "benefittype":"A", "benefitrate":"800", "premiumrate":"1.01"}</v>
      </c>
      <c r="J677" s="6" t="str">
        <f t="shared" si="67"/>
        <v>,</v>
      </c>
    </row>
    <row r="678" spans="1:10">
      <c r="A678" s="4" t="str">
        <f>'EN60'!A$3</f>
        <v>EN60</v>
      </c>
      <c r="B678" s="4">
        <f t="shared" si="68"/>
        <v>8</v>
      </c>
      <c r="C678" s="4">
        <f t="shared" si="69"/>
        <v>39</v>
      </c>
      <c r="D678" s="4">
        <f t="shared" si="70"/>
        <v>8</v>
      </c>
      <c r="E678" s="4" t="s">
        <v>27</v>
      </c>
      <c r="F678" s="4">
        <f t="shared" si="64"/>
        <v>800</v>
      </c>
      <c r="G678" s="5">
        <f t="shared" si="71"/>
        <v>1.01</v>
      </c>
      <c r="H678" s="6" t="str">
        <f t="shared" si="65"/>
        <v>INSERT INTO public.coupon (plancode, age, "year", couponrate, benefittype, benefitrate, premiumrate) VALUES('EN60', 8, 39, 8, 'A',800, 1.01);</v>
      </c>
      <c r="I678" s="6" t="str">
        <f t="shared" si="66"/>
        <v>{"age":"8", "year":"39", "couponrate":"8", "benefittype":"A", "benefitrate":"800", "premiumrate":"1.01"}</v>
      </c>
      <c r="J678" s="6" t="str">
        <f t="shared" si="67"/>
        <v>,</v>
      </c>
    </row>
    <row r="679" spans="1:10">
      <c r="A679" s="4" t="str">
        <f>'EN60'!A$3</f>
        <v>EN60</v>
      </c>
      <c r="B679" s="4">
        <f t="shared" si="68"/>
        <v>8</v>
      </c>
      <c r="C679" s="4">
        <f t="shared" si="69"/>
        <v>40</v>
      </c>
      <c r="D679" s="4">
        <f t="shared" si="70"/>
        <v>8</v>
      </c>
      <c r="E679" s="4" t="s">
        <v>27</v>
      </c>
      <c r="F679" s="4">
        <f t="shared" si="64"/>
        <v>800</v>
      </c>
      <c r="G679" s="5">
        <f t="shared" si="71"/>
        <v>1.01</v>
      </c>
      <c r="H679" s="6" t="str">
        <f t="shared" si="65"/>
        <v>INSERT INTO public.coupon (plancode, age, "year", couponrate, benefittype, benefitrate, premiumrate) VALUES('EN60', 8, 40, 8, 'A',800, 1.01);</v>
      </c>
      <c r="I679" s="6" t="str">
        <f t="shared" si="66"/>
        <v>{"age":"8", "year":"40", "couponrate":"8", "benefittype":"A", "benefitrate":"800", "premiumrate":"1.01"}</v>
      </c>
      <c r="J679" s="6" t="str">
        <f t="shared" si="67"/>
        <v>,</v>
      </c>
    </row>
    <row r="680" spans="1:10">
      <c r="A680" s="4" t="str">
        <f>'EN60'!A$3</f>
        <v>EN60</v>
      </c>
      <c r="B680" s="4">
        <f t="shared" si="68"/>
        <v>8</v>
      </c>
      <c r="C680" s="4">
        <f t="shared" si="69"/>
        <v>41</v>
      </c>
      <c r="D680" s="4">
        <f t="shared" si="70"/>
        <v>8</v>
      </c>
      <c r="E680" s="4" t="s">
        <v>27</v>
      </c>
      <c r="F680" s="4">
        <f t="shared" si="64"/>
        <v>800</v>
      </c>
      <c r="G680" s="5">
        <f t="shared" si="71"/>
        <v>1.01</v>
      </c>
      <c r="H680" s="6" t="str">
        <f t="shared" si="65"/>
        <v>INSERT INTO public.coupon (plancode, age, "year", couponrate, benefittype, benefitrate, premiumrate) VALUES('EN60', 8, 41, 8, 'A',800, 1.01);</v>
      </c>
      <c r="I680" s="6" t="str">
        <f t="shared" si="66"/>
        <v>{"age":"8", "year":"41", "couponrate":"8", "benefittype":"A", "benefitrate":"800", "premiumrate":"1.01"}</v>
      </c>
      <c r="J680" s="6" t="str">
        <f t="shared" si="67"/>
        <v>,</v>
      </c>
    </row>
    <row r="681" spans="1:10">
      <c r="A681" s="4" t="str">
        <f>'EN60'!A$3</f>
        <v>EN60</v>
      </c>
      <c r="B681" s="4">
        <f t="shared" si="68"/>
        <v>8</v>
      </c>
      <c r="C681" s="4">
        <f t="shared" si="69"/>
        <v>42</v>
      </c>
      <c r="D681" s="4">
        <f t="shared" si="70"/>
        <v>8</v>
      </c>
      <c r="E681" s="4" t="s">
        <v>27</v>
      </c>
      <c r="F681" s="4">
        <f t="shared" si="64"/>
        <v>800</v>
      </c>
      <c r="G681" s="5">
        <f t="shared" si="71"/>
        <v>1.01</v>
      </c>
      <c r="H681" s="6" t="str">
        <f t="shared" si="65"/>
        <v>INSERT INTO public.coupon (plancode, age, "year", couponrate, benefittype, benefitrate, premiumrate) VALUES('EN60', 8, 42, 8, 'A',800, 1.01);</v>
      </c>
      <c r="I681" s="6" t="str">
        <f t="shared" si="66"/>
        <v>{"age":"8", "year":"42", "couponrate":"8", "benefittype":"A", "benefitrate":"800", "premiumrate":"1.01"}</v>
      </c>
      <c r="J681" s="6" t="str">
        <f t="shared" si="67"/>
        <v>,</v>
      </c>
    </row>
    <row r="682" spans="1:10">
      <c r="A682" s="4" t="str">
        <f>'EN60'!A$3</f>
        <v>EN60</v>
      </c>
      <c r="B682" s="4">
        <f t="shared" si="68"/>
        <v>8</v>
      </c>
      <c r="C682" s="4">
        <f t="shared" si="69"/>
        <v>43</v>
      </c>
      <c r="D682" s="4">
        <f t="shared" si="70"/>
        <v>8</v>
      </c>
      <c r="E682" s="4" t="s">
        <v>27</v>
      </c>
      <c r="F682" s="4">
        <f t="shared" si="64"/>
        <v>800</v>
      </c>
      <c r="G682" s="5">
        <f t="shared" si="71"/>
        <v>1.01</v>
      </c>
      <c r="H682" s="6" t="str">
        <f t="shared" si="65"/>
        <v>INSERT INTO public.coupon (plancode, age, "year", couponrate, benefittype, benefitrate, premiumrate) VALUES('EN60', 8, 43, 8, 'A',800, 1.01);</v>
      </c>
      <c r="I682" s="6" t="str">
        <f t="shared" si="66"/>
        <v>{"age":"8", "year":"43", "couponrate":"8", "benefittype":"A", "benefitrate":"800", "premiumrate":"1.01"}</v>
      </c>
      <c r="J682" s="6" t="str">
        <f t="shared" si="67"/>
        <v>,</v>
      </c>
    </row>
    <row r="683" spans="1:10">
      <c r="A683" s="4" t="str">
        <f>'EN60'!A$3</f>
        <v>EN60</v>
      </c>
      <c r="B683" s="4">
        <f t="shared" si="68"/>
        <v>8</v>
      </c>
      <c r="C683" s="4">
        <f t="shared" si="69"/>
        <v>44</v>
      </c>
      <c r="D683" s="4">
        <f t="shared" si="70"/>
        <v>8</v>
      </c>
      <c r="E683" s="4" t="s">
        <v>27</v>
      </c>
      <c r="F683" s="4">
        <f t="shared" si="64"/>
        <v>800</v>
      </c>
      <c r="G683" s="5">
        <f t="shared" si="71"/>
        <v>1.01</v>
      </c>
      <c r="H683" s="6" t="str">
        <f t="shared" si="65"/>
        <v>INSERT INTO public.coupon (plancode, age, "year", couponrate, benefittype, benefitrate, premiumrate) VALUES('EN60', 8, 44, 8, 'A',800, 1.01);</v>
      </c>
      <c r="I683" s="6" t="str">
        <f t="shared" si="66"/>
        <v>{"age":"8", "year":"44", "couponrate":"8", "benefittype":"A", "benefitrate":"800", "premiumrate":"1.01"}</v>
      </c>
      <c r="J683" s="6" t="str">
        <f t="shared" si="67"/>
        <v>,</v>
      </c>
    </row>
    <row r="684" spans="1:10">
      <c r="A684" s="4" t="str">
        <f>'EN60'!A$3</f>
        <v>EN60</v>
      </c>
      <c r="B684" s="4">
        <f t="shared" si="68"/>
        <v>8</v>
      </c>
      <c r="C684" s="4">
        <f t="shared" si="69"/>
        <v>45</v>
      </c>
      <c r="D684" s="4">
        <f t="shared" si="70"/>
        <v>8</v>
      </c>
      <c r="E684" s="4" t="s">
        <v>27</v>
      </c>
      <c r="F684" s="4">
        <f t="shared" si="64"/>
        <v>800</v>
      </c>
      <c r="G684" s="5">
        <f t="shared" si="71"/>
        <v>1.01</v>
      </c>
      <c r="H684" s="6" t="str">
        <f t="shared" si="65"/>
        <v>INSERT INTO public.coupon (plancode, age, "year", couponrate, benefittype, benefitrate, premiumrate) VALUES('EN60', 8, 45, 8, 'A',800, 1.01);</v>
      </c>
      <c r="I684" s="6" t="str">
        <f t="shared" si="66"/>
        <v>{"age":"8", "year":"45", "couponrate":"8", "benefittype":"A", "benefitrate":"800", "premiumrate":"1.01"}</v>
      </c>
      <c r="J684" s="6" t="str">
        <f t="shared" si="67"/>
        <v>,</v>
      </c>
    </row>
    <row r="685" spans="1:10">
      <c r="A685" s="4" t="str">
        <f>'EN60'!A$3</f>
        <v>EN60</v>
      </c>
      <c r="B685" s="4">
        <f t="shared" si="68"/>
        <v>8</v>
      </c>
      <c r="C685" s="4">
        <f t="shared" si="69"/>
        <v>46</v>
      </c>
      <c r="D685" s="4">
        <f t="shared" si="70"/>
        <v>8</v>
      </c>
      <c r="E685" s="4" t="s">
        <v>27</v>
      </c>
      <c r="F685" s="4">
        <f t="shared" si="64"/>
        <v>800</v>
      </c>
      <c r="G685" s="5">
        <f t="shared" si="71"/>
        <v>1.01</v>
      </c>
      <c r="H685" s="6" t="str">
        <f t="shared" si="65"/>
        <v>INSERT INTO public.coupon (plancode, age, "year", couponrate, benefittype, benefitrate, premiumrate) VALUES('EN60', 8, 46, 8, 'A',800, 1.01);</v>
      </c>
      <c r="I685" s="6" t="str">
        <f t="shared" si="66"/>
        <v>{"age":"8", "year":"46", "couponrate":"8", "benefittype":"A", "benefitrate":"800", "premiumrate":"1.01"}</v>
      </c>
      <c r="J685" s="6" t="str">
        <f t="shared" si="67"/>
        <v>,</v>
      </c>
    </row>
    <row r="686" spans="1:10">
      <c r="A686" s="4" t="str">
        <f>'EN60'!A$3</f>
        <v>EN60</v>
      </c>
      <c r="B686" s="4">
        <f t="shared" si="68"/>
        <v>8</v>
      </c>
      <c r="C686" s="4">
        <f t="shared" si="69"/>
        <v>47</v>
      </c>
      <c r="D686" s="4">
        <f t="shared" si="70"/>
        <v>8</v>
      </c>
      <c r="E686" s="4" t="s">
        <v>27</v>
      </c>
      <c r="F686" s="4">
        <f t="shared" si="64"/>
        <v>800</v>
      </c>
      <c r="G686" s="5">
        <f t="shared" si="71"/>
        <v>1.01</v>
      </c>
      <c r="H686" s="6" t="str">
        <f t="shared" si="65"/>
        <v>INSERT INTO public.coupon (plancode, age, "year", couponrate, benefittype, benefitrate, premiumrate) VALUES('EN60', 8, 47, 8, 'A',800, 1.01);</v>
      </c>
      <c r="I686" s="6" t="str">
        <f t="shared" si="66"/>
        <v>{"age":"8", "year":"47", "couponrate":"8", "benefittype":"A", "benefitrate":"800", "premiumrate":"1.01"}</v>
      </c>
      <c r="J686" s="6" t="str">
        <f t="shared" si="67"/>
        <v>,</v>
      </c>
    </row>
    <row r="687" spans="1:10">
      <c r="A687" s="4" t="str">
        <f>'EN60'!A$3</f>
        <v>EN60</v>
      </c>
      <c r="B687" s="4">
        <f t="shared" si="68"/>
        <v>8</v>
      </c>
      <c r="C687" s="4">
        <f t="shared" si="69"/>
        <v>48</v>
      </c>
      <c r="D687" s="4">
        <f t="shared" si="70"/>
        <v>8</v>
      </c>
      <c r="E687" s="4" t="s">
        <v>27</v>
      </c>
      <c r="F687" s="4">
        <f t="shared" si="64"/>
        <v>800</v>
      </c>
      <c r="G687" s="5">
        <f t="shared" si="71"/>
        <v>1.01</v>
      </c>
      <c r="H687" s="6" t="str">
        <f t="shared" si="65"/>
        <v>INSERT INTO public.coupon (plancode, age, "year", couponrate, benefittype, benefitrate, premiumrate) VALUES('EN60', 8, 48, 8, 'A',800, 1.01);</v>
      </c>
      <c r="I687" s="6" t="str">
        <f t="shared" si="66"/>
        <v>{"age":"8", "year":"48", "couponrate":"8", "benefittype":"A", "benefitrate":"800", "premiumrate":"1.01"}</v>
      </c>
      <c r="J687" s="6" t="str">
        <f t="shared" si="67"/>
        <v>,</v>
      </c>
    </row>
    <row r="688" spans="1:10">
      <c r="A688" s="4" t="str">
        <f>'EN60'!A$3</f>
        <v>EN60</v>
      </c>
      <c r="B688" s="4">
        <f t="shared" si="68"/>
        <v>8</v>
      </c>
      <c r="C688" s="4">
        <f t="shared" si="69"/>
        <v>49</v>
      </c>
      <c r="D688" s="4">
        <f t="shared" si="70"/>
        <v>8</v>
      </c>
      <c r="E688" s="4" t="s">
        <v>27</v>
      </c>
      <c r="F688" s="4">
        <f t="shared" si="64"/>
        <v>800</v>
      </c>
      <c r="G688" s="5">
        <f t="shared" si="71"/>
        <v>1.01</v>
      </c>
      <c r="H688" s="6" t="str">
        <f t="shared" si="65"/>
        <v>INSERT INTO public.coupon (plancode, age, "year", couponrate, benefittype, benefitrate, premiumrate) VALUES('EN60', 8, 49, 8, 'A',800, 1.01);</v>
      </c>
      <c r="I688" s="6" t="str">
        <f t="shared" si="66"/>
        <v>{"age":"8", "year":"49", "couponrate":"8", "benefittype":"A", "benefitrate":"800", "premiumrate":"1.01"}</v>
      </c>
      <c r="J688" s="6" t="str">
        <f t="shared" si="67"/>
        <v>,</v>
      </c>
    </row>
    <row r="689" spans="1:10">
      <c r="A689" s="4" t="str">
        <f>'EN60'!A$3</f>
        <v>EN60</v>
      </c>
      <c r="B689" s="4">
        <f t="shared" si="68"/>
        <v>8</v>
      </c>
      <c r="C689" s="4">
        <f t="shared" si="69"/>
        <v>50</v>
      </c>
      <c r="D689" s="4">
        <f t="shared" si="70"/>
        <v>8</v>
      </c>
      <c r="E689" s="4" t="s">
        <v>27</v>
      </c>
      <c r="F689" s="4">
        <f t="shared" si="64"/>
        <v>800</v>
      </c>
      <c r="G689" s="5">
        <f t="shared" si="71"/>
        <v>1.01</v>
      </c>
      <c r="H689" s="6" t="str">
        <f t="shared" si="65"/>
        <v>INSERT INTO public.coupon (plancode, age, "year", couponrate, benefittype, benefitrate, premiumrate) VALUES('EN60', 8, 50, 8, 'A',800, 1.01);</v>
      </c>
      <c r="I689" s="6" t="str">
        <f t="shared" si="66"/>
        <v>{"age":"8", "year":"50", "couponrate":"8", "benefittype":"A", "benefitrate":"800", "premiumrate":"1.01"}</v>
      </c>
      <c r="J689" s="6" t="str">
        <f t="shared" si="67"/>
        <v>,</v>
      </c>
    </row>
    <row r="690" spans="1:10">
      <c r="A690" s="4" t="str">
        <f>'EN60'!A$3</f>
        <v>EN60</v>
      </c>
      <c r="B690" s="4">
        <f t="shared" si="68"/>
        <v>8</v>
      </c>
      <c r="C690" s="4">
        <f t="shared" si="69"/>
        <v>51</v>
      </c>
      <c r="D690" s="4">
        <f t="shared" si="70"/>
        <v>8</v>
      </c>
      <c r="E690" s="4" t="s">
        <v>27</v>
      </c>
      <c r="F690" s="4">
        <f t="shared" si="64"/>
        <v>800</v>
      </c>
      <c r="G690" s="5">
        <f t="shared" si="71"/>
        <v>1.01</v>
      </c>
      <c r="H690" s="6" t="str">
        <f t="shared" si="65"/>
        <v>INSERT INTO public.coupon (plancode, age, "year", couponrate, benefittype, benefitrate, premiumrate) VALUES('EN60', 8, 51, 8, 'A',800, 1.01);</v>
      </c>
      <c r="I690" s="6" t="str">
        <f t="shared" si="66"/>
        <v>{"age":"8", "year":"51", "couponrate":"8", "benefittype":"A", "benefitrate":"800", "premiumrate":"1.01"}</v>
      </c>
      <c r="J690" s="6" t="str">
        <f t="shared" si="67"/>
        <v>,</v>
      </c>
    </row>
    <row r="691" spans="1:10">
      <c r="A691" s="4" t="str">
        <f>'EN60'!A$3</f>
        <v>EN60</v>
      </c>
      <c r="B691" s="4">
        <f t="shared" si="68"/>
        <v>8</v>
      </c>
      <c r="C691" s="4">
        <f t="shared" si="69"/>
        <v>52</v>
      </c>
      <c r="D691" s="4">
        <f t="shared" si="70"/>
        <v>8</v>
      </c>
      <c r="E691" s="4" t="s">
        <v>27</v>
      </c>
      <c r="F691" s="4">
        <f t="shared" si="64"/>
        <v>800</v>
      </c>
      <c r="G691" s="5">
        <f t="shared" si="71"/>
        <v>1.01</v>
      </c>
      <c r="H691" s="6" t="str">
        <f t="shared" si="65"/>
        <v>INSERT INTO public.coupon (plancode, age, "year", couponrate, benefittype, benefitrate, premiumrate) VALUES('EN60', 8, 52, 8, 'A',800, 1.01);</v>
      </c>
      <c r="I691" s="6" t="str">
        <f t="shared" si="66"/>
        <v>{"age":"8", "year":"52", "couponrate":"8", "benefittype":"A", "benefitrate":"800", "premiumrate":"1.01"}</v>
      </c>
      <c r="J691" s="6" t="str">
        <f t="shared" si="67"/>
        <v>,</v>
      </c>
    </row>
    <row r="692" spans="1:10">
      <c r="A692" s="4" t="str">
        <f>'EN60'!A$3</f>
        <v>EN60</v>
      </c>
      <c r="B692" s="4">
        <f t="shared" si="68"/>
        <v>8</v>
      </c>
      <c r="C692" s="4">
        <f t="shared" si="69"/>
        <v>53</v>
      </c>
      <c r="D692" s="4">
        <f t="shared" si="70"/>
        <v>8</v>
      </c>
      <c r="E692" s="4" t="s">
        <v>27</v>
      </c>
      <c r="F692" s="4">
        <f t="shared" si="64"/>
        <v>800</v>
      </c>
      <c r="G692" s="5">
        <f t="shared" si="71"/>
        <v>1.01</v>
      </c>
      <c r="H692" s="6" t="str">
        <f t="shared" si="65"/>
        <v>INSERT INTO public.coupon (plancode, age, "year", couponrate, benefittype, benefitrate, premiumrate) VALUES('EN60', 8, 53, 8, 'A',800, 1.01);</v>
      </c>
      <c r="I692" s="6" t="str">
        <f t="shared" si="66"/>
        <v>{"age":"8", "year":"53", "couponrate":"8", "benefittype":"A", "benefitrate":"800", "premiumrate":"1.01"}</v>
      </c>
      <c r="J692" s="6" t="str">
        <f t="shared" si="67"/>
        <v>,</v>
      </c>
    </row>
    <row r="693" spans="1:10">
      <c r="A693" s="4" t="str">
        <f>'EN60'!A$3</f>
        <v>EN60</v>
      </c>
      <c r="B693" s="4">
        <f t="shared" si="68"/>
        <v>8</v>
      </c>
      <c r="C693" s="4">
        <f t="shared" si="69"/>
        <v>54</v>
      </c>
      <c r="D693" s="4">
        <f t="shared" si="70"/>
        <v>8</v>
      </c>
      <c r="E693" s="4" t="s">
        <v>27</v>
      </c>
      <c r="F693" s="4">
        <f t="shared" si="64"/>
        <v>800</v>
      </c>
      <c r="G693" s="5">
        <f t="shared" si="71"/>
        <v>1.01</v>
      </c>
      <c r="H693" s="6" t="str">
        <f t="shared" si="65"/>
        <v>INSERT INTO public.coupon (plancode, age, "year", couponrate, benefittype, benefitrate, premiumrate) VALUES('EN60', 8, 54, 8, 'A',800, 1.01);</v>
      </c>
      <c r="I693" s="6" t="str">
        <f t="shared" si="66"/>
        <v>{"age":"8", "year":"54", "couponrate":"8", "benefittype":"A", "benefitrate":"800", "premiumrate":"1.01"}</v>
      </c>
      <c r="J693" s="6" t="str">
        <f t="shared" si="67"/>
        <v>,</v>
      </c>
    </row>
    <row r="694" spans="1:10">
      <c r="A694" s="4" t="str">
        <f>'EN60'!A$3</f>
        <v>EN60</v>
      </c>
      <c r="B694" s="4">
        <f t="shared" si="68"/>
        <v>8</v>
      </c>
      <c r="C694" s="4">
        <f t="shared" si="69"/>
        <v>55</v>
      </c>
      <c r="D694" s="4">
        <f t="shared" si="70"/>
        <v>8</v>
      </c>
      <c r="E694" s="4" t="s">
        <v>27</v>
      </c>
      <c r="F694" s="4">
        <f t="shared" si="64"/>
        <v>800</v>
      </c>
      <c r="G694" s="5">
        <f t="shared" si="71"/>
        <v>1.01</v>
      </c>
      <c r="H694" s="6" t="str">
        <f t="shared" si="65"/>
        <v>INSERT INTO public.coupon (plancode, age, "year", couponrate, benefittype, benefitrate, premiumrate) VALUES('EN60', 8, 55, 8, 'A',800, 1.01);</v>
      </c>
      <c r="I694" s="6" t="str">
        <f t="shared" si="66"/>
        <v>{"age":"8", "year":"55", "couponrate":"8", "benefittype":"A", "benefitrate":"800", "premiumrate":"1.01"}</v>
      </c>
      <c r="J694" s="6" t="str">
        <f t="shared" si="67"/>
        <v>,</v>
      </c>
    </row>
    <row r="695" spans="1:10">
      <c r="A695" s="4" t="str">
        <f>'EN60'!A$3</f>
        <v>EN60</v>
      </c>
      <c r="B695" s="4">
        <f t="shared" si="68"/>
        <v>8</v>
      </c>
      <c r="C695" s="4">
        <f t="shared" si="69"/>
        <v>56</v>
      </c>
      <c r="D695" s="4">
        <f t="shared" si="70"/>
        <v>8</v>
      </c>
      <c r="E695" s="4" t="s">
        <v>27</v>
      </c>
      <c r="F695" s="4">
        <f t="shared" si="64"/>
        <v>800</v>
      </c>
      <c r="G695" s="5">
        <f t="shared" si="71"/>
        <v>1.01</v>
      </c>
      <c r="H695" s="6" t="str">
        <f t="shared" si="65"/>
        <v>INSERT INTO public.coupon (plancode, age, "year", couponrate, benefittype, benefitrate, premiumrate) VALUES('EN60', 8, 56, 8, 'A',800, 1.01);</v>
      </c>
      <c r="I695" s="6" t="str">
        <f t="shared" si="66"/>
        <v>{"age":"8", "year":"56", "couponrate":"8", "benefittype":"A", "benefitrate":"800", "premiumrate":"1.01"}</v>
      </c>
      <c r="J695" s="6" t="str">
        <f t="shared" si="67"/>
        <v>,</v>
      </c>
    </row>
    <row r="696" spans="1:10">
      <c r="A696" s="4" t="str">
        <f>'EN60'!A$3</f>
        <v>EN60</v>
      </c>
      <c r="B696" s="4">
        <f t="shared" si="68"/>
        <v>8</v>
      </c>
      <c r="C696" s="4">
        <f t="shared" si="69"/>
        <v>57</v>
      </c>
      <c r="D696" s="4">
        <f t="shared" si="70"/>
        <v>8</v>
      </c>
      <c r="E696" s="4" t="s">
        <v>27</v>
      </c>
      <c r="F696" s="4">
        <f t="shared" si="64"/>
        <v>800</v>
      </c>
      <c r="G696" s="5">
        <f t="shared" si="71"/>
        <v>1.01</v>
      </c>
      <c r="H696" s="6" t="str">
        <f t="shared" si="65"/>
        <v>INSERT INTO public.coupon (plancode, age, "year", couponrate, benefittype, benefitrate, premiumrate) VALUES('EN60', 8, 57, 8, 'A',800, 1.01);</v>
      </c>
      <c r="I696" s="6" t="str">
        <f t="shared" si="66"/>
        <v>{"age":"8", "year":"57", "couponrate":"8", "benefittype":"A", "benefitrate":"800", "premiumrate":"1.01"}</v>
      </c>
      <c r="J696" s="6" t="str">
        <f t="shared" si="67"/>
        <v>,</v>
      </c>
    </row>
    <row r="697" spans="1:10">
      <c r="A697" s="4" t="str">
        <f>'EN60'!A$3</f>
        <v>EN60</v>
      </c>
      <c r="B697" s="4">
        <f t="shared" si="68"/>
        <v>8</v>
      </c>
      <c r="C697" s="4">
        <f t="shared" si="69"/>
        <v>58</v>
      </c>
      <c r="D697" s="4">
        <f t="shared" si="70"/>
        <v>8</v>
      </c>
      <c r="E697" s="4" t="s">
        <v>27</v>
      </c>
      <c r="F697" s="4">
        <f t="shared" si="64"/>
        <v>800</v>
      </c>
      <c r="G697" s="5">
        <f t="shared" si="71"/>
        <v>1.01</v>
      </c>
      <c r="H697" s="6" t="str">
        <f t="shared" si="65"/>
        <v>INSERT INTO public.coupon (plancode, age, "year", couponrate, benefittype, benefitrate, premiumrate) VALUES('EN60', 8, 58, 8, 'A',800, 1.01);</v>
      </c>
      <c r="I697" s="6" t="str">
        <f t="shared" si="66"/>
        <v>{"age":"8", "year":"58", "couponrate":"8", "benefittype":"A", "benefitrate":"800", "premiumrate":"1.01"}</v>
      </c>
      <c r="J697" s="6" t="str">
        <f t="shared" si="67"/>
        <v>,</v>
      </c>
    </row>
    <row r="698" spans="1:10">
      <c r="A698" s="4" t="str">
        <f>'EN60'!A$3</f>
        <v>EN60</v>
      </c>
      <c r="B698" s="4">
        <f t="shared" si="68"/>
        <v>8</v>
      </c>
      <c r="C698" s="4">
        <f t="shared" si="69"/>
        <v>59</v>
      </c>
      <c r="D698" s="4">
        <f t="shared" si="70"/>
        <v>8</v>
      </c>
      <c r="E698" s="4" t="s">
        <v>27</v>
      </c>
      <c r="F698" s="4">
        <f t="shared" si="64"/>
        <v>800</v>
      </c>
      <c r="G698" s="5">
        <f t="shared" si="71"/>
        <v>1.01</v>
      </c>
      <c r="H698" s="6" t="str">
        <f t="shared" si="65"/>
        <v>INSERT INTO public.coupon (plancode, age, "year", couponrate, benefittype, benefitrate, premiumrate) VALUES('EN60', 8, 59, 8, 'A',800, 1.01);</v>
      </c>
      <c r="I698" s="6" t="str">
        <f t="shared" si="66"/>
        <v>{"age":"8", "year":"59", "couponrate":"8", "benefittype":"A", "benefitrate":"800", "premiumrate":"1.01"}</v>
      </c>
      <c r="J698" s="6" t="str">
        <f t="shared" si="67"/>
        <v>,</v>
      </c>
    </row>
    <row r="699" spans="1:10">
      <c r="A699" s="4" t="str">
        <f>'EN60'!A$3</f>
        <v>EN60</v>
      </c>
      <c r="B699" s="4">
        <f t="shared" si="68"/>
        <v>8</v>
      </c>
      <c r="C699" s="4">
        <f t="shared" si="69"/>
        <v>60</v>
      </c>
      <c r="D699" s="4">
        <f t="shared" si="70"/>
        <v>8</v>
      </c>
      <c r="E699" s="4" t="s">
        <v>27</v>
      </c>
      <c r="F699" s="4">
        <f t="shared" si="64"/>
        <v>800</v>
      </c>
      <c r="G699" s="5">
        <f t="shared" si="71"/>
        <v>1.01</v>
      </c>
      <c r="H699" s="6" t="str">
        <f t="shared" si="65"/>
        <v>INSERT INTO public.coupon (plancode, age, "year", couponrate, benefittype, benefitrate, premiumrate) VALUES('EN60', 8, 60, 8, 'A',800, 1.01);</v>
      </c>
      <c r="I699" s="6" t="str">
        <f t="shared" si="66"/>
        <v>{"age":"8", "year":"60", "couponrate":"8", "benefittype":"A", "benefitrate":"800", "premiumrate":"1.01"}</v>
      </c>
      <c r="J699" s="6" t="str">
        <f t="shared" si="67"/>
        <v>,</v>
      </c>
    </row>
    <row r="700" spans="1:10">
      <c r="A700" s="4" t="str">
        <f>'EN60'!A$3</f>
        <v>EN60</v>
      </c>
      <c r="B700" s="4">
        <f t="shared" si="68"/>
        <v>8</v>
      </c>
      <c r="C700" s="4">
        <f t="shared" si="69"/>
        <v>61</v>
      </c>
      <c r="D700" s="4">
        <f t="shared" si="70"/>
        <v>8</v>
      </c>
      <c r="E700" s="4" t="s">
        <v>27</v>
      </c>
      <c r="F700" s="4">
        <f t="shared" si="64"/>
        <v>800</v>
      </c>
      <c r="G700" s="5">
        <f t="shared" si="71"/>
        <v>1.01</v>
      </c>
      <c r="H700" s="6" t="str">
        <f t="shared" si="65"/>
        <v>INSERT INTO public.coupon (plancode, age, "year", couponrate, benefittype, benefitrate, premiumrate) VALUES('EN60', 8, 61, 8, 'A',800, 1.01);</v>
      </c>
      <c r="I700" s="6" t="str">
        <f t="shared" si="66"/>
        <v>{"age":"8", "year":"61", "couponrate":"8", "benefittype":"A", "benefitrate":"800", "premiumrate":"1.01"}</v>
      </c>
      <c r="J700" s="6" t="str">
        <f t="shared" si="67"/>
        <v>,</v>
      </c>
    </row>
    <row r="701" spans="1:10">
      <c r="A701" s="4" t="str">
        <f>'EN60'!A$3</f>
        <v>EN60</v>
      </c>
      <c r="B701" s="4">
        <f t="shared" si="68"/>
        <v>8</v>
      </c>
      <c r="C701" s="4">
        <f t="shared" si="69"/>
        <v>62</v>
      </c>
      <c r="D701" s="4">
        <f t="shared" si="70"/>
        <v>8</v>
      </c>
      <c r="E701" s="4" t="s">
        <v>27</v>
      </c>
      <c r="F701" s="4">
        <f t="shared" si="64"/>
        <v>800</v>
      </c>
      <c r="G701" s="5">
        <f t="shared" si="71"/>
        <v>1.01</v>
      </c>
      <c r="H701" s="6" t="str">
        <f t="shared" si="65"/>
        <v>INSERT INTO public.coupon (plancode, age, "year", couponrate, benefittype, benefitrate, premiumrate) VALUES('EN60', 8, 62, 8, 'A',800, 1.01);</v>
      </c>
      <c r="I701" s="6" t="str">
        <f t="shared" si="66"/>
        <v>{"age":"8", "year":"62", "couponrate":"8", "benefittype":"A", "benefitrate":"800", "premiumrate":"1.01"}</v>
      </c>
      <c r="J701" s="6" t="str">
        <f t="shared" si="67"/>
        <v>,</v>
      </c>
    </row>
    <row r="702" spans="1:10">
      <c r="A702" s="4" t="str">
        <f>'EN60'!A$3</f>
        <v>EN60</v>
      </c>
      <c r="B702" s="4">
        <f t="shared" si="68"/>
        <v>8</v>
      </c>
      <c r="C702" s="4">
        <f t="shared" si="69"/>
        <v>63</v>
      </c>
      <c r="D702" s="4">
        <f t="shared" si="70"/>
        <v>8</v>
      </c>
      <c r="E702" s="4" t="s">
        <v>27</v>
      </c>
      <c r="F702" s="4">
        <f t="shared" si="64"/>
        <v>800</v>
      </c>
      <c r="G702" s="5">
        <f t="shared" si="71"/>
        <v>1.01</v>
      </c>
      <c r="H702" s="6" t="str">
        <f t="shared" si="65"/>
        <v>INSERT INTO public.coupon (plancode, age, "year", couponrate, benefittype, benefitrate, premiumrate) VALUES('EN60', 8, 63, 8, 'A',800, 1.01);</v>
      </c>
      <c r="I702" s="6" t="str">
        <f t="shared" si="66"/>
        <v>{"age":"8", "year":"63", "couponrate":"8", "benefittype":"A", "benefitrate":"800", "premiumrate":"1.01"}</v>
      </c>
      <c r="J702" s="6" t="str">
        <f t="shared" si="67"/>
        <v>,</v>
      </c>
    </row>
    <row r="703" spans="1:10">
      <c r="A703" s="4" t="str">
        <f>'EN60'!A$3</f>
        <v>EN60</v>
      </c>
      <c r="B703" s="4">
        <f t="shared" si="68"/>
        <v>8</v>
      </c>
      <c r="C703" s="4">
        <f t="shared" si="69"/>
        <v>64</v>
      </c>
      <c r="D703" s="4">
        <f t="shared" si="70"/>
        <v>8</v>
      </c>
      <c r="E703" s="4" t="s">
        <v>27</v>
      </c>
      <c r="F703" s="4">
        <f t="shared" si="64"/>
        <v>800</v>
      </c>
      <c r="G703" s="5">
        <f t="shared" si="71"/>
        <v>1.01</v>
      </c>
      <c r="H703" s="6" t="str">
        <f t="shared" si="65"/>
        <v>INSERT INTO public.coupon (plancode, age, "year", couponrate, benefittype, benefitrate, premiumrate) VALUES('EN60', 8, 64, 8, 'A',800, 1.01);</v>
      </c>
      <c r="I703" s="6" t="str">
        <f t="shared" si="66"/>
        <v>{"age":"8", "year":"64", "couponrate":"8", "benefittype":"A", "benefitrate":"800", "premiumrate":"1.01"}</v>
      </c>
      <c r="J703" s="6" t="str">
        <f t="shared" si="67"/>
        <v>,</v>
      </c>
    </row>
    <row r="704" spans="1:10">
      <c r="A704" s="4" t="str">
        <f>'EN60'!A$3</f>
        <v>EN60</v>
      </c>
      <c r="B704" s="4">
        <f t="shared" si="68"/>
        <v>8</v>
      </c>
      <c r="C704" s="4">
        <f t="shared" si="69"/>
        <v>65</v>
      </c>
      <c r="D704" s="4">
        <f t="shared" si="70"/>
        <v>8</v>
      </c>
      <c r="E704" s="4" t="s">
        <v>27</v>
      </c>
      <c r="F704" s="4">
        <f t="shared" si="64"/>
        <v>800</v>
      </c>
      <c r="G704" s="5">
        <f t="shared" si="71"/>
        <v>1.01</v>
      </c>
      <c r="H704" s="6" t="str">
        <f t="shared" si="65"/>
        <v>INSERT INTO public.coupon (plancode, age, "year", couponrate, benefittype, benefitrate, premiumrate) VALUES('EN60', 8, 65, 8, 'A',800, 1.01);</v>
      </c>
      <c r="I704" s="6" t="str">
        <f t="shared" si="66"/>
        <v>{"age":"8", "year":"65", "couponrate":"8", "benefittype":"A", "benefitrate":"800", "premiumrate":"1.01"}</v>
      </c>
      <c r="J704" s="6" t="str">
        <f t="shared" si="67"/>
        <v>,</v>
      </c>
    </row>
    <row r="705" spans="1:10">
      <c r="A705" s="4" t="str">
        <f>'EN60'!A$3</f>
        <v>EN60</v>
      </c>
      <c r="B705" s="4">
        <f t="shared" si="68"/>
        <v>8</v>
      </c>
      <c r="C705" s="4">
        <f t="shared" si="69"/>
        <v>66</v>
      </c>
      <c r="D705" s="4">
        <f t="shared" si="70"/>
        <v>8</v>
      </c>
      <c r="E705" s="4" t="s">
        <v>27</v>
      </c>
      <c r="F705" s="4">
        <f t="shared" si="64"/>
        <v>800</v>
      </c>
      <c r="G705" s="5">
        <f t="shared" si="71"/>
        <v>1.01</v>
      </c>
      <c r="H705" s="6" t="str">
        <f t="shared" si="65"/>
        <v>INSERT INTO public.coupon (plancode, age, "year", couponrate, benefittype, benefitrate, premiumrate) VALUES('EN60', 8, 66, 8, 'A',800, 1.01);</v>
      </c>
      <c r="I705" s="6" t="str">
        <f t="shared" si="66"/>
        <v>{"age":"8", "year":"66", "couponrate":"8", "benefittype":"A", "benefitrate":"800", "premiumrate":"1.01"}</v>
      </c>
      <c r="J705" s="6" t="str">
        <f t="shared" si="67"/>
        <v>,</v>
      </c>
    </row>
    <row r="706" spans="1:10">
      <c r="A706" s="4" t="str">
        <f>'EN60'!A$3</f>
        <v>EN60</v>
      </c>
      <c r="B706" s="4">
        <f t="shared" si="68"/>
        <v>8</v>
      </c>
      <c r="C706" s="4">
        <f t="shared" si="69"/>
        <v>67</v>
      </c>
      <c r="D706" s="4">
        <f t="shared" si="70"/>
        <v>8</v>
      </c>
      <c r="E706" s="4" t="s">
        <v>27</v>
      </c>
      <c r="F706" s="4">
        <f t="shared" si="64"/>
        <v>800</v>
      </c>
      <c r="G706" s="5">
        <f t="shared" si="71"/>
        <v>1.01</v>
      </c>
      <c r="H706" s="6" t="str">
        <f t="shared" si="65"/>
        <v>INSERT INTO public.coupon (plancode, age, "year", couponrate, benefittype, benefitrate, premiumrate) VALUES('EN60', 8, 67, 8, 'A',800, 1.01);</v>
      </c>
      <c r="I706" s="6" t="str">
        <f t="shared" si="66"/>
        <v>{"age":"8", "year":"67", "couponrate":"8", "benefittype":"A", "benefitrate":"800", "premiumrate":"1.01"}</v>
      </c>
      <c r="J706" s="6" t="str">
        <f t="shared" si="67"/>
        <v>,</v>
      </c>
    </row>
    <row r="707" spans="1:10">
      <c r="A707" s="4" t="str">
        <f>'EN60'!A$3</f>
        <v>EN60</v>
      </c>
      <c r="B707" s="4">
        <f t="shared" si="68"/>
        <v>8</v>
      </c>
      <c r="C707" s="4">
        <f t="shared" si="69"/>
        <v>68</v>
      </c>
      <c r="D707" s="4">
        <f t="shared" si="70"/>
        <v>8</v>
      </c>
      <c r="E707" s="4" t="s">
        <v>27</v>
      </c>
      <c r="F707" s="4">
        <f t="shared" si="64"/>
        <v>800</v>
      </c>
      <c r="G707" s="5">
        <f t="shared" si="71"/>
        <v>1.01</v>
      </c>
      <c r="H707" s="6" t="str">
        <f t="shared" si="65"/>
        <v>INSERT INTO public.coupon (plancode, age, "year", couponrate, benefittype, benefitrate, premiumrate) VALUES('EN60', 8, 68, 8, 'A',800, 1.01);</v>
      </c>
      <c r="I707" s="6" t="str">
        <f t="shared" si="66"/>
        <v>{"age":"8", "year":"68", "couponrate":"8", "benefittype":"A", "benefitrate":"800", "premiumrate":"1.01"}</v>
      </c>
      <c r="J707" s="6" t="str">
        <f t="shared" si="67"/>
        <v>,</v>
      </c>
    </row>
    <row r="708" spans="1:10">
      <c r="A708" s="4" t="str">
        <f>'EN60'!A$3</f>
        <v>EN60</v>
      </c>
      <c r="B708" s="4">
        <f t="shared" si="68"/>
        <v>8</v>
      </c>
      <c r="C708" s="4">
        <f t="shared" si="69"/>
        <v>69</v>
      </c>
      <c r="D708" s="4">
        <f t="shared" si="70"/>
        <v>8</v>
      </c>
      <c r="E708" s="4" t="s">
        <v>27</v>
      </c>
      <c r="F708" s="4">
        <f t="shared" si="64"/>
        <v>800</v>
      </c>
      <c r="G708" s="5">
        <f t="shared" si="71"/>
        <v>1.01</v>
      </c>
      <c r="H708" s="6" t="str">
        <f t="shared" si="65"/>
        <v>INSERT INTO public.coupon (plancode, age, "year", couponrate, benefittype, benefitrate, premiumrate) VALUES('EN60', 8, 69, 8, 'A',800, 1.01);</v>
      </c>
      <c r="I708" s="6" t="str">
        <f t="shared" si="66"/>
        <v>{"age":"8", "year":"69", "couponrate":"8", "benefittype":"A", "benefitrate":"800", "premiumrate":"1.01"}</v>
      </c>
      <c r="J708" s="6" t="str">
        <f t="shared" si="67"/>
        <v>,</v>
      </c>
    </row>
    <row r="709" spans="1:10">
      <c r="A709" s="4" t="str">
        <f>'EN60'!A$3</f>
        <v>EN60</v>
      </c>
      <c r="B709" s="4">
        <f t="shared" si="68"/>
        <v>8</v>
      </c>
      <c r="C709" s="4">
        <f t="shared" si="69"/>
        <v>70</v>
      </c>
      <c r="D709" s="4">
        <f t="shared" si="70"/>
        <v>8</v>
      </c>
      <c r="E709" s="4" t="s">
        <v>27</v>
      </c>
      <c r="F709" s="4">
        <f t="shared" si="64"/>
        <v>800</v>
      </c>
      <c r="G709" s="5">
        <f t="shared" si="71"/>
        <v>1.01</v>
      </c>
      <c r="H709" s="6" t="str">
        <f t="shared" si="65"/>
        <v>INSERT INTO public.coupon (plancode, age, "year", couponrate, benefittype, benefitrate, premiumrate) VALUES('EN60', 8, 70, 8, 'A',800, 1.01);</v>
      </c>
      <c r="I709" s="6" t="str">
        <f t="shared" si="66"/>
        <v>{"age":"8", "year":"70", "couponrate":"8", "benefittype":"A", "benefitrate":"800", "premiumrate":"1.01"}</v>
      </c>
      <c r="J709" s="6" t="str">
        <f t="shared" si="67"/>
        <v>,</v>
      </c>
    </row>
    <row r="710" spans="1:10">
      <c r="A710" s="4" t="str">
        <f>'EN60'!A$3</f>
        <v>EN60</v>
      </c>
      <c r="B710" s="4">
        <f t="shared" si="68"/>
        <v>8</v>
      </c>
      <c r="C710" s="4">
        <f t="shared" si="69"/>
        <v>71</v>
      </c>
      <c r="D710" s="4">
        <f t="shared" si="70"/>
        <v>8</v>
      </c>
      <c r="E710" s="4" t="s">
        <v>27</v>
      </c>
      <c r="F710" s="4">
        <f t="shared" si="64"/>
        <v>800</v>
      </c>
      <c r="G710" s="5">
        <f t="shared" si="71"/>
        <v>1.01</v>
      </c>
      <c r="H710" s="6" t="str">
        <f t="shared" si="65"/>
        <v>INSERT INTO public.coupon (plancode, age, "year", couponrate, benefittype, benefitrate, premiumrate) VALUES('EN60', 8, 71, 8, 'A',800, 1.01);</v>
      </c>
      <c r="I710" s="6" t="str">
        <f t="shared" si="66"/>
        <v>{"age":"8", "year":"71", "couponrate":"8", "benefittype":"A", "benefitrate":"800", "premiumrate":"1.01"}</v>
      </c>
      <c r="J710" s="6" t="str">
        <f t="shared" si="67"/>
        <v>,</v>
      </c>
    </row>
    <row r="711" spans="1:10">
      <c r="A711" s="4" t="str">
        <f>'EN60'!A$3</f>
        <v>EN60</v>
      </c>
      <c r="B711" s="4">
        <f t="shared" si="68"/>
        <v>8</v>
      </c>
      <c r="C711" s="4">
        <f t="shared" si="69"/>
        <v>72</v>
      </c>
      <c r="D711" s="4">
        <f t="shared" si="70"/>
        <v>8</v>
      </c>
      <c r="E711" s="4" t="s">
        <v>27</v>
      </c>
      <c r="F711" s="4">
        <f t="shared" si="64"/>
        <v>800</v>
      </c>
      <c r="G711" s="5">
        <f t="shared" si="71"/>
        <v>1.01</v>
      </c>
      <c r="H711" s="6" t="str">
        <f t="shared" si="65"/>
        <v>INSERT INTO public.coupon (plancode, age, "year", couponrate, benefittype, benefitrate, premiumrate) VALUES('EN60', 8, 72, 8, 'A',800, 1.01);</v>
      </c>
      <c r="I711" s="6" t="str">
        <f t="shared" si="66"/>
        <v>{"age":"8", "year":"72", "couponrate":"8", "benefittype":"A", "benefitrate":"800", "premiumrate":"1.01"}</v>
      </c>
    </row>
    <row r="712" spans="1:10">
      <c r="C712" s="6"/>
      <c r="I712" s="6" t="s">
        <v>28</v>
      </c>
    </row>
    <row r="713" spans="1:10">
      <c r="A713" s="3" t="s">
        <v>2</v>
      </c>
      <c r="B713" s="3" t="s">
        <v>23</v>
      </c>
      <c r="C713" s="3" t="s">
        <v>24</v>
      </c>
      <c r="D713" s="3" t="s">
        <v>25</v>
      </c>
      <c r="E713" s="3" t="s">
        <v>8</v>
      </c>
      <c r="F713" s="3" t="s">
        <v>26</v>
      </c>
      <c r="G713" s="3" t="s">
        <v>4</v>
      </c>
      <c r="I713" s="6" t="str">
        <f>"[{""plancode"":"""&amp;A714&amp;""",""returncash"":"""&amp;B$7&amp;""",""ytable"":"""&amp;C$7&amp;""",""maturerate"":"""&amp;B$3&amp;""",""maturepmrate"":"""&amp;C$3&amp;""",""coupon"":["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714" spans="1:10">
      <c r="A714" s="4" t="str">
        <f>'EN60'!A$3</f>
        <v>EN60</v>
      </c>
      <c r="B714" s="8">
        <v>9</v>
      </c>
      <c r="C714" s="4">
        <v>1</v>
      </c>
      <c r="D714" s="4">
        <f>IF(C714+B714=80,0,8)</f>
        <v>8</v>
      </c>
      <c r="E714" s="4" t="s">
        <v>27</v>
      </c>
      <c r="F714" s="4">
        <f t="shared" ref="F714:F784" si="72">IF(C714&gt;7, 800, C714*100)</f>
        <v>100</v>
      </c>
      <c r="G714" s="5">
        <f>'EN60'!C$3</f>
        <v>1.01</v>
      </c>
      <c r="H714" s="6" t="str">
        <f t="shared" ref="H714:H784" si="73">"INSERT INTO public.coupon ("&amp;A$11&amp;", "&amp;B$11&amp;", """&amp;C$11&amp;""", "&amp;D$11&amp;", "&amp;E$11&amp;", "&amp;F$11&amp;", "&amp;G$11&amp;") VALUES('"&amp;A714&amp;"', "&amp;B714&amp;", "&amp;C714&amp;", "&amp;D714&amp;", '"&amp;E714&amp;"',"&amp;F714&amp;", "&amp;G714&amp;");"</f>
        <v>INSERT INTO public.coupon (plancode, age, "year", couponrate, benefittype, benefitrate, premiumrate) VALUES('EN60', 9, 1, 8, 'A',100, 1.01);</v>
      </c>
      <c r="I714" s="6" t="str">
        <f t="shared" ref="I714:I784" si="74">"{""age"":"""&amp;B714&amp;""", ""year"":"""&amp;C714&amp;""", ""couponrate"":"""&amp;D714&amp;""", ""benefittype"":"""&amp;E714&amp;""", ""benefitrate"":"""&amp;F714&amp;""", """&amp;G$11&amp;""":"""&amp;G714&amp;"""}"</f>
        <v>{"age":"9", "year":"1", "couponrate":"8", "benefittype":"A", "benefitrate":"100", "premiumrate":"1.01"}</v>
      </c>
      <c r="J714" s="6" t="str">
        <f t="shared" ref="J714:J783" si="75">IF(OR(I715="]", I714="[", I714="]"), "", ",")</f>
        <v>,</v>
      </c>
    </row>
    <row r="715" spans="1:10">
      <c r="A715" s="4" t="str">
        <f>'EN60'!A$3</f>
        <v>EN60</v>
      </c>
      <c r="B715" s="4">
        <f t="shared" ref="B715:B784" si="76">B714</f>
        <v>9</v>
      </c>
      <c r="C715" s="4">
        <f t="shared" ref="C715:C784" si="77">C714+1</f>
        <v>2</v>
      </c>
      <c r="D715" s="4">
        <f t="shared" ref="D715:D784" si="78">D714</f>
        <v>8</v>
      </c>
      <c r="E715" s="4" t="s">
        <v>27</v>
      </c>
      <c r="F715" s="4">
        <f t="shared" si="72"/>
        <v>200</v>
      </c>
      <c r="G715" s="5">
        <f t="shared" ref="G715:G784" si="79">G714</f>
        <v>1.01</v>
      </c>
      <c r="H715" s="6" t="str">
        <f t="shared" si="73"/>
        <v>INSERT INTO public.coupon (plancode, age, "year", couponrate, benefittype, benefitrate, premiumrate) VALUES('EN60', 9, 2, 8, 'A',200, 1.01);</v>
      </c>
      <c r="I715" s="6" t="str">
        <f t="shared" si="74"/>
        <v>{"age":"9", "year":"2", "couponrate":"8", "benefittype":"A", "benefitrate":"200", "premiumrate":"1.01"}</v>
      </c>
      <c r="J715" s="6" t="str">
        <f t="shared" si="75"/>
        <v>,</v>
      </c>
    </row>
    <row r="716" spans="1:10">
      <c r="A716" s="4" t="str">
        <f>'EN60'!A$3</f>
        <v>EN60</v>
      </c>
      <c r="B716" s="4">
        <f t="shared" si="76"/>
        <v>9</v>
      </c>
      <c r="C716" s="4">
        <f t="shared" si="77"/>
        <v>3</v>
      </c>
      <c r="D716" s="4">
        <f t="shared" si="78"/>
        <v>8</v>
      </c>
      <c r="E716" s="4" t="s">
        <v>27</v>
      </c>
      <c r="F716" s="4">
        <f t="shared" si="72"/>
        <v>300</v>
      </c>
      <c r="G716" s="5">
        <f t="shared" si="79"/>
        <v>1.01</v>
      </c>
      <c r="H716" s="6" t="str">
        <f t="shared" si="73"/>
        <v>INSERT INTO public.coupon (plancode, age, "year", couponrate, benefittype, benefitrate, premiumrate) VALUES('EN60', 9, 3, 8, 'A',300, 1.01);</v>
      </c>
      <c r="I716" s="6" t="str">
        <f t="shared" si="74"/>
        <v>{"age":"9", "year":"3", "couponrate":"8", "benefittype":"A", "benefitrate":"300", "premiumrate":"1.01"}</v>
      </c>
      <c r="J716" s="6" t="str">
        <f t="shared" si="75"/>
        <v>,</v>
      </c>
    </row>
    <row r="717" spans="1:10">
      <c r="A717" s="4" t="str">
        <f>'EN60'!A$3</f>
        <v>EN60</v>
      </c>
      <c r="B717" s="4">
        <f t="shared" si="76"/>
        <v>9</v>
      </c>
      <c r="C717" s="4">
        <f t="shared" si="77"/>
        <v>4</v>
      </c>
      <c r="D717" s="4">
        <f t="shared" si="78"/>
        <v>8</v>
      </c>
      <c r="E717" s="4" t="s">
        <v>27</v>
      </c>
      <c r="F717" s="4">
        <f t="shared" si="72"/>
        <v>400</v>
      </c>
      <c r="G717" s="5">
        <f t="shared" si="79"/>
        <v>1.01</v>
      </c>
      <c r="H717" s="6" t="str">
        <f t="shared" si="73"/>
        <v>INSERT INTO public.coupon (plancode, age, "year", couponrate, benefittype, benefitrate, premiumrate) VALUES('EN60', 9, 4, 8, 'A',400, 1.01);</v>
      </c>
      <c r="I717" s="6" t="str">
        <f t="shared" si="74"/>
        <v>{"age":"9", "year":"4", "couponrate":"8", "benefittype":"A", "benefitrate":"400", "premiumrate":"1.01"}</v>
      </c>
      <c r="J717" s="6" t="str">
        <f t="shared" si="75"/>
        <v>,</v>
      </c>
    </row>
    <row r="718" spans="1:10">
      <c r="A718" s="4" t="str">
        <f>'EN60'!A$3</f>
        <v>EN60</v>
      </c>
      <c r="B718" s="4">
        <f t="shared" si="76"/>
        <v>9</v>
      </c>
      <c r="C718" s="4">
        <f t="shared" si="77"/>
        <v>5</v>
      </c>
      <c r="D718" s="4">
        <f t="shared" si="78"/>
        <v>8</v>
      </c>
      <c r="E718" s="4" t="s">
        <v>27</v>
      </c>
      <c r="F718" s="4">
        <f t="shared" si="72"/>
        <v>500</v>
      </c>
      <c r="G718" s="5">
        <f t="shared" si="79"/>
        <v>1.01</v>
      </c>
      <c r="H718" s="6" t="str">
        <f t="shared" si="73"/>
        <v>INSERT INTO public.coupon (plancode, age, "year", couponrate, benefittype, benefitrate, premiumrate) VALUES('EN60', 9, 5, 8, 'A',500, 1.01);</v>
      </c>
      <c r="I718" s="6" t="str">
        <f t="shared" si="74"/>
        <v>{"age":"9", "year":"5", "couponrate":"8", "benefittype":"A", "benefitrate":"500", "premiumrate":"1.01"}</v>
      </c>
      <c r="J718" s="6" t="str">
        <f t="shared" si="75"/>
        <v>,</v>
      </c>
    </row>
    <row r="719" spans="1:10">
      <c r="A719" s="4" t="str">
        <f>'EN60'!A$3</f>
        <v>EN60</v>
      </c>
      <c r="B719" s="4">
        <f t="shared" si="76"/>
        <v>9</v>
      </c>
      <c r="C719" s="4">
        <f t="shared" si="77"/>
        <v>6</v>
      </c>
      <c r="D719" s="4">
        <f t="shared" si="78"/>
        <v>8</v>
      </c>
      <c r="E719" s="4" t="s">
        <v>27</v>
      </c>
      <c r="F719" s="4">
        <f t="shared" si="72"/>
        <v>600</v>
      </c>
      <c r="G719" s="5">
        <f t="shared" si="79"/>
        <v>1.01</v>
      </c>
      <c r="H719" s="6" t="str">
        <f t="shared" si="73"/>
        <v>INSERT INTO public.coupon (plancode, age, "year", couponrate, benefittype, benefitrate, premiumrate) VALUES('EN60', 9, 6, 8, 'A',600, 1.01);</v>
      </c>
      <c r="I719" s="6" t="str">
        <f t="shared" si="74"/>
        <v>{"age":"9", "year":"6", "couponrate":"8", "benefittype":"A", "benefitrate":"600", "premiumrate":"1.01"}</v>
      </c>
      <c r="J719" s="6" t="str">
        <f t="shared" si="75"/>
        <v>,</v>
      </c>
    </row>
    <row r="720" spans="1:10">
      <c r="A720" s="4" t="str">
        <f>'EN60'!A$3</f>
        <v>EN60</v>
      </c>
      <c r="B720" s="4">
        <f t="shared" si="76"/>
        <v>9</v>
      </c>
      <c r="C720" s="4">
        <f t="shared" si="77"/>
        <v>7</v>
      </c>
      <c r="D720" s="4">
        <f t="shared" si="78"/>
        <v>8</v>
      </c>
      <c r="E720" s="4" t="s">
        <v>27</v>
      </c>
      <c r="F720" s="4">
        <f t="shared" si="72"/>
        <v>700</v>
      </c>
      <c r="G720" s="5">
        <f t="shared" si="79"/>
        <v>1.01</v>
      </c>
      <c r="H720" s="6" t="str">
        <f t="shared" si="73"/>
        <v>INSERT INTO public.coupon (plancode, age, "year", couponrate, benefittype, benefitrate, premiumrate) VALUES('EN60', 9, 7, 8, 'A',700, 1.01);</v>
      </c>
      <c r="I720" s="6" t="str">
        <f t="shared" si="74"/>
        <v>{"age":"9", "year":"7", "couponrate":"8", "benefittype":"A", "benefitrate":"700", "premiumrate":"1.01"}</v>
      </c>
      <c r="J720" s="6" t="str">
        <f t="shared" si="75"/>
        <v>,</v>
      </c>
    </row>
    <row r="721" spans="1:10">
      <c r="A721" s="4" t="str">
        <f>'EN60'!A$3</f>
        <v>EN60</v>
      </c>
      <c r="B721" s="4">
        <f t="shared" si="76"/>
        <v>9</v>
      </c>
      <c r="C721" s="4">
        <f t="shared" si="77"/>
        <v>8</v>
      </c>
      <c r="D721" s="4">
        <f t="shared" si="78"/>
        <v>8</v>
      </c>
      <c r="E721" s="4" t="s">
        <v>27</v>
      </c>
      <c r="F721" s="4">
        <f t="shared" si="72"/>
        <v>800</v>
      </c>
      <c r="G721" s="5">
        <f t="shared" si="79"/>
        <v>1.01</v>
      </c>
      <c r="H721" s="6" t="str">
        <f t="shared" si="73"/>
        <v>INSERT INTO public.coupon (plancode, age, "year", couponrate, benefittype, benefitrate, premiumrate) VALUES('EN60', 9, 8, 8, 'A',800, 1.01);</v>
      </c>
      <c r="I721" s="6" t="str">
        <f t="shared" si="74"/>
        <v>{"age":"9", "year":"8", "couponrate":"8", "benefittype":"A", "benefitrate":"800", "premiumrate":"1.01"}</v>
      </c>
      <c r="J721" s="6" t="str">
        <f t="shared" si="75"/>
        <v>,</v>
      </c>
    </row>
    <row r="722" spans="1:10">
      <c r="A722" s="4" t="str">
        <f>'EN60'!A$3</f>
        <v>EN60</v>
      </c>
      <c r="B722" s="4">
        <f t="shared" si="76"/>
        <v>9</v>
      </c>
      <c r="C722" s="4">
        <f t="shared" si="77"/>
        <v>9</v>
      </c>
      <c r="D722" s="4">
        <f t="shared" si="78"/>
        <v>8</v>
      </c>
      <c r="E722" s="4" t="s">
        <v>27</v>
      </c>
      <c r="F722" s="4">
        <f t="shared" si="72"/>
        <v>800</v>
      </c>
      <c r="G722" s="5">
        <f t="shared" si="79"/>
        <v>1.01</v>
      </c>
      <c r="H722" s="6" t="str">
        <f t="shared" si="73"/>
        <v>INSERT INTO public.coupon (plancode, age, "year", couponrate, benefittype, benefitrate, premiumrate) VALUES('EN60', 9, 9, 8, 'A',800, 1.01);</v>
      </c>
      <c r="I722" s="6" t="str">
        <f t="shared" si="74"/>
        <v>{"age":"9", "year":"9", "couponrate":"8", "benefittype":"A", "benefitrate":"800", "premiumrate":"1.01"}</v>
      </c>
      <c r="J722" s="6" t="str">
        <f t="shared" si="75"/>
        <v>,</v>
      </c>
    </row>
    <row r="723" spans="1:10">
      <c r="A723" s="4" t="str">
        <f>'EN60'!A$3</f>
        <v>EN60</v>
      </c>
      <c r="B723" s="4">
        <f t="shared" si="76"/>
        <v>9</v>
      </c>
      <c r="C723" s="4">
        <f t="shared" si="77"/>
        <v>10</v>
      </c>
      <c r="D723" s="4">
        <f t="shared" si="78"/>
        <v>8</v>
      </c>
      <c r="E723" s="4" t="s">
        <v>27</v>
      </c>
      <c r="F723" s="4">
        <f t="shared" si="72"/>
        <v>800</v>
      </c>
      <c r="G723" s="5">
        <f t="shared" si="79"/>
        <v>1.01</v>
      </c>
      <c r="H723" s="6" t="str">
        <f t="shared" si="73"/>
        <v>INSERT INTO public.coupon (plancode, age, "year", couponrate, benefittype, benefitrate, premiumrate) VALUES('EN60', 9, 10, 8, 'A',800, 1.01);</v>
      </c>
      <c r="I723" s="6" t="str">
        <f t="shared" si="74"/>
        <v>{"age":"9", "year":"10", "couponrate":"8", "benefittype":"A", "benefitrate":"800", "premiumrate":"1.01"}</v>
      </c>
      <c r="J723" s="6" t="str">
        <f t="shared" si="75"/>
        <v>,</v>
      </c>
    </row>
    <row r="724" spans="1:10">
      <c r="A724" s="4" t="str">
        <f>'EN60'!A$3</f>
        <v>EN60</v>
      </c>
      <c r="B724" s="4">
        <f t="shared" si="76"/>
        <v>9</v>
      </c>
      <c r="C724" s="4">
        <f t="shared" si="77"/>
        <v>11</v>
      </c>
      <c r="D724" s="4">
        <f t="shared" si="78"/>
        <v>8</v>
      </c>
      <c r="E724" s="4" t="s">
        <v>27</v>
      </c>
      <c r="F724" s="4">
        <f t="shared" si="72"/>
        <v>800</v>
      </c>
      <c r="G724" s="5">
        <f t="shared" si="79"/>
        <v>1.01</v>
      </c>
      <c r="H724" s="6" t="str">
        <f t="shared" si="73"/>
        <v>INSERT INTO public.coupon (plancode, age, "year", couponrate, benefittype, benefitrate, premiumrate) VALUES('EN60', 9, 11, 8, 'A',800, 1.01);</v>
      </c>
      <c r="I724" s="6" t="str">
        <f t="shared" si="74"/>
        <v>{"age":"9", "year":"11", "couponrate":"8", "benefittype":"A", "benefitrate":"800", "premiumrate":"1.01"}</v>
      </c>
      <c r="J724" s="6" t="str">
        <f t="shared" si="75"/>
        <v>,</v>
      </c>
    </row>
    <row r="725" spans="1:10">
      <c r="A725" s="4" t="str">
        <f>'EN60'!A$3</f>
        <v>EN60</v>
      </c>
      <c r="B725" s="4">
        <f t="shared" si="76"/>
        <v>9</v>
      </c>
      <c r="C725" s="4">
        <f t="shared" si="77"/>
        <v>12</v>
      </c>
      <c r="D725" s="4">
        <f t="shared" si="78"/>
        <v>8</v>
      </c>
      <c r="E725" s="4" t="s">
        <v>27</v>
      </c>
      <c r="F725" s="4">
        <f t="shared" si="72"/>
        <v>800</v>
      </c>
      <c r="G725" s="5">
        <f t="shared" si="79"/>
        <v>1.01</v>
      </c>
      <c r="H725" s="6" t="str">
        <f t="shared" si="73"/>
        <v>INSERT INTO public.coupon (plancode, age, "year", couponrate, benefittype, benefitrate, premiumrate) VALUES('EN60', 9, 12, 8, 'A',800, 1.01);</v>
      </c>
      <c r="I725" s="6" t="str">
        <f t="shared" si="74"/>
        <v>{"age":"9", "year":"12", "couponrate":"8", "benefittype":"A", "benefitrate":"800", "premiumrate":"1.01"}</v>
      </c>
      <c r="J725" s="6" t="str">
        <f t="shared" si="75"/>
        <v>,</v>
      </c>
    </row>
    <row r="726" spans="1:10">
      <c r="A726" s="4" t="str">
        <f>'EN60'!A$3</f>
        <v>EN60</v>
      </c>
      <c r="B726" s="4">
        <f t="shared" si="76"/>
        <v>9</v>
      </c>
      <c r="C726" s="4">
        <f t="shared" si="77"/>
        <v>13</v>
      </c>
      <c r="D726" s="4">
        <f t="shared" si="78"/>
        <v>8</v>
      </c>
      <c r="E726" s="4" t="s">
        <v>27</v>
      </c>
      <c r="F726" s="4">
        <f t="shared" si="72"/>
        <v>800</v>
      </c>
      <c r="G726" s="5">
        <f t="shared" si="79"/>
        <v>1.01</v>
      </c>
      <c r="H726" s="6" t="str">
        <f t="shared" si="73"/>
        <v>INSERT INTO public.coupon (plancode, age, "year", couponrate, benefittype, benefitrate, premiumrate) VALUES('EN60', 9, 13, 8, 'A',800, 1.01);</v>
      </c>
      <c r="I726" s="6" t="str">
        <f t="shared" si="74"/>
        <v>{"age":"9", "year":"13", "couponrate":"8", "benefittype":"A", "benefitrate":"800", "premiumrate":"1.01"}</v>
      </c>
      <c r="J726" s="6" t="str">
        <f t="shared" si="75"/>
        <v>,</v>
      </c>
    </row>
    <row r="727" spans="1:10">
      <c r="A727" s="4" t="str">
        <f>'EN60'!A$3</f>
        <v>EN60</v>
      </c>
      <c r="B727" s="4">
        <f t="shared" si="76"/>
        <v>9</v>
      </c>
      <c r="C727" s="4">
        <f t="shared" si="77"/>
        <v>14</v>
      </c>
      <c r="D727" s="4">
        <f t="shared" si="78"/>
        <v>8</v>
      </c>
      <c r="E727" s="4" t="s">
        <v>27</v>
      </c>
      <c r="F727" s="4">
        <f t="shared" si="72"/>
        <v>800</v>
      </c>
      <c r="G727" s="5">
        <f t="shared" si="79"/>
        <v>1.01</v>
      </c>
      <c r="H727" s="6" t="str">
        <f t="shared" si="73"/>
        <v>INSERT INTO public.coupon (plancode, age, "year", couponrate, benefittype, benefitrate, premiumrate) VALUES('EN60', 9, 14, 8, 'A',800, 1.01);</v>
      </c>
      <c r="I727" s="6" t="str">
        <f t="shared" si="74"/>
        <v>{"age":"9", "year":"14", "couponrate":"8", "benefittype":"A", "benefitrate":"800", "premiumrate":"1.01"}</v>
      </c>
      <c r="J727" s="6" t="str">
        <f t="shared" si="75"/>
        <v>,</v>
      </c>
    </row>
    <row r="728" spans="1:10">
      <c r="A728" s="4" t="str">
        <f>'EN60'!A$3</f>
        <v>EN60</v>
      </c>
      <c r="B728" s="4">
        <f t="shared" si="76"/>
        <v>9</v>
      </c>
      <c r="C728" s="4">
        <f t="shared" si="77"/>
        <v>15</v>
      </c>
      <c r="D728" s="4">
        <f t="shared" si="78"/>
        <v>8</v>
      </c>
      <c r="E728" s="4" t="s">
        <v>27</v>
      </c>
      <c r="F728" s="4">
        <f t="shared" si="72"/>
        <v>800</v>
      </c>
      <c r="G728" s="5">
        <f t="shared" si="79"/>
        <v>1.01</v>
      </c>
      <c r="H728" s="6" t="str">
        <f t="shared" si="73"/>
        <v>INSERT INTO public.coupon (plancode, age, "year", couponrate, benefittype, benefitrate, premiumrate) VALUES('EN60', 9, 15, 8, 'A',800, 1.01);</v>
      </c>
      <c r="I728" s="6" t="str">
        <f t="shared" si="74"/>
        <v>{"age":"9", "year":"15", "couponrate":"8", "benefittype":"A", "benefitrate":"800", "premiumrate":"1.01"}</v>
      </c>
      <c r="J728" s="6" t="str">
        <f t="shared" si="75"/>
        <v>,</v>
      </c>
    </row>
    <row r="729" spans="1:10">
      <c r="A729" s="4" t="str">
        <f>'EN60'!A$3</f>
        <v>EN60</v>
      </c>
      <c r="B729" s="4">
        <f t="shared" si="76"/>
        <v>9</v>
      </c>
      <c r="C729" s="4">
        <f t="shared" si="77"/>
        <v>16</v>
      </c>
      <c r="D729" s="4">
        <f t="shared" si="78"/>
        <v>8</v>
      </c>
      <c r="E729" s="4" t="s">
        <v>27</v>
      </c>
      <c r="F729" s="4">
        <f t="shared" si="72"/>
        <v>800</v>
      </c>
      <c r="G729" s="5">
        <f t="shared" si="79"/>
        <v>1.01</v>
      </c>
      <c r="H729" s="6" t="str">
        <f t="shared" si="73"/>
        <v>INSERT INTO public.coupon (plancode, age, "year", couponrate, benefittype, benefitrate, premiumrate) VALUES('EN60', 9, 16, 8, 'A',800, 1.01);</v>
      </c>
      <c r="I729" s="6" t="str">
        <f t="shared" si="74"/>
        <v>{"age":"9", "year":"16", "couponrate":"8", "benefittype":"A", "benefitrate":"800", "premiumrate":"1.01"}</v>
      </c>
      <c r="J729" s="6" t="str">
        <f t="shared" si="75"/>
        <v>,</v>
      </c>
    </row>
    <row r="730" spans="1:10">
      <c r="A730" s="4" t="str">
        <f>'EN60'!A$3</f>
        <v>EN60</v>
      </c>
      <c r="B730" s="4">
        <f t="shared" si="76"/>
        <v>9</v>
      </c>
      <c r="C730" s="4">
        <f t="shared" si="77"/>
        <v>17</v>
      </c>
      <c r="D730" s="4">
        <f t="shared" si="78"/>
        <v>8</v>
      </c>
      <c r="E730" s="4" t="s">
        <v>27</v>
      </c>
      <c r="F730" s="4">
        <f t="shared" si="72"/>
        <v>800</v>
      </c>
      <c r="G730" s="5">
        <f t="shared" si="79"/>
        <v>1.01</v>
      </c>
      <c r="H730" s="6" t="str">
        <f t="shared" si="73"/>
        <v>INSERT INTO public.coupon (plancode, age, "year", couponrate, benefittype, benefitrate, premiumrate) VALUES('EN60', 9, 17, 8, 'A',800, 1.01);</v>
      </c>
      <c r="I730" s="6" t="str">
        <f t="shared" si="74"/>
        <v>{"age":"9", "year":"17", "couponrate":"8", "benefittype":"A", "benefitrate":"800", "premiumrate":"1.01"}</v>
      </c>
      <c r="J730" s="6" t="str">
        <f t="shared" si="75"/>
        <v>,</v>
      </c>
    </row>
    <row r="731" spans="1:10">
      <c r="A731" s="4" t="str">
        <f>'EN60'!A$3</f>
        <v>EN60</v>
      </c>
      <c r="B731" s="4">
        <f t="shared" si="76"/>
        <v>9</v>
      </c>
      <c r="C731" s="4">
        <f t="shared" si="77"/>
        <v>18</v>
      </c>
      <c r="D731" s="4">
        <f t="shared" si="78"/>
        <v>8</v>
      </c>
      <c r="E731" s="4" t="s">
        <v>27</v>
      </c>
      <c r="F731" s="4">
        <f t="shared" si="72"/>
        <v>800</v>
      </c>
      <c r="G731" s="5">
        <f t="shared" si="79"/>
        <v>1.01</v>
      </c>
      <c r="H731" s="6" t="str">
        <f t="shared" si="73"/>
        <v>INSERT INTO public.coupon (plancode, age, "year", couponrate, benefittype, benefitrate, premiumrate) VALUES('EN60', 9, 18, 8, 'A',800, 1.01);</v>
      </c>
      <c r="I731" s="6" t="str">
        <f t="shared" si="74"/>
        <v>{"age":"9", "year":"18", "couponrate":"8", "benefittype":"A", "benefitrate":"800", "premiumrate":"1.01"}</v>
      </c>
      <c r="J731" s="6" t="str">
        <f t="shared" si="75"/>
        <v>,</v>
      </c>
    </row>
    <row r="732" spans="1:10">
      <c r="A732" s="4" t="str">
        <f>'EN60'!A$3</f>
        <v>EN60</v>
      </c>
      <c r="B732" s="4">
        <f t="shared" si="76"/>
        <v>9</v>
      </c>
      <c r="C732" s="4">
        <f t="shared" si="77"/>
        <v>19</v>
      </c>
      <c r="D732" s="4">
        <f t="shared" si="78"/>
        <v>8</v>
      </c>
      <c r="E732" s="4" t="s">
        <v>27</v>
      </c>
      <c r="F732" s="4">
        <f t="shared" si="72"/>
        <v>800</v>
      </c>
      <c r="G732" s="5">
        <f t="shared" si="79"/>
        <v>1.01</v>
      </c>
      <c r="H732" s="6" t="str">
        <f t="shared" si="73"/>
        <v>INSERT INTO public.coupon (plancode, age, "year", couponrate, benefittype, benefitrate, premiumrate) VALUES('EN60', 9, 19, 8, 'A',800, 1.01);</v>
      </c>
      <c r="I732" s="6" t="str">
        <f t="shared" si="74"/>
        <v>{"age":"9", "year":"19", "couponrate":"8", "benefittype":"A", "benefitrate":"800", "premiumrate":"1.01"}</v>
      </c>
      <c r="J732" s="6" t="str">
        <f t="shared" si="75"/>
        <v>,</v>
      </c>
    </row>
    <row r="733" spans="1:10">
      <c r="A733" s="4" t="str">
        <f>'EN60'!A$3</f>
        <v>EN60</v>
      </c>
      <c r="B733" s="4">
        <f t="shared" si="76"/>
        <v>9</v>
      </c>
      <c r="C733" s="4">
        <f t="shared" si="77"/>
        <v>20</v>
      </c>
      <c r="D733" s="4">
        <f t="shared" si="78"/>
        <v>8</v>
      </c>
      <c r="E733" s="4" t="s">
        <v>27</v>
      </c>
      <c r="F733" s="4">
        <f t="shared" si="72"/>
        <v>800</v>
      </c>
      <c r="G733" s="5">
        <f t="shared" si="79"/>
        <v>1.01</v>
      </c>
      <c r="H733" s="6" t="str">
        <f t="shared" si="73"/>
        <v>INSERT INTO public.coupon (plancode, age, "year", couponrate, benefittype, benefitrate, premiumrate) VALUES('EN60', 9, 20, 8, 'A',800, 1.01);</v>
      </c>
      <c r="I733" s="6" t="str">
        <f t="shared" si="74"/>
        <v>{"age":"9", "year":"20", "couponrate":"8", "benefittype":"A", "benefitrate":"800", "premiumrate":"1.01"}</v>
      </c>
      <c r="J733" s="6" t="str">
        <f t="shared" si="75"/>
        <v>,</v>
      </c>
    </row>
    <row r="734" spans="1:10">
      <c r="A734" s="4" t="str">
        <f>'EN60'!A$3</f>
        <v>EN60</v>
      </c>
      <c r="B734" s="4">
        <f t="shared" si="76"/>
        <v>9</v>
      </c>
      <c r="C734" s="4">
        <f t="shared" si="77"/>
        <v>21</v>
      </c>
      <c r="D734" s="4">
        <f t="shared" si="78"/>
        <v>8</v>
      </c>
      <c r="E734" s="4" t="s">
        <v>27</v>
      </c>
      <c r="F734" s="4">
        <f t="shared" si="72"/>
        <v>800</v>
      </c>
      <c r="G734" s="5">
        <f t="shared" si="79"/>
        <v>1.01</v>
      </c>
      <c r="H734" s="6" t="str">
        <f t="shared" si="73"/>
        <v>INSERT INTO public.coupon (plancode, age, "year", couponrate, benefittype, benefitrate, premiumrate) VALUES('EN60', 9, 21, 8, 'A',800, 1.01);</v>
      </c>
      <c r="I734" s="6" t="str">
        <f t="shared" si="74"/>
        <v>{"age":"9", "year":"21", "couponrate":"8", "benefittype":"A", "benefitrate":"800", "premiumrate":"1.01"}</v>
      </c>
      <c r="J734" s="6" t="str">
        <f t="shared" si="75"/>
        <v>,</v>
      </c>
    </row>
    <row r="735" spans="1:10">
      <c r="A735" s="4" t="str">
        <f>'EN60'!A$3</f>
        <v>EN60</v>
      </c>
      <c r="B735" s="4">
        <f t="shared" si="76"/>
        <v>9</v>
      </c>
      <c r="C735" s="4">
        <f t="shared" si="77"/>
        <v>22</v>
      </c>
      <c r="D735" s="4">
        <f t="shared" si="78"/>
        <v>8</v>
      </c>
      <c r="E735" s="4" t="s">
        <v>27</v>
      </c>
      <c r="F735" s="4">
        <f t="shared" si="72"/>
        <v>800</v>
      </c>
      <c r="G735" s="5">
        <f t="shared" si="79"/>
        <v>1.01</v>
      </c>
      <c r="H735" s="6" t="str">
        <f t="shared" si="73"/>
        <v>INSERT INTO public.coupon (plancode, age, "year", couponrate, benefittype, benefitrate, premiumrate) VALUES('EN60', 9, 22, 8, 'A',800, 1.01);</v>
      </c>
      <c r="I735" s="6" t="str">
        <f t="shared" si="74"/>
        <v>{"age":"9", "year":"22", "couponrate":"8", "benefittype":"A", "benefitrate":"800", "premiumrate":"1.01"}</v>
      </c>
      <c r="J735" s="6" t="str">
        <f t="shared" si="75"/>
        <v>,</v>
      </c>
    </row>
    <row r="736" spans="1:10">
      <c r="A736" s="4" t="str">
        <f>'EN60'!A$3</f>
        <v>EN60</v>
      </c>
      <c r="B736" s="4">
        <f t="shared" si="76"/>
        <v>9</v>
      </c>
      <c r="C736" s="4">
        <f t="shared" si="77"/>
        <v>23</v>
      </c>
      <c r="D736" s="4">
        <f t="shared" si="78"/>
        <v>8</v>
      </c>
      <c r="E736" s="4" t="s">
        <v>27</v>
      </c>
      <c r="F736" s="4">
        <f t="shared" si="72"/>
        <v>800</v>
      </c>
      <c r="G736" s="5">
        <f t="shared" si="79"/>
        <v>1.01</v>
      </c>
      <c r="H736" s="6" t="str">
        <f t="shared" si="73"/>
        <v>INSERT INTO public.coupon (plancode, age, "year", couponrate, benefittype, benefitrate, premiumrate) VALUES('EN60', 9, 23, 8, 'A',800, 1.01);</v>
      </c>
      <c r="I736" s="6" t="str">
        <f t="shared" si="74"/>
        <v>{"age":"9", "year":"23", "couponrate":"8", "benefittype":"A", "benefitrate":"800", "premiumrate":"1.01"}</v>
      </c>
      <c r="J736" s="6" t="str">
        <f t="shared" si="75"/>
        <v>,</v>
      </c>
    </row>
    <row r="737" spans="1:10">
      <c r="A737" s="4" t="str">
        <f>'EN60'!A$3</f>
        <v>EN60</v>
      </c>
      <c r="B737" s="4">
        <f t="shared" si="76"/>
        <v>9</v>
      </c>
      <c r="C737" s="4">
        <f t="shared" si="77"/>
        <v>24</v>
      </c>
      <c r="D737" s="4">
        <f t="shared" si="78"/>
        <v>8</v>
      </c>
      <c r="E737" s="4" t="s">
        <v>27</v>
      </c>
      <c r="F737" s="4">
        <f t="shared" si="72"/>
        <v>800</v>
      </c>
      <c r="G737" s="5">
        <f t="shared" si="79"/>
        <v>1.01</v>
      </c>
      <c r="H737" s="6" t="str">
        <f t="shared" si="73"/>
        <v>INSERT INTO public.coupon (plancode, age, "year", couponrate, benefittype, benefitrate, premiumrate) VALUES('EN60', 9, 24, 8, 'A',800, 1.01);</v>
      </c>
      <c r="I737" s="6" t="str">
        <f t="shared" si="74"/>
        <v>{"age":"9", "year":"24", "couponrate":"8", "benefittype":"A", "benefitrate":"800", "premiumrate":"1.01"}</v>
      </c>
      <c r="J737" s="6" t="str">
        <f t="shared" si="75"/>
        <v>,</v>
      </c>
    </row>
    <row r="738" spans="1:10">
      <c r="A738" s="4" t="str">
        <f>'EN60'!A$3</f>
        <v>EN60</v>
      </c>
      <c r="B738" s="4">
        <f t="shared" si="76"/>
        <v>9</v>
      </c>
      <c r="C738" s="4">
        <f t="shared" si="77"/>
        <v>25</v>
      </c>
      <c r="D738" s="4">
        <f t="shared" si="78"/>
        <v>8</v>
      </c>
      <c r="E738" s="4" t="s">
        <v>27</v>
      </c>
      <c r="F738" s="4">
        <f t="shared" si="72"/>
        <v>800</v>
      </c>
      <c r="G738" s="5">
        <f t="shared" si="79"/>
        <v>1.01</v>
      </c>
      <c r="H738" s="6" t="str">
        <f t="shared" si="73"/>
        <v>INSERT INTO public.coupon (plancode, age, "year", couponrate, benefittype, benefitrate, premiumrate) VALUES('EN60', 9, 25, 8, 'A',800, 1.01);</v>
      </c>
      <c r="I738" s="6" t="str">
        <f t="shared" si="74"/>
        <v>{"age":"9", "year":"25", "couponrate":"8", "benefittype":"A", "benefitrate":"800", "premiumrate":"1.01"}</v>
      </c>
      <c r="J738" s="6" t="str">
        <f t="shared" si="75"/>
        <v>,</v>
      </c>
    </row>
    <row r="739" spans="1:10">
      <c r="A739" s="4" t="str">
        <f>'EN60'!A$3</f>
        <v>EN60</v>
      </c>
      <c r="B739" s="4">
        <f t="shared" si="76"/>
        <v>9</v>
      </c>
      <c r="C739" s="4">
        <f t="shared" si="77"/>
        <v>26</v>
      </c>
      <c r="D739" s="4">
        <f t="shared" si="78"/>
        <v>8</v>
      </c>
      <c r="E739" s="4" t="s">
        <v>27</v>
      </c>
      <c r="F739" s="4">
        <f t="shared" si="72"/>
        <v>800</v>
      </c>
      <c r="G739" s="5">
        <f t="shared" si="79"/>
        <v>1.01</v>
      </c>
      <c r="H739" s="6" t="str">
        <f t="shared" si="73"/>
        <v>INSERT INTO public.coupon (plancode, age, "year", couponrate, benefittype, benefitrate, premiumrate) VALUES('EN60', 9, 26, 8, 'A',800, 1.01);</v>
      </c>
      <c r="I739" s="6" t="str">
        <f t="shared" si="74"/>
        <v>{"age":"9", "year":"26", "couponrate":"8", "benefittype":"A", "benefitrate":"800", "premiumrate":"1.01"}</v>
      </c>
      <c r="J739" s="6" t="str">
        <f t="shared" si="75"/>
        <v>,</v>
      </c>
    </row>
    <row r="740" spans="1:10">
      <c r="A740" s="4" t="str">
        <f>'EN60'!A$3</f>
        <v>EN60</v>
      </c>
      <c r="B740" s="4">
        <f t="shared" si="76"/>
        <v>9</v>
      </c>
      <c r="C740" s="4">
        <f t="shared" si="77"/>
        <v>27</v>
      </c>
      <c r="D740" s="4">
        <f t="shared" si="78"/>
        <v>8</v>
      </c>
      <c r="E740" s="4" t="s">
        <v>27</v>
      </c>
      <c r="F740" s="4">
        <f t="shared" si="72"/>
        <v>800</v>
      </c>
      <c r="G740" s="5">
        <f t="shared" si="79"/>
        <v>1.01</v>
      </c>
      <c r="H740" s="6" t="str">
        <f t="shared" si="73"/>
        <v>INSERT INTO public.coupon (plancode, age, "year", couponrate, benefittype, benefitrate, premiumrate) VALUES('EN60', 9, 27, 8, 'A',800, 1.01);</v>
      </c>
      <c r="I740" s="6" t="str">
        <f t="shared" si="74"/>
        <v>{"age":"9", "year":"27", "couponrate":"8", "benefittype":"A", "benefitrate":"800", "premiumrate":"1.01"}</v>
      </c>
      <c r="J740" s="6" t="str">
        <f t="shared" si="75"/>
        <v>,</v>
      </c>
    </row>
    <row r="741" spans="1:10">
      <c r="A741" s="4" t="str">
        <f>'EN60'!A$3</f>
        <v>EN60</v>
      </c>
      <c r="B741" s="4">
        <f t="shared" si="76"/>
        <v>9</v>
      </c>
      <c r="C741" s="4">
        <f t="shared" si="77"/>
        <v>28</v>
      </c>
      <c r="D741" s="4">
        <f t="shared" si="78"/>
        <v>8</v>
      </c>
      <c r="E741" s="4" t="s">
        <v>27</v>
      </c>
      <c r="F741" s="4">
        <f t="shared" si="72"/>
        <v>800</v>
      </c>
      <c r="G741" s="5">
        <f t="shared" si="79"/>
        <v>1.01</v>
      </c>
      <c r="H741" s="6" t="str">
        <f t="shared" si="73"/>
        <v>INSERT INTO public.coupon (plancode, age, "year", couponrate, benefittype, benefitrate, premiumrate) VALUES('EN60', 9, 28, 8, 'A',800, 1.01);</v>
      </c>
      <c r="I741" s="6" t="str">
        <f t="shared" si="74"/>
        <v>{"age":"9", "year":"28", "couponrate":"8", "benefittype":"A", "benefitrate":"800", "premiumrate":"1.01"}</v>
      </c>
      <c r="J741" s="6" t="str">
        <f t="shared" si="75"/>
        <v>,</v>
      </c>
    </row>
    <row r="742" spans="1:10">
      <c r="A742" s="4" t="str">
        <f>'EN60'!A$3</f>
        <v>EN60</v>
      </c>
      <c r="B742" s="4">
        <f t="shared" si="76"/>
        <v>9</v>
      </c>
      <c r="C742" s="4">
        <f t="shared" si="77"/>
        <v>29</v>
      </c>
      <c r="D742" s="4">
        <f t="shared" si="78"/>
        <v>8</v>
      </c>
      <c r="E742" s="4" t="s">
        <v>27</v>
      </c>
      <c r="F742" s="4">
        <f t="shared" si="72"/>
        <v>800</v>
      </c>
      <c r="G742" s="5">
        <f t="shared" si="79"/>
        <v>1.01</v>
      </c>
      <c r="H742" s="6" t="str">
        <f t="shared" si="73"/>
        <v>INSERT INTO public.coupon (plancode, age, "year", couponrate, benefittype, benefitrate, premiumrate) VALUES('EN60', 9, 29, 8, 'A',800, 1.01);</v>
      </c>
      <c r="I742" s="6" t="str">
        <f t="shared" si="74"/>
        <v>{"age":"9", "year":"29", "couponrate":"8", "benefittype":"A", "benefitrate":"800", "premiumrate":"1.01"}</v>
      </c>
      <c r="J742" s="6" t="str">
        <f t="shared" si="75"/>
        <v>,</v>
      </c>
    </row>
    <row r="743" spans="1:10">
      <c r="A743" s="4" t="str">
        <f>'EN60'!A$3</f>
        <v>EN60</v>
      </c>
      <c r="B743" s="4">
        <f t="shared" si="76"/>
        <v>9</v>
      </c>
      <c r="C743" s="4">
        <f t="shared" si="77"/>
        <v>30</v>
      </c>
      <c r="D743" s="4">
        <f t="shared" si="78"/>
        <v>8</v>
      </c>
      <c r="E743" s="4" t="s">
        <v>27</v>
      </c>
      <c r="F743" s="4">
        <f t="shared" si="72"/>
        <v>800</v>
      </c>
      <c r="G743" s="5">
        <f t="shared" si="79"/>
        <v>1.01</v>
      </c>
      <c r="H743" s="6" t="str">
        <f t="shared" si="73"/>
        <v>INSERT INTO public.coupon (plancode, age, "year", couponrate, benefittype, benefitrate, premiumrate) VALUES('EN60', 9, 30, 8, 'A',800, 1.01);</v>
      </c>
      <c r="I743" s="6" t="str">
        <f t="shared" si="74"/>
        <v>{"age":"9", "year":"30", "couponrate":"8", "benefittype":"A", "benefitrate":"800", "premiumrate":"1.01"}</v>
      </c>
      <c r="J743" s="6" t="str">
        <f t="shared" si="75"/>
        <v>,</v>
      </c>
    </row>
    <row r="744" spans="1:10">
      <c r="A744" s="4" t="str">
        <f>'EN60'!A$3</f>
        <v>EN60</v>
      </c>
      <c r="B744" s="4">
        <f t="shared" si="76"/>
        <v>9</v>
      </c>
      <c r="C744" s="4">
        <f t="shared" si="77"/>
        <v>31</v>
      </c>
      <c r="D744" s="4">
        <f t="shared" si="78"/>
        <v>8</v>
      </c>
      <c r="E744" s="4" t="s">
        <v>27</v>
      </c>
      <c r="F744" s="4">
        <f t="shared" si="72"/>
        <v>800</v>
      </c>
      <c r="G744" s="5">
        <f t="shared" si="79"/>
        <v>1.01</v>
      </c>
      <c r="H744" s="6" t="str">
        <f t="shared" si="73"/>
        <v>INSERT INTO public.coupon (plancode, age, "year", couponrate, benefittype, benefitrate, premiumrate) VALUES('EN60', 9, 31, 8, 'A',800, 1.01);</v>
      </c>
      <c r="I744" s="6" t="str">
        <f t="shared" si="74"/>
        <v>{"age":"9", "year":"31", "couponrate":"8", "benefittype":"A", "benefitrate":"800", "premiumrate":"1.01"}</v>
      </c>
      <c r="J744" s="6" t="str">
        <f t="shared" si="75"/>
        <v>,</v>
      </c>
    </row>
    <row r="745" spans="1:10">
      <c r="A745" s="4" t="str">
        <f>'EN60'!A$3</f>
        <v>EN60</v>
      </c>
      <c r="B745" s="4">
        <f t="shared" si="76"/>
        <v>9</v>
      </c>
      <c r="C745" s="4">
        <f t="shared" si="77"/>
        <v>32</v>
      </c>
      <c r="D745" s="4">
        <f t="shared" si="78"/>
        <v>8</v>
      </c>
      <c r="E745" s="4" t="s">
        <v>27</v>
      </c>
      <c r="F745" s="4">
        <f t="shared" si="72"/>
        <v>800</v>
      </c>
      <c r="G745" s="5">
        <f t="shared" si="79"/>
        <v>1.01</v>
      </c>
      <c r="H745" s="6" t="str">
        <f t="shared" si="73"/>
        <v>INSERT INTO public.coupon (plancode, age, "year", couponrate, benefittype, benefitrate, premiumrate) VALUES('EN60', 9, 32, 8, 'A',800, 1.01);</v>
      </c>
      <c r="I745" s="6" t="str">
        <f t="shared" si="74"/>
        <v>{"age":"9", "year":"32", "couponrate":"8", "benefittype":"A", "benefitrate":"800", "premiumrate":"1.01"}</v>
      </c>
      <c r="J745" s="6" t="str">
        <f t="shared" si="75"/>
        <v>,</v>
      </c>
    </row>
    <row r="746" spans="1:10">
      <c r="A746" s="4" t="str">
        <f>'EN60'!A$3</f>
        <v>EN60</v>
      </c>
      <c r="B746" s="4">
        <f t="shared" si="76"/>
        <v>9</v>
      </c>
      <c r="C746" s="4">
        <f t="shared" si="77"/>
        <v>33</v>
      </c>
      <c r="D746" s="4">
        <f t="shared" si="78"/>
        <v>8</v>
      </c>
      <c r="E746" s="4" t="s">
        <v>27</v>
      </c>
      <c r="F746" s="4">
        <f t="shared" si="72"/>
        <v>800</v>
      </c>
      <c r="G746" s="5">
        <f t="shared" si="79"/>
        <v>1.01</v>
      </c>
      <c r="H746" s="6" t="str">
        <f t="shared" si="73"/>
        <v>INSERT INTO public.coupon (plancode, age, "year", couponrate, benefittype, benefitrate, premiumrate) VALUES('EN60', 9, 33, 8, 'A',800, 1.01);</v>
      </c>
      <c r="I746" s="6" t="str">
        <f t="shared" si="74"/>
        <v>{"age":"9", "year":"33", "couponrate":"8", "benefittype":"A", "benefitrate":"800", "premiumrate":"1.01"}</v>
      </c>
      <c r="J746" s="6" t="str">
        <f t="shared" si="75"/>
        <v>,</v>
      </c>
    </row>
    <row r="747" spans="1:10">
      <c r="A747" s="4" t="str">
        <f>'EN60'!A$3</f>
        <v>EN60</v>
      </c>
      <c r="B747" s="4">
        <f t="shared" si="76"/>
        <v>9</v>
      </c>
      <c r="C747" s="4">
        <f t="shared" si="77"/>
        <v>34</v>
      </c>
      <c r="D747" s="4">
        <f t="shared" si="78"/>
        <v>8</v>
      </c>
      <c r="E747" s="4" t="s">
        <v>27</v>
      </c>
      <c r="F747" s="4">
        <f t="shared" si="72"/>
        <v>800</v>
      </c>
      <c r="G747" s="5">
        <f t="shared" si="79"/>
        <v>1.01</v>
      </c>
      <c r="H747" s="6" t="str">
        <f t="shared" si="73"/>
        <v>INSERT INTO public.coupon (plancode, age, "year", couponrate, benefittype, benefitrate, premiumrate) VALUES('EN60', 9, 34, 8, 'A',800, 1.01);</v>
      </c>
      <c r="I747" s="6" t="str">
        <f t="shared" si="74"/>
        <v>{"age":"9", "year":"34", "couponrate":"8", "benefittype":"A", "benefitrate":"800", "premiumrate":"1.01"}</v>
      </c>
      <c r="J747" s="6" t="str">
        <f t="shared" si="75"/>
        <v>,</v>
      </c>
    </row>
    <row r="748" spans="1:10">
      <c r="A748" s="4" t="str">
        <f>'EN60'!A$3</f>
        <v>EN60</v>
      </c>
      <c r="B748" s="4">
        <f t="shared" si="76"/>
        <v>9</v>
      </c>
      <c r="C748" s="4">
        <f t="shared" si="77"/>
        <v>35</v>
      </c>
      <c r="D748" s="4">
        <f t="shared" si="78"/>
        <v>8</v>
      </c>
      <c r="E748" s="4" t="s">
        <v>27</v>
      </c>
      <c r="F748" s="4">
        <f t="shared" si="72"/>
        <v>800</v>
      </c>
      <c r="G748" s="5">
        <f t="shared" si="79"/>
        <v>1.01</v>
      </c>
      <c r="H748" s="6" t="str">
        <f t="shared" si="73"/>
        <v>INSERT INTO public.coupon (plancode, age, "year", couponrate, benefittype, benefitrate, premiumrate) VALUES('EN60', 9, 35, 8, 'A',800, 1.01);</v>
      </c>
      <c r="I748" s="6" t="str">
        <f t="shared" si="74"/>
        <v>{"age":"9", "year":"35", "couponrate":"8", "benefittype":"A", "benefitrate":"800", "premiumrate":"1.01"}</v>
      </c>
      <c r="J748" s="6" t="str">
        <f t="shared" si="75"/>
        <v>,</v>
      </c>
    </row>
    <row r="749" spans="1:10">
      <c r="A749" s="4" t="str">
        <f>'EN60'!A$3</f>
        <v>EN60</v>
      </c>
      <c r="B749" s="4">
        <f t="shared" si="76"/>
        <v>9</v>
      </c>
      <c r="C749" s="4">
        <f t="shared" si="77"/>
        <v>36</v>
      </c>
      <c r="D749" s="4">
        <f t="shared" si="78"/>
        <v>8</v>
      </c>
      <c r="E749" s="4" t="s">
        <v>27</v>
      </c>
      <c r="F749" s="4">
        <f t="shared" si="72"/>
        <v>800</v>
      </c>
      <c r="G749" s="5">
        <f t="shared" si="79"/>
        <v>1.01</v>
      </c>
      <c r="H749" s="6" t="str">
        <f t="shared" si="73"/>
        <v>INSERT INTO public.coupon (plancode, age, "year", couponrate, benefittype, benefitrate, premiumrate) VALUES('EN60', 9, 36, 8, 'A',800, 1.01);</v>
      </c>
      <c r="I749" s="6" t="str">
        <f t="shared" si="74"/>
        <v>{"age":"9", "year":"36", "couponrate":"8", "benefittype":"A", "benefitrate":"800", "premiumrate":"1.01"}</v>
      </c>
      <c r="J749" s="6" t="str">
        <f t="shared" si="75"/>
        <v>,</v>
      </c>
    </row>
    <row r="750" spans="1:10">
      <c r="A750" s="4" t="str">
        <f>'EN60'!A$3</f>
        <v>EN60</v>
      </c>
      <c r="B750" s="4">
        <f t="shared" si="76"/>
        <v>9</v>
      </c>
      <c r="C750" s="4">
        <f t="shared" si="77"/>
        <v>37</v>
      </c>
      <c r="D750" s="4">
        <f t="shared" si="78"/>
        <v>8</v>
      </c>
      <c r="E750" s="4" t="s">
        <v>27</v>
      </c>
      <c r="F750" s="4">
        <f t="shared" si="72"/>
        <v>800</v>
      </c>
      <c r="G750" s="5">
        <f t="shared" si="79"/>
        <v>1.01</v>
      </c>
      <c r="H750" s="6" t="str">
        <f t="shared" si="73"/>
        <v>INSERT INTO public.coupon (plancode, age, "year", couponrate, benefittype, benefitrate, premiumrate) VALUES('EN60', 9, 37, 8, 'A',800, 1.01);</v>
      </c>
      <c r="I750" s="6" t="str">
        <f t="shared" si="74"/>
        <v>{"age":"9", "year":"37", "couponrate":"8", "benefittype":"A", "benefitrate":"800", "premiumrate":"1.01"}</v>
      </c>
      <c r="J750" s="6" t="str">
        <f t="shared" si="75"/>
        <v>,</v>
      </c>
    </row>
    <row r="751" spans="1:10">
      <c r="A751" s="4" t="str">
        <f>'EN60'!A$3</f>
        <v>EN60</v>
      </c>
      <c r="B751" s="4">
        <f t="shared" si="76"/>
        <v>9</v>
      </c>
      <c r="C751" s="4">
        <f t="shared" si="77"/>
        <v>38</v>
      </c>
      <c r="D751" s="4">
        <f t="shared" si="78"/>
        <v>8</v>
      </c>
      <c r="E751" s="4" t="s">
        <v>27</v>
      </c>
      <c r="F751" s="4">
        <f t="shared" si="72"/>
        <v>800</v>
      </c>
      <c r="G751" s="5">
        <f t="shared" si="79"/>
        <v>1.01</v>
      </c>
      <c r="H751" s="6" t="str">
        <f t="shared" si="73"/>
        <v>INSERT INTO public.coupon (plancode, age, "year", couponrate, benefittype, benefitrate, premiumrate) VALUES('EN60', 9, 38, 8, 'A',800, 1.01);</v>
      </c>
      <c r="I751" s="6" t="str">
        <f t="shared" si="74"/>
        <v>{"age":"9", "year":"38", "couponrate":"8", "benefittype":"A", "benefitrate":"800", "premiumrate":"1.01"}</v>
      </c>
      <c r="J751" s="6" t="str">
        <f t="shared" si="75"/>
        <v>,</v>
      </c>
    </row>
    <row r="752" spans="1:10">
      <c r="A752" s="4" t="str">
        <f>'EN60'!A$3</f>
        <v>EN60</v>
      </c>
      <c r="B752" s="4">
        <f t="shared" si="76"/>
        <v>9</v>
      </c>
      <c r="C752" s="4">
        <f t="shared" si="77"/>
        <v>39</v>
      </c>
      <c r="D752" s="4">
        <f t="shared" si="78"/>
        <v>8</v>
      </c>
      <c r="E752" s="4" t="s">
        <v>27</v>
      </c>
      <c r="F752" s="4">
        <f t="shared" si="72"/>
        <v>800</v>
      </c>
      <c r="G752" s="5">
        <f t="shared" si="79"/>
        <v>1.01</v>
      </c>
      <c r="H752" s="6" t="str">
        <f t="shared" si="73"/>
        <v>INSERT INTO public.coupon (plancode, age, "year", couponrate, benefittype, benefitrate, premiumrate) VALUES('EN60', 9, 39, 8, 'A',800, 1.01);</v>
      </c>
      <c r="I752" s="6" t="str">
        <f t="shared" si="74"/>
        <v>{"age":"9", "year":"39", "couponrate":"8", "benefittype":"A", "benefitrate":"800", "premiumrate":"1.01"}</v>
      </c>
      <c r="J752" s="6" t="str">
        <f t="shared" si="75"/>
        <v>,</v>
      </c>
    </row>
    <row r="753" spans="1:10">
      <c r="A753" s="4" t="str">
        <f>'EN60'!A$3</f>
        <v>EN60</v>
      </c>
      <c r="B753" s="4">
        <f t="shared" si="76"/>
        <v>9</v>
      </c>
      <c r="C753" s="4">
        <f t="shared" si="77"/>
        <v>40</v>
      </c>
      <c r="D753" s="4">
        <f t="shared" si="78"/>
        <v>8</v>
      </c>
      <c r="E753" s="4" t="s">
        <v>27</v>
      </c>
      <c r="F753" s="4">
        <f t="shared" si="72"/>
        <v>800</v>
      </c>
      <c r="G753" s="5">
        <f t="shared" si="79"/>
        <v>1.01</v>
      </c>
      <c r="H753" s="6" t="str">
        <f t="shared" si="73"/>
        <v>INSERT INTO public.coupon (plancode, age, "year", couponrate, benefittype, benefitrate, premiumrate) VALUES('EN60', 9, 40, 8, 'A',800, 1.01);</v>
      </c>
      <c r="I753" s="6" t="str">
        <f t="shared" si="74"/>
        <v>{"age":"9", "year":"40", "couponrate":"8", "benefittype":"A", "benefitrate":"800", "premiumrate":"1.01"}</v>
      </c>
      <c r="J753" s="6" t="str">
        <f t="shared" si="75"/>
        <v>,</v>
      </c>
    </row>
    <row r="754" spans="1:10">
      <c r="A754" s="4" t="str">
        <f>'EN60'!A$3</f>
        <v>EN60</v>
      </c>
      <c r="B754" s="4">
        <f t="shared" si="76"/>
        <v>9</v>
      </c>
      <c r="C754" s="4">
        <f t="shared" si="77"/>
        <v>41</v>
      </c>
      <c r="D754" s="4">
        <f t="shared" si="78"/>
        <v>8</v>
      </c>
      <c r="E754" s="4" t="s">
        <v>27</v>
      </c>
      <c r="F754" s="4">
        <f t="shared" si="72"/>
        <v>800</v>
      </c>
      <c r="G754" s="5">
        <f t="shared" si="79"/>
        <v>1.01</v>
      </c>
      <c r="H754" s="6" t="str">
        <f t="shared" si="73"/>
        <v>INSERT INTO public.coupon (plancode, age, "year", couponrate, benefittype, benefitrate, premiumrate) VALUES('EN60', 9, 41, 8, 'A',800, 1.01);</v>
      </c>
      <c r="I754" s="6" t="str">
        <f t="shared" si="74"/>
        <v>{"age":"9", "year":"41", "couponrate":"8", "benefittype":"A", "benefitrate":"800", "premiumrate":"1.01"}</v>
      </c>
      <c r="J754" s="6" t="str">
        <f t="shared" si="75"/>
        <v>,</v>
      </c>
    </row>
    <row r="755" spans="1:10">
      <c r="A755" s="4" t="str">
        <f>'EN60'!A$3</f>
        <v>EN60</v>
      </c>
      <c r="B755" s="4">
        <f t="shared" si="76"/>
        <v>9</v>
      </c>
      <c r="C755" s="4">
        <f t="shared" si="77"/>
        <v>42</v>
      </c>
      <c r="D755" s="4">
        <f t="shared" si="78"/>
        <v>8</v>
      </c>
      <c r="E755" s="4" t="s">
        <v>27</v>
      </c>
      <c r="F755" s="4">
        <f t="shared" si="72"/>
        <v>800</v>
      </c>
      <c r="G755" s="5">
        <f t="shared" si="79"/>
        <v>1.01</v>
      </c>
      <c r="H755" s="6" t="str">
        <f t="shared" si="73"/>
        <v>INSERT INTO public.coupon (plancode, age, "year", couponrate, benefittype, benefitrate, premiumrate) VALUES('EN60', 9, 42, 8, 'A',800, 1.01);</v>
      </c>
      <c r="I755" s="6" t="str">
        <f t="shared" si="74"/>
        <v>{"age":"9", "year":"42", "couponrate":"8", "benefittype":"A", "benefitrate":"800", "premiumrate":"1.01"}</v>
      </c>
      <c r="J755" s="6" t="str">
        <f t="shared" si="75"/>
        <v>,</v>
      </c>
    </row>
    <row r="756" spans="1:10">
      <c r="A756" s="4" t="str">
        <f>'EN60'!A$3</f>
        <v>EN60</v>
      </c>
      <c r="B756" s="4">
        <f t="shared" si="76"/>
        <v>9</v>
      </c>
      <c r="C756" s="4">
        <f t="shared" si="77"/>
        <v>43</v>
      </c>
      <c r="D756" s="4">
        <f t="shared" si="78"/>
        <v>8</v>
      </c>
      <c r="E756" s="4" t="s">
        <v>27</v>
      </c>
      <c r="F756" s="4">
        <f t="shared" si="72"/>
        <v>800</v>
      </c>
      <c r="G756" s="5">
        <f t="shared" si="79"/>
        <v>1.01</v>
      </c>
      <c r="H756" s="6" t="str">
        <f t="shared" si="73"/>
        <v>INSERT INTO public.coupon (plancode, age, "year", couponrate, benefittype, benefitrate, premiumrate) VALUES('EN60', 9, 43, 8, 'A',800, 1.01);</v>
      </c>
      <c r="I756" s="6" t="str">
        <f t="shared" si="74"/>
        <v>{"age":"9", "year":"43", "couponrate":"8", "benefittype":"A", "benefitrate":"800", "premiumrate":"1.01"}</v>
      </c>
      <c r="J756" s="6" t="str">
        <f t="shared" si="75"/>
        <v>,</v>
      </c>
    </row>
    <row r="757" spans="1:10">
      <c r="A757" s="4" t="str">
        <f>'EN60'!A$3</f>
        <v>EN60</v>
      </c>
      <c r="B757" s="4">
        <f t="shared" si="76"/>
        <v>9</v>
      </c>
      <c r="C757" s="4">
        <f t="shared" si="77"/>
        <v>44</v>
      </c>
      <c r="D757" s="4">
        <f t="shared" si="78"/>
        <v>8</v>
      </c>
      <c r="E757" s="4" t="s">
        <v>27</v>
      </c>
      <c r="F757" s="4">
        <f t="shared" si="72"/>
        <v>800</v>
      </c>
      <c r="G757" s="5">
        <f t="shared" si="79"/>
        <v>1.01</v>
      </c>
      <c r="H757" s="6" t="str">
        <f t="shared" si="73"/>
        <v>INSERT INTO public.coupon (plancode, age, "year", couponrate, benefittype, benefitrate, premiumrate) VALUES('EN60', 9, 44, 8, 'A',800, 1.01);</v>
      </c>
      <c r="I757" s="6" t="str">
        <f t="shared" si="74"/>
        <v>{"age":"9", "year":"44", "couponrate":"8", "benefittype":"A", "benefitrate":"800", "premiumrate":"1.01"}</v>
      </c>
      <c r="J757" s="6" t="str">
        <f t="shared" si="75"/>
        <v>,</v>
      </c>
    </row>
    <row r="758" spans="1:10">
      <c r="A758" s="4" t="str">
        <f>'EN60'!A$3</f>
        <v>EN60</v>
      </c>
      <c r="B758" s="4">
        <f t="shared" si="76"/>
        <v>9</v>
      </c>
      <c r="C758" s="4">
        <f t="shared" si="77"/>
        <v>45</v>
      </c>
      <c r="D758" s="4">
        <f t="shared" si="78"/>
        <v>8</v>
      </c>
      <c r="E758" s="4" t="s">
        <v>27</v>
      </c>
      <c r="F758" s="4">
        <f t="shared" si="72"/>
        <v>800</v>
      </c>
      <c r="G758" s="5">
        <f t="shared" si="79"/>
        <v>1.01</v>
      </c>
      <c r="H758" s="6" t="str">
        <f t="shared" si="73"/>
        <v>INSERT INTO public.coupon (plancode, age, "year", couponrate, benefittype, benefitrate, premiumrate) VALUES('EN60', 9, 45, 8, 'A',800, 1.01);</v>
      </c>
      <c r="I758" s="6" t="str">
        <f t="shared" si="74"/>
        <v>{"age":"9", "year":"45", "couponrate":"8", "benefittype":"A", "benefitrate":"800", "premiumrate":"1.01"}</v>
      </c>
      <c r="J758" s="6" t="str">
        <f t="shared" si="75"/>
        <v>,</v>
      </c>
    </row>
    <row r="759" spans="1:10">
      <c r="A759" s="4" t="str">
        <f>'EN60'!A$3</f>
        <v>EN60</v>
      </c>
      <c r="B759" s="4">
        <f t="shared" si="76"/>
        <v>9</v>
      </c>
      <c r="C759" s="4">
        <f t="shared" si="77"/>
        <v>46</v>
      </c>
      <c r="D759" s="4">
        <f t="shared" si="78"/>
        <v>8</v>
      </c>
      <c r="E759" s="4" t="s">
        <v>27</v>
      </c>
      <c r="F759" s="4">
        <f t="shared" si="72"/>
        <v>800</v>
      </c>
      <c r="G759" s="5">
        <f t="shared" si="79"/>
        <v>1.01</v>
      </c>
      <c r="H759" s="6" t="str">
        <f t="shared" si="73"/>
        <v>INSERT INTO public.coupon (plancode, age, "year", couponrate, benefittype, benefitrate, premiumrate) VALUES('EN60', 9, 46, 8, 'A',800, 1.01);</v>
      </c>
      <c r="I759" s="6" t="str">
        <f t="shared" si="74"/>
        <v>{"age":"9", "year":"46", "couponrate":"8", "benefittype":"A", "benefitrate":"800", "premiumrate":"1.01"}</v>
      </c>
      <c r="J759" s="6" t="str">
        <f t="shared" si="75"/>
        <v>,</v>
      </c>
    </row>
    <row r="760" spans="1:10">
      <c r="A760" s="4" t="str">
        <f>'EN60'!A$3</f>
        <v>EN60</v>
      </c>
      <c r="B760" s="4">
        <f t="shared" si="76"/>
        <v>9</v>
      </c>
      <c r="C760" s="4">
        <f t="shared" si="77"/>
        <v>47</v>
      </c>
      <c r="D760" s="4">
        <f t="shared" si="78"/>
        <v>8</v>
      </c>
      <c r="E760" s="4" t="s">
        <v>27</v>
      </c>
      <c r="F760" s="4">
        <f t="shared" si="72"/>
        <v>800</v>
      </c>
      <c r="G760" s="5">
        <f t="shared" si="79"/>
        <v>1.01</v>
      </c>
      <c r="H760" s="6" t="str">
        <f t="shared" si="73"/>
        <v>INSERT INTO public.coupon (plancode, age, "year", couponrate, benefittype, benefitrate, premiumrate) VALUES('EN60', 9, 47, 8, 'A',800, 1.01);</v>
      </c>
      <c r="I760" s="6" t="str">
        <f t="shared" si="74"/>
        <v>{"age":"9", "year":"47", "couponrate":"8", "benefittype":"A", "benefitrate":"800", "premiumrate":"1.01"}</v>
      </c>
      <c r="J760" s="6" t="str">
        <f t="shared" si="75"/>
        <v>,</v>
      </c>
    </row>
    <row r="761" spans="1:10">
      <c r="A761" s="4" t="str">
        <f>'EN60'!A$3</f>
        <v>EN60</v>
      </c>
      <c r="B761" s="4">
        <f t="shared" si="76"/>
        <v>9</v>
      </c>
      <c r="C761" s="4">
        <f t="shared" si="77"/>
        <v>48</v>
      </c>
      <c r="D761" s="4">
        <f t="shared" si="78"/>
        <v>8</v>
      </c>
      <c r="E761" s="4" t="s">
        <v>27</v>
      </c>
      <c r="F761" s="4">
        <f t="shared" si="72"/>
        <v>800</v>
      </c>
      <c r="G761" s="5">
        <f t="shared" si="79"/>
        <v>1.01</v>
      </c>
      <c r="H761" s="6" t="str">
        <f t="shared" si="73"/>
        <v>INSERT INTO public.coupon (plancode, age, "year", couponrate, benefittype, benefitrate, premiumrate) VALUES('EN60', 9, 48, 8, 'A',800, 1.01);</v>
      </c>
      <c r="I761" s="6" t="str">
        <f t="shared" si="74"/>
        <v>{"age":"9", "year":"48", "couponrate":"8", "benefittype":"A", "benefitrate":"800", "premiumrate":"1.01"}</v>
      </c>
      <c r="J761" s="6" t="str">
        <f t="shared" si="75"/>
        <v>,</v>
      </c>
    </row>
    <row r="762" spans="1:10">
      <c r="A762" s="4" t="str">
        <f>'EN60'!A$3</f>
        <v>EN60</v>
      </c>
      <c r="B762" s="4">
        <f t="shared" si="76"/>
        <v>9</v>
      </c>
      <c r="C762" s="4">
        <f t="shared" si="77"/>
        <v>49</v>
      </c>
      <c r="D762" s="4">
        <f t="shared" si="78"/>
        <v>8</v>
      </c>
      <c r="E762" s="4" t="s">
        <v>27</v>
      </c>
      <c r="F762" s="4">
        <f t="shared" si="72"/>
        <v>800</v>
      </c>
      <c r="G762" s="5">
        <f t="shared" si="79"/>
        <v>1.01</v>
      </c>
      <c r="H762" s="6" t="str">
        <f t="shared" si="73"/>
        <v>INSERT INTO public.coupon (plancode, age, "year", couponrate, benefittype, benefitrate, premiumrate) VALUES('EN60', 9, 49, 8, 'A',800, 1.01);</v>
      </c>
      <c r="I762" s="6" t="str">
        <f t="shared" si="74"/>
        <v>{"age":"9", "year":"49", "couponrate":"8", "benefittype":"A", "benefitrate":"800", "premiumrate":"1.01"}</v>
      </c>
      <c r="J762" s="6" t="str">
        <f t="shared" si="75"/>
        <v>,</v>
      </c>
    </row>
    <row r="763" spans="1:10">
      <c r="A763" s="4" t="str">
        <f>'EN60'!A$3</f>
        <v>EN60</v>
      </c>
      <c r="B763" s="4">
        <f t="shared" si="76"/>
        <v>9</v>
      </c>
      <c r="C763" s="4">
        <f t="shared" si="77"/>
        <v>50</v>
      </c>
      <c r="D763" s="4">
        <f t="shared" si="78"/>
        <v>8</v>
      </c>
      <c r="E763" s="4" t="s">
        <v>27</v>
      </c>
      <c r="F763" s="4">
        <f t="shared" si="72"/>
        <v>800</v>
      </c>
      <c r="G763" s="5">
        <f t="shared" si="79"/>
        <v>1.01</v>
      </c>
      <c r="H763" s="6" t="str">
        <f t="shared" si="73"/>
        <v>INSERT INTO public.coupon (plancode, age, "year", couponrate, benefittype, benefitrate, premiumrate) VALUES('EN60', 9, 50, 8, 'A',800, 1.01);</v>
      </c>
      <c r="I763" s="6" t="str">
        <f t="shared" si="74"/>
        <v>{"age":"9", "year":"50", "couponrate":"8", "benefittype":"A", "benefitrate":"800", "premiumrate":"1.01"}</v>
      </c>
      <c r="J763" s="6" t="str">
        <f t="shared" si="75"/>
        <v>,</v>
      </c>
    </row>
    <row r="764" spans="1:10">
      <c r="A764" s="4" t="str">
        <f>'EN60'!A$3</f>
        <v>EN60</v>
      </c>
      <c r="B764" s="4">
        <f t="shared" si="76"/>
        <v>9</v>
      </c>
      <c r="C764" s="4">
        <f t="shared" si="77"/>
        <v>51</v>
      </c>
      <c r="D764" s="4">
        <f t="shared" si="78"/>
        <v>8</v>
      </c>
      <c r="E764" s="4" t="s">
        <v>27</v>
      </c>
      <c r="F764" s="4">
        <f t="shared" si="72"/>
        <v>800</v>
      </c>
      <c r="G764" s="5">
        <f t="shared" si="79"/>
        <v>1.01</v>
      </c>
      <c r="H764" s="6" t="str">
        <f t="shared" si="73"/>
        <v>INSERT INTO public.coupon (plancode, age, "year", couponrate, benefittype, benefitrate, premiumrate) VALUES('EN60', 9, 51, 8, 'A',800, 1.01);</v>
      </c>
      <c r="I764" s="6" t="str">
        <f t="shared" si="74"/>
        <v>{"age":"9", "year":"51", "couponrate":"8", "benefittype":"A", "benefitrate":"800", "premiumrate":"1.01"}</v>
      </c>
      <c r="J764" s="6" t="str">
        <f t="shared" si="75"/>
        <v>,</v>
      </c>
    </row>
    <row r="765" spans="1:10">
      <c r="A765" s="4" t="str">
        <f>'EN60'!A$3</f>
        <v>EN60</v>
      </c>
      <c r="B765" s="4">
        <f t="shared" si="76"/>
        <v>9</v>
      </c>
      <c r="C765" s="4">
        <f t="shared" si="77"/>
        <v>52</v>
      </c>
      <c r="D765" s="4">
        <f t="shared" si="78"/>
        <v>8</v>
      </c>
      <c r="E765" s="4" t="s">
        <v>27</v>
      </c>
      <c r="F765" s="4">
        <f t="shared" si="72"/>
        <v>800</v>
      </c>
      <c r="G765" s="5">
        <f t="shared" si="79"/>
        <v>1.01</v>
      </c>
      <c r="H765" s="6" t="str">
        <f t="shared" si="73"/>
        <v>INSERT INTO public.coupon (plancode, age, "year", couponrate, benefittype, benefitrate, premiumrate) VALUES('EN60', 9, 52, 8, 'A',800, 1.01);</v>
      </c>
      <c r="I765" s="6" t="str">
        <f t="shared" si="74"/>
        <v>{"age":"9", "year":"52", "couponrate":"8", "benefittype":"A", "benefitrate":"800", "premiumrate":"1.01"}</v>
      </c>
      <c r="J765" s="6" t="str">
        <f t="shared" si="75"/>
        <v>,</v>
      </c>
    </row>
    <row r="766" spans="1:10">
      <c r="A766" s="4" t="str">
        <f>'EN60'!A$3</f>
        <v>EN60</v>
      </c>
      <c r="B766" s="4">
        <f t="shared" si="76"/>
        <v>9</v>
      </c>
      <c r="C766" s="4">
        <f t="shared" si="77"/>
        <v>53</v>
      </c>
      <c r="D766" s="4">
        <f t="shared" si="78"/>
        <v>8</v>
      </c>
      <c r="E766" s="4" t="s">
        <v>27</v>
      </c>
      <c r="F766" s="4">
        <f t="shared" si="72"/>
        <v>800</v>
      </c>
      <c r="G766" s="5">
        <f t="shared" si="79"/>
        <v>1.01</v>
      </c>
      <c r="H766" s="6" t="str">
        <f t="shared" si="73"/>
        <v>INSERT INTO public.coupon (plancode, age, "year", couponrate, benefittype, benefitrate, premiumrate) VALUES('EN60', 9, 53, 8, 'A',800, 1.01);</v>
      </c>
      <c r="I766" s="6" t="str">
        <f t="shared" si="74"/>
        <v>{"age":"9", "year":"53", "couponrate":"8", "benefittype":"A", "benefitrate":"800", "premiumrate":"1.01"}</v>
      </c>
      <c r="J766" s="6" t="str">
        <f t="shared" si="75"/>
        <v>,</v>
      </c>
    </row>
    <row r="767" spans="1:10">
      <c r="A767" s="4" t="str">
        <f>'EN60'!A$3</f>
        <v>EN60</v>
      </c>
      <c r="B767" s="4">
        <f t="shared" si="76"/>
        <v>9</v>
      </c>
      <c r="C767" s="4">
        <f t="shared" si="77"/>
        <v>54</v>
      </c>
      <c r="D767" s="4">
        <f t="shared" si="78"/>
        <v>8</v>
      </c>
      <c r="E767" s="4" t="s">
        <v>27</v>
      </c>
      <c r="F767" s="4">
        <f t="shared" si="72"/>
        <v>800</v>
      </c>
      <c r="G767" s="5">
        <f t="shared" si="79"/>
        <v>1.01</v>
      </c>
      <c r="H767" s="6" t="str">
        <f t="shared" si="73"/>
        <v>INSERT INTO public.coupon (plancode, age, "year", couponrate, benefittype, benefitrate, premiumrate) VALUES('EN60', 9, 54, 8, 'A',800, 1.01);</v>
      </c>
      <c r="I767" s="6" t="str">
        <f t="shared" si="74"/>
        <v>{"age":"9", "year":"54", "couponrate":"8", "benefittype":"A", "benefitrate":"800", "premiumrate":"1.01"}</v>
      </c>
      <c r="J767" s="6" t="str">
        <f t="shared" si="75"/>
        <v>,</v>
      </c>
    </row>
    <row r="768" spans="1:10">
      <c r="A768" s="4" t="str">
        <f>'EN60'!A$3</f>
        <v>EN60</v>
      </c>
      <c r="B768" s="4">
        <f t="shared" si="76"/>
        <v>9</v>
      </c>
      <c r="C768" s="4">
        <f t="shared" si="77"/>
        <v>55</v>
      </c>
      <c r="D768" s="4">
        <f t="shared" si="78"/>
        <v>8</v>
      </c>
      <c r="E768" s="4" t="s">
        <v>27</v>
      </c>
      <c r="F768" s="4">
        <f t="shared" si="72"/>
        <v>800</v>
      </c>
      <c r="G768" s="5">
        <f t="shared" si="79"/>
        <v>1.01</v>
      </c>
      <c r="H768" s="6" t="str">
        <f t="shared" si="73"/>
        <v>INSERT INTO public.coupon (plancode, age, "year", couponrate, benefittype, benefitrate, premiumrate) VALUES('EN60', 9, 55, 8, 'A',800, 1.01);</v>
      </c>
      <c r="I768" s="6" t="str">
        <f t="shared" si="74"/>
        <v>{"age":"9", "year":"55", "couponrate":"8", "benefittype":"A", "benefitrate":"800", "premiumrate":"1.01"}</v>
      </c>
      <c r="J768" s="6" t="str">
        <f t="shared" si="75"/>
        <v>,</v>
      </c>
    </row>
    <row r="769" spans="1:10">
      <c r="A769" s="4" t="str">
        <f>'EN60'!A$3</f>
        <v>EN60</v>
      </c>
      <c r="B769" s="4">
        <f t="shared" si="76"/>
        <v>9</v>
      </c>
      <c r="C769" s="4">
        <f t="shared" si="77"/>
        <v>56</v>
      </c>
      <c r="D769" s="4">
        <f t="shared" si="78"/>
        <v>8</v>
      </c>
      <c r="E769" s="4" t="s">
        <v>27</v>
      </c>
      <c r="F769" s="4">
        <f t="shared" si="72"/>
        <v>800</v>
      </c>
      <c r="G769" s="5">
        <f t="shared" si="79"/>
        <v>1.01</v>
      </c>
      <c r="H769" s="6" t="str">
        <f t="shared" si="73"/>
        <v>INSERT INTO public.coupon (plancode, age, "year", couponrate, benefittype, benefitrate, premiumrate) VALUES('EN60', 9, 56, 8, 'A',800, 1.01);</v>
      </c>
      <c r="I769" s="6" t="str">
        <f t="shared" si="74"/>
        <v>{"age":"9", "year":"56", "couponrate":"8", "benefittype":"A", "benefitrate":"800", "premiumrate":"1.01"}</v>
      </c>
      <c r="J769" s="6" t="str">
        <f t="shared" si="75"/>
        <v>,</v>
      </c>
    </row>
    <row r="770" spans="1:10">
      <c r="A770" s="4" t="str">
        <f>'EN60'!A$3</f>
        <v>EN60</v>
      </c>
      <c r="B770" s="4">
        <f t="shared" si="76"/>
        <v>9</v>
      </c>
      <c r="C770" s="4">
        <f t="shared" si="77"/>
        <v>57</v>
      </c>
      <c r="D770" s="4">
        <f t="shared" si="78"/>
        <v>8</v>
      </c>
      <c r="E770" s="4" t="s">
        <v>27</v>
      </c>
      <c r="F770" s="4">
        <f t="shared" si="72"/>
        <v>800</v>
      </c>
      <c r="G770" s="5">
        <f t="shared" si="79"/>
        <v>1.01</v>
      </c>
      <c r="H770" s="6" t="str">
        <f t="shared" si="73"/>
        <v>INSERT INTO public.coupon (plancode, age, "year", couponrate, benefittype, benefitrate, premiumrate) VALUES('EN60', 9, 57, 8, 'A',800, 1.01);</v>
      </c>
      <c r="I770" s="6" t="str">
        <f t="shared" si="74"/>
        <v>{"age":"9", "year":"57", "couponrate":"8", "benefittype":"A", "benefitrate":"800", "premiumrate":"1.01"}</v>
      </c>
      <c r="J770" s="6" t="str">
        <f t="shared" si="75"/>
        <v>,</v>
      </c>
    </row>
    <row r="771" spans="1:10">
      <c r="A771" s="4" t="str">
        <f>'EN60'!A$3</f>
        <v>EN60</v>
      </c>
      <c r="B771" s="4">
        <f t="shared" si="76"/>
        <v>9</v>
      </c>
      <c r="C771" s="4">
        <f t="shared" si="77"/>
        <v>58</v>
      </c>
      <c r="D771" s="4">
        <f t="shared" si="78"/>
        <v>8</v>
      </c>
      <c r="E771" s="4" t="s">
        <v>27</v>
      </c>
      <c r="F771" s="4">
        <f t="shared" si="72"/>
        <v>800</v>
      </c>
      <c r="G771" s="5">
        <f t="shared" si="79"/>
        <v>1.01</v>
      </c>
      <c r="H771" s="6" t="str">
        <f t="shared" si="73"/>
        <v>INSERT INTO public.coupon (plancode, age, "year", couponrate, benefittype, benefitrate, premiumrate) VALUES('EN60', 9, 58, 8, 'A',800, 1.01);</v>
      </c>
      <c r="I771" s="6" t="str">
        <f t="shared" si="74"/>
        <v>{"age":"9", "year":"58", "couponrate":"8", "benefittype":"A", "benefitrate":"800", "premiumrate":"1.01"}</v>
      </c>
      <c r="J771" s="6" t="str">
        <f t="shared" si="75"/>
        <v>,</v>
      </c>
    </row>
    <row r="772" spans="1:10">
      <c r="A772" s="4" t="str">
        <f>'EN60'!A$3</f>
        <v>EN60</v>
      </c>
      <c r="B772" s="4">
        <f t="shared" si="76"/>
        <v>9</v>
      </c>
      <c r="C772" s="4">
        <f t="shared" si="77"/>
        <v>59</v>
      </c>
      <c r="D772" s="4">
        <f t="shared" si="78"/>
        <v>8</v>
      </c>
      <c r="E772" s="4" t="s">
        <v>27</v>
      </c>
      <c r="F772" s="4">
        <f t="shared" si="72"/>
        <v>800</v>
      </c>
      <c r="G772" s="5">
        <f t="shared" si="79"/>
        <v>1.01</v>
      </c>
      <c r="H772" s="6" t="str">
        <f t="shared" si="73"/>
        <v>INSERT INTO public.coupon (plancode, age, "year", couponrate, benefittype, benefitrate, premiumrate) VALUES('EN60', 9, 59, 8, 'A',800, 1.01);</v>
      </c>
      <c r="I772" s="6" t="str">
        <f t="shared" si="74"/>
        <v>{"age":"9", "year":"59", "couponrate":"8", "benefittype":"A", "benefitrate":"800", "premiumrate":"1.01"}</v>
      </c>
      <c r="J772" s="6" t="str">
        <f t="shared" si="75"/>
        <v>,</v>
      </c>
    </row>
    <row r="773" spans="1:10">
      <c r="A773" s="4" t="str">
        <f>'EN60'!A$3</f>
        <v>EN60</v>
      </c>
      <c r="B773" s="4">
        <f t="shared" si="76"/>
        <v>9</v>
      </c>
      <c r="C773" s="4">
        <f t="shared" si="77"/>
        <v>60</v>
      </c>
      <c r="D773" s="4">
        <f t="shared" si="78"/>
        <v>8</v>
      </c>
      <c r="E773" s="4" t="s">
        <v>27</v>
      </c>
      <c r="F773" s="4">
        <f t="shared" si="72"/>
        <v>800</v>
      </c>
      <c r="G773" s="5">
        <f t="shared" si="79"/>
        <v>1.01</v>
      </c>
      <c r="H773" s="6" t="str">
        <f t="shared" si="73"/>
        <v>INSERT INTO public.coupon (plancode, age, "year", couponrate, benefittype, benefitrate, premiumrate) VALUES('EN60', 9, 60, 8, 'A',800, 1.01);</v>
      </c>
      <c r="I773" s="6" t="str">
        <f t="shared" si="74"/>
        <v>{"age":"9", "year":"60", "couponrate":"8", "benefittype":"A", "benefitrate":"800", "premiumrate":"1.01"}</v>
      </c>
      <c r="J773" s="6" t="str">
        <f t="shared" si="75"/>
        <v>,</v>
      </c>
    </row>
    <row r="774" spans="1:10">
      <c r="A774" s="4" t="str">
        <f>'EN60'!A$3</f>
        <v>EN60</v>
      </c>
      <c r="B774" s="4">
        <f t="shared" si="76"/>
        <v>9</v>
      </c>
      <c r="C774" s="4">
        <f t="shared" si="77"/>
        <v>61</v>
      </c>
      <c r="D774" s="4">
        <f t="shared" si="78"/>
        <v>8</v>
      </c>
      <c r="E774" s="4" t="s">
        <v>27</v>
      </c>
      <c r="F774" s="4">
        <f t="shared" si="72"/>
        <v>800</v>
      </c>
      <c r="G774" s="5">
        <f t="shared" si="79"/>
        <v>1.01</v>
      </c>
      <c r="H774" s="6" t="str">
        <f t="shared" si="73"/>
        <v>INSERT INTO public.coupon (plancode, age, "year", couponrate, benefittype, benefitrate, premiumrate) VALUES('EN60', 9, 61, 8, 'A',800, 1.01);</v>
      </c>
      <c r="I774" s="6" t="str">
        <f t="shared" si="74"/>
        <v>{"age":"9", "year":"61", "couponrate":"8", "benefittype":"A", "benefitrate":"800", "premiumrate":"1.01"}</v>
      </c>
      <c r="J774" s="6" t="str">
        <f t="shared" si="75"/>
        <v>,</v>
      </c>
    </row>
    <row r="775" spans="1:10">
      <c r="A775" s="4" t="str">
        <f>'EN60'!A$3</f>
        <v>EN60</v>
      </c>
      <c r="B775" s="4">
        <f t="shared" si="76"/>
        <v>9</v>
      </c>
      <c r="C775" s="4">
        <f t="shared" si="77"/>
        <v>62</v>
      </c>
      <c r="D775" s="4">
        <f t="shared" si="78"/>
        <v>8</v>
      </c>
      <c r="E775" s="4" t="s">
        <v>27</v>
      </c>
      <c r="F775" s="4">
        <f t="shared" si="72"/>
        <v>800</v>
      </c>
      <c r="G775" s="5">
        <f t="shared" si="79"/>
        <v>1.01</v>
      </c>
      <c r="H775" s="6" t="str">
        <f t="shared" si="73"/>
        <v>INSERT INTO public.coupon (plancode, age, "year", couponrate, benefittype, benefitrate, premiumrate) VALUES('EN60', 9, 62, 8, 'A',800, 1.01);</v>
      </c>
      <c r="I775" s="6" t="str">
        <f t="shared" si="74"/>
        <v>{"age":"9", "year":"62", "couponrate":"8", "benefittype":"A", "benefitrate":"800", "premiumrate":"1.01"}</v>
      </c>
      <c r="J775" s="6" t="str">
        <f t="shared" si="75"/>
        <v>,</v>
      </c>
    </row>
    <row r="776" spans="1:10">
      <c r="A776" s="4" t="str">
        <f>'EN60'!A$3</f>
        <v>EN60</v>
      </c>
      <c r="B776" s="4">
        <f t="shared" si="76"/>
        <v>9</v>
      </c>
      <c r="C776" s="4">
        <f t="shared" si="77"/>
        <v>63</v>
      </c>
      <c r="D776" s="4">
        <f t="shared" si="78"/>
        <v>8</v>
      </c>
      <c r="E776" s="4" t="s">
        <v>27</v>
      </c>
      <c r="F776" s="4">
        <f t="shared" si="72"/>
        <v>800</v>
      </c>
      <c r="G776" s="5">
        <f t="shared" si="79"/>
        <v>1.01</v>
      </c>
      <c r="H776" s="6" t="str">
        <f t="shared" si="73"/>
        <v>INSERT INTO public.coupon (plancode, age, "year", couponrate, benefittype, benefitrate, premiumrate) VALUES('EN60', 9, 63, 8, 'A',800, 1.01);</v>
      </c>
      <c r="I776" s="6" t="str">
        <f t="shared" si="74"/>
        <v>{"age":"9", "year":"63", "couponrate":"8", "benefittype":"A", "benefitrate":"800", "premiumrate":"1.01"}</v>
      </c>
      <c r="J776" s="6" t="str">
        <f t="shared" si="75"/>
        <v>,</v>
      </c>
    </row>
    <row r="777" spans="1:10">
      <c r="A777" s="4" t="str">
        <f>'EN60'!A$3</f>
        <v>EN60</v>
      </c>
      <c r="B777" s="4">
        <f t="shared" si="76"/>
        <v>9</v>
      </c>
      <c r="C777" s="4">
        <f t="shared" si="77"/>
        <v>64</v>
      </c>
      <c r="D777" s="4">
        <f t="shared" si="78"/>
        <v>8</v>
      </c>
      <c r="E777" s="4" t="s">
        <v>27</v>
      </c>
      <c r="F777" s="4">
        <f t="shared" si="72"/>
        <v>800</v>
      </c>
      <c r="G777" s="5">
        <f t="shared" si="79"/>
        <v>1.01</v>
      </c>
      <c r="H777" s="6" t="str">
        <f t="shared" si="73"/>
        <v>INSERT INTO public.coupon (plancode, age, "year", couponrate, benefittype, benefitrate, premiumrate) VALUES('EN60', 9, 64, 8, 'A',800, 1.01);</v>
      </c>
      <c r="I777" s="6" t="str">
        <f t="shared" si="74"/>
        <v>{"age":"9", "year":"64", "couponrate":"8", "benefittype":"A", "benefitrate":"800", "premiumrate":"1.01"}</v>
      </c>
      <c r="J777" s="6" t="str">
        <f t="shared" si="75"/>
        <v>,</v>
      </c>
    </row>
    <row r="778" spans="1:10">
      <c r="A778" s="4" t="str">
        <f>'EN60'!A$3</f>
        <v>EN60</v>
      </c>
      <c r="B778" s="4">
        <f t="shared" si="76"/>
        <v>9</v>
      </c>
      <c r="C778" s="4">
        <f t="shared" si="77"/>
        <v>65</v>
      </c>
      <c r="D778" s="4">
        <f t="shared" si="78"/>
        <v>8</v>
      </c>
      <c r="E778" s="4" t="s">
        <v>27</v>
      </c>
      <c r="F778" s="4">
        <f t="shared" si="72"/>
        <v>800</v>
      </c>
      <c r="G778" s="5">
        <f t="shared" si="79"/>
        <v>1.01</v>
      </c>
      <c r="H778" s="6" t="str">
        <f t="shared" si="73"/>
        <v>INSERT INTO public.coupon (plancode, age, "year", couponrate, benefittype, benefitrate, premiumrate) VALUES('EN60', 9, 65, 8, 'A',800, 1.01);</v>
      </c>
      <c r="I778" s="6" t="str">
        <f t="shared" si="74"/>
        <v>{"age":"9", "year":"65", "couponrate":"8", "benefittype":"A", "benefitrate":"800", "premiumrate":"1.01"}</v>
      </c>
      <c r="J778" s="6" t="str">
        <f t="shared" si="75"/>
        <v>,</v>
      </c>
    </row>
    <row r="779" spans="1:10">
      <c r="A779" s="4" t="str">
        <f>'EN60'!A$3</f>
        <v>EN60</v>
      </c>
      <c r="B779" s="4">
        <f t="shared" si="76"/>
        <v>9</v>
      </c>
      <c r="C779" s="4">
        <f t="shared" si="77"/>
        <v>66</v>
      </c>
      <c r="D779" s="4">
        <f t="shared" si="78"/>
        <v>8</v>
      </c>
      <c r="E779" s="4" t="s">
        <v>27</v>
      </c>
      <c r="F779" s="4">
        <f t="shared" si="72"/>
        <v>800</v>
      </c>
      <c r="G779" s="5">
        <f t="shared" si="79"/>
        <v>1.01</v>
      </c>
      <c r="H779" s="6" t="str">
        <f t="shared" si="73"/>
        <v>INSERT INTO public.coupon (plancode, age, "year", couponrate, benefittype, benefitrate, premiumrate) VALUES('EN60', 9, 66, 8, 'A',800, 1.01);</v>
      </c>
      <c r="I779" s="6" t="str">
        <f t="shared" si="74"/>
        <v>{"age":"9", "year":"66", "couponrate":"8", "benefittype":"A", "benefitrate":"800", "premiumrate":"1.01"}</v>
      </c>
      <c r="J779" s="6" t="str">
        <f t="shared" si="75"/>
        <v>,</v>
      </c>
    </row>
    <row r="780" spans="1:10">
      <c r="A780" s="4" t="str">
        <f>'EN60'!A$3</f>
        <v>EN60</v>
      </c>
      <c r="B780" s="4">
        <f t="shared" si="76"/>
        <v>9</v>
      </c>
      <c r="C780" s="4">
        <f t="shared" si="77"/>
        <v>67</v>
      </c>
      <c r="D780" s="4">
        <f t="shared" si="78"/>
        <v>8</v>
      </c>
      <c r="E780" s="4" t="s">
        <v>27</v>
      </c>
      <c r="F780" s="4">
        <f t="shared" si="72"/>
        <v>800</v>
      </c>
      <c r="G780" s="5">
        <f t="shared" si="79"/>
        <v>1.01</v>
      </c>
      <c r="H780" s="6" t="str">
        <f t="shared" si="73"/>
        <v>INSERT INTO public.coupon (plancode, age, "year", couponrate, benefittype, benefitrate, premiumrate) VALUES('EN60', 9, 67, 8, 'A',800, 1.01);</v>
      </c>
      <c r="I780" s="6" t="str">
        <f t="shared" si="74"/>
        <v>{"age":"9", "year":"67", "couponrate":"8", "benefittype":"A", "benefitrate":"800", "premiumrate":"1.01"}</v>
      </c>
      <c r="J780" s="6" t="str">
        <f t="shared" si="75"/>
        <v>,</v>
      </c>
    </row>
    <row r="781" spans="1:10">
      <c r="A781" s="4" t="str">
        <f>'EN60'!A$3</f>
        <v>EN60</v>
      </c>
      <c r="B781" s="4">
        <f t="shared" si="76"/>
        <v>9</v>
      </c>
      <c r="C781" s="4">
        <f t="shared" si="77"/>
        <v>68</v>
      </c>
      <c r="D781" s="4">
        <f t="shared" si="78"/>
        <v>8</v>
      </c>
      <c r="E781" s="4" t="s">
        <v>27</v>
      </c>
      <c r="F781" s="4">
        <f t="shared" si="72"/>
        <v>800</v>
      </c>
      <c r="G781" s="5">
        <f t="shared" si="79"/>
        <v>1.01</v>
      </c>
      <c r="H781" s="6" t="str">
        <f t="shared" si="73"/>
        <v>INSERT INTO public.coupon (plancode, age, "year", couponrate, benefittype, benefitrate, premiumrate) VALUES('EN60', 9, 68, 8, 'A',800, 1.01);</v>
      </c>
      <c r="I781" s="6" t="str">
        <f t="shared" si="74"/>
        <v>{"age":"9", "year":"68", "couponrate":"8", "benefittype":"A", "benefitrate":"800", "premiumrate":"1.01"}</v>
      </c>
      <c r="J781" s="6" t="str">
        <f t="shared" si="75"/>
        <v>,</v>
      </c>
    </row>
    <row r="782" spans="1:10">
      <c r="A782" s="4" t="str">
        <f>'EN60'!A$3</f>
        <v>EN60</v>
      </c>
      <c r="B782" s="4">
        <f t="shared" si="76"/>
        <v>9</v>
      </c>
      <c r="C782" s="4">
        <f t="shared" si="77"/>
        <v>69</v>
      </c>
      <c r="D782" s="4">
        <f t="shared" si="78"/>
        <v>8</v>
      </c>
      <c r="E782" s="4" t="s">
        <v>27</v>
      </c>
      <c r="F782" s="4">
        <f t="shared" si="72"/>
        <v>800</v>
      </c>
      <c r="G782" s="5">
        <f t="shared" si="79"/>
        <v>1.01</v>
      </c>
      <c r="H782" s="6" t="str">
        <f t="shared" si="73"/>
        <v>INSERT INTO public.coupon (plancode, age, "year", couponrate, benefittype, benefitrate, premiumrate) VALUES('EN60', 9, 69, 8, 'A',800, 1.01);</v>
      </c>
      <c r="I782" s="6" t="str">
        <f t="shared" si="74"/>
        <v>{"age":"9", "year":"69", "couponrate":"8", "benefittype":"A", "benefitrate":"800", "premiumrate":"1.01"}</v>
      </c>
      <c r="J782" s="6" t="str">
        <f t="shared" si="75"/>
        <v>,</v>
      </c>
    </row>
    <row r="783" spans="1:10">
      <c r="A783" s="4" t="str">
        <f>'EN60'!A$3</f>
        <v>EN60</v>
      </c>
      <c r="B783" s="4">
        <f t="shared" si="76"/>
        <v>9</v>
      </c>
      <c r="C783" s="4">
        <f t="shared" si="77"/>
        <v>70</v>
      </c>
      <c r="D783" s="4">
        <f t="shared" si="78"/>
        <v>8</v>
      </c>
      <c r="E783" s="4" t="s">
        <v>27</v>
      </c>
      <c r="F783" s="4">
        <f t="shared" si="72"/>
        <v>800</v>
      </c>
      <c r="G783" s="5">
        <f t="shared" si="79"/>
        <v>1.01</v>
      </c>
      <c r="H783" s="6" t="str">
        <f t="shared" si="73"/>
        <v>INSERT INTO public.coupon (plancode, age, "year", couponrate, benefittype, benefitrate, premiumrate) VALUES('EN60', 9, 70, 8, 'A',800, 1.01);</v>
      </c>
      <c r="I783" s="6" t="str">
        <f t="shared" si="74"/>
        <v>{"age":"9", "year":"70", "couponrate":"8", "benefittype":"A", "benefitrate":"800", "premiumrate":"1.01"}</v>
      </c>
      <c r="J783" s="6" t="str">
        <f t="shared" si="75"/>
        <v>,</v>
      </c>
    </row>
    <row r="784" spans="1:10">
      <c r="A784" s="4" t="str">
        <f>'EN60'!A$3</f>
        <v>EN60</v>
      </c>
      <c r="B784" s="4">
        <f t="shared" si="76"/>
        <v>9</v>
      </c>
      <c r="C784" s="4">
        <f t="shared" si="77"/>
        <v>71</v>
      </c>
      <c r="D784" s="4">
        <f t="shared" si="78"/>
        <v>8</v>
      </c>
      <c r="E784" s="4" t="s">
        <v>27</v>
      </c>
      <c r="F784" s="4">
        <f t="shared" si="72"/>
        <v>800</v>
      </c>
      <c r="G784" s="5">
        <f t="shared" si="79"/>
        <v>1.01</v>
      </c>
      <c r="H784" s="6" t="str">
        <f t="shared" si="73"/>
        <v>INSERT INTO public.coupon (plancode, age, "year", couponrate, benefittype, benefitrate, premiumrate) VALUES('EN60', 9, 71, 8, 'A',800, 1.01);</v>
      </c>
      <c r="I784" s="6" t="str">
        <f t="shared" si="74"/>
        <v>{"age":"9", "year":"71", "couponrate":"8", "benefittype":"A", "benefitrate":"800", "premiumrate":"1.01"}</v>
      </c>
    </row>
    <row r="785" spans="1:10">
      <c r="C785" s="6"/>
      <c r="I785" s="6" t="s">
        <v>28</v>
      </c>
    </row>
    <row r="786" spans="1:10">
      <c r="A786" s="3" t="s">
        <v>2</v>
      </c>
      <c r="B786" s="3" t="s">
        <v>23</v>
      </c>
      <c r="C786" s="3" t="s">
        <v>24</v>
      </c>
      <c r="D786" s="3" t="s">
        <v>25</v>
      </c>
      <c r="E786" s="3" t="s">
        <v>8</v>
      </c>
      <c r="F786" s="3" t="s">
        <v>26</v>
      </c>
      <c r="G786" s="3" t="s">
        <v>4</v>
      </c>
      <c r="I786" s="6" t="str">
        <f>"[{""plancode"":"""&amp;A787&amp;""",""returncash"":"""&amp;B$7&amp;""",""ytable"":"""&amp;C$7&amp;""",""maturerate"":"""&amp;B$3&amp;""",""maturepmrate"":"""&amp;C$3&amp;""",""coupon"":["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787" spans="1:10">
      <c r="A787" s="4" t="str">
        <f>'EN60'!A$3</f>
        <v>EN60</v>
      </c>
      <c r="B787" s="8">
        <v>10</v>
      </c>
      <c r="C787" s="4">
        <v>1</v>
      </c>
      <c r="D787" s="4">
        <f t="shared" ref="D787:D856" si="80">IF(C787+B787=80,0,8)</f>
        <v>8</v>
      </c>
      <c r="E787" s="4" t="s">
        <v>27</v>
      </c>
      <c r="F787" s="4">
        <f t="shared" ref="F787:F856" si="81">IF(C787&gt;7, 800, C787*100)</f>
        <v>100</v>
      </c>
      <c r="G787" s="5">
        <f>'EN60'!C$3</f>
        <v>1.01</v>
      </c>
      <c r="H787" s="6" t="str">
        <f t="shared" ref="H787:H856" si="82">"INSERT INTO public.coupon ("&amp;A$11&amp;", "&amp;B$11&amp;", """&amp;C$11&amp;""", "&amp;D$11&amp;", "&amp;E$11&amp;", "&amp;F$11&amp;", "&amp;G$11&amp;") VALUES('"&amp;A787&amp;"', "&amp;B787&amp;", "&amp;C787&amp;", "&amp;D787&amp;", '"&amp;E787&amp;"',"&amp;F787&amp;", "&amp;G787&amp;");"</f>
        <v>INSERT INTO public.coupon (plancode, age, "year", couponrate, benefittype, benefitrate, premiumrate) VALUES('EN60', 10, 1, 8, 'A',100, 1.01);</v>
      </c>
      <c r="I787" s="6" t="str">
        <f t="shared" ref="I787:I856" si="83">"{""age"":"""&amp;B787&amp;""", ""year"":"""&amp;C787&amp;""", ""couponrate"":"""&amp;D787&amp;""", ""benefittype"":"""&amp;E787&amp;""", ""benefitrate"":"""&amp;F787&amp;""", """&amp;G$11&amp;""":"""&amp;G787&amp;"""}"</f>
        <v>{"age":"10", "year":"1", "couponrate":"8", "benefittype":"A", "benefitrate":"100", "premiumrate":"1.01"}</v>
      </c>
      <c r="J787" s="6" t="str">
        <f t="shared" ref="J787:J855" si="84">IF(OR(I788="]", I787="[", I787="]"), "", ",")</f>
        <v>,</v>
      </c>
    </row>
    <row r="788" spans="1:10">
      <c r="A788" s="4" t="str">
        <f>'EN60'!A$3</f>
        <v>EN60</v>
      </c>
      <c r="B788" s="4">
        <f t="shared" ref="B788:B856" si="85">B787</f>
        <v>10</v>
      </c>
      <c r="C788" s="4">
        <f t="shared" ref="C788:C856" si="86">C787+1</f>
        <v>2</v>
      </c>
      <c r="D788" s="4">
        <f t="shared" si="80"/>
        <v>8</v>
      </c>
      <c r="E788" s="4" t="s">
        <v>27</v>
      </c>
      <c r="F788" s="4">
        <f t="shared" si="81"/>
        <v>200</v>
      </c>
      <c r="G788" s="5">
        <f t="shared" ref="G788:G856" si="87">G787</f>
        <v>1.01</v>
      </c>
      <c r="H788" s="6" t="str">
        <f t="shared" si="82"/>
        <v>INSERT INTO public.coupon (plancode, age, "year", couponrate, benefittype, benefitrate, premiumrate) VALUES('EN60', 10, 2, 8, 'A',200, 1.01);</v>
      </c>
      <c r="I788" s="6" t="str">
        <f t="shared" si="83"/>
        <v>{"age":"10", "year":"2", "couponrate":"8", "benefittype":"A", "benefitrate":"200", "premiumrate":"1.01"}</v>
      </c>
      <c r="J788" s="6" t="str">
        <f t="shared" si="84"/>
        <v>,</v>
      </c>
    </row>
    <row r="789" spans="1:10">
      <c r="A789" s="4" t="str">
        <f>'EN60'!A$3</f>
        <v>EN60</v>
      </c>
      <c r="B789" s="4">
        <f t="shared" si="85"/>
        <v>10</v>
      </c>
      <c r="C789" s="4">
        <f t="shared" si="86"/>
        <v>3</v>
      </c>
      <c r="D789" s="4">
        <f t="shared" si="80"/>
        <v>8</v>
      </c>
      <c r="E789" s="4" t="s">
        <v>27</v>
      </c>
      <c r="F789" s="4">
        <f t="shared" si="81"/>
        <v>300</v>
      </c>
      <c r="G789" s="5">
        <f t="shared" si="87"/>
        <v>1.01</v>
      </c>
      <c r="H789" s="6" t="str">
        <f t="shared" si="82"/>
        <v>INSERT INTO public.coupon (plancode, age, "year", couponrate, benefittype, benefitrate, premiumrate) VALUES('EN60', 10, 3, 8, 'A',300, 1.01);</v>
      </c>
      <c r="I789" s="6" t="str">
        <f t="shared" si="83"/>
        <v>{"age":"10", "year":"3", "couponrate":"8", "benefittype":"A", "benefitrate":"300", "premiumrate":"1.01"}</v>
      </c>
      <c r="J789" s="6" t="str">
        <f t="shared" si="84"/>
        <v>,</v>
      </c>
    </row>
    <row r="790" spans="1:10">
      <c r="A790" s="4" t="str">
        <f>'EN60'!A$3</f>
        <v>EN60</v>
      </c>
      <c r="B790" s="4">
        <f t="shared" si="85"/>
        <v>10</v>
      </c>
      <c r="C790" s="4">
        <f t="shared" si="86"/>
        <v>4</v>
      </c>
      <c r="D790" s="4">
        <f t="shared" si="80"/>
        <v>8</v>
      </c>
      <c r="E790" s="4" t="s">
        <v>27</v>
      </c>
      <c r="F790" s="4">
        <f t="shared" si="81"/>
        <v>400</v>
      </c>
      <c r="G790" s="5">
        <f t="shared" si="87"/>
        <v>1.01</v>
      </c>
      <c r="H790" s="6" t="str">
        <f t="shared" si="82"/>
        <v>INSERT INTO public.coupon (plancode, age, "year", couponrate, benefittype, benefitrate, premiumrate) VALUES('EN60', 10, 4, 8, 'A',400, 1.01);</v>
      </c>
      <c r="I790" s="6" t="str">
        <f t="shared" si="83"/>
        <v>{"age":"10", "year":"4", "couponrate":"8", "benefittype":"A", "benefitrate":"400", "premiumrate":"1.01"}</v>
      </c>
      <c r="J790" s="6" t="str">
        <f t="shared" si="84"/>
        <v>,</v>
      </c>
    </row>
    <row r="791" spans="1:10">
      <c r="A791" s="4" t="str">
        <f>'EN60'!A$3</f>
        <v>EN60</v>
      </c>
      <c r="B791" s="4">
        <f t="shared" si="85"/>
        <v>10</v>
      </c>
      <c r="C791" s="4">
        <f t="shared" si="86"/>
        <v>5</v>
      </c>
      <c r="D791" s="4">
        <f t="shared" si="80"/>
        <v>8</v>
      </c>
      <c r="E791" s="4" t="s">
        <v>27</v>
      </c>
      <c r="F791" s="4">
        <f t="shared" si="81"/>
        <v>500</v>
      </c>
      <c r="G791" s="5">
        <f t="shared" si="87"/>
        <v>1.01</v>
      </c>
      <c r="H791" s="6" t="str">
        <f t="shared" si="82"/>
        <v>INSERT INTO public.coupon (plancode, age, "year", couponrate, benefittype, benefitrate, premiumrate) VALUES('EN60', 10, 5, 8, 'A',500, 1.01);</v>
      </c>
      <c r="I791" s="6" t="str">
        <f t="shared" si="83"/>
        <v>{"age":"10", "year":"5", "couponrate":"8", "benefittype":"A", "benefitrate":"500", "premiumrate":"1.01"}</v>
      </c>
      <c r="J791" s="6" t="str">
        <f t="shared" si="84"/>
        <v>,</v>
      </c>
    </row>
    <row r="792" spans="1:10">
      <c r="A792" s="4" t="str">
        <f>'EN60'!A$3</f>
        <v>EN60</v>
      </c>
      <c r="B792" s="4">
        <f t="shared" si="85"/>
        <v>10</v>
      </c>
      <c r="C792" s="4">
        <f t="shared" si="86"/>
        <v>6</v>
      </c>
      <c r="D792" s="4">
        <f t="shared" si="80"/>
        <v>8</v>
      </c>
      <c r="E792" s="4" t="s">
        <v>27</v>
      </c>
      <c r="F792" s="4">
        <f t="shared" si="81"/>
        <v>600</v>
      </c>
      <c r="G792" s="5">
        <f t="shared" si="87"/>
        <v>1.01</v>
      </c>
      <c r="H792" s="6" t="str">
        <f t="shared" si="82"/>
        <v>INSERT INTO public.coupon (plancode, age, "year", couponrate, benefittype, benefitrate, premiumrate) VALUES('EN60', 10, 6, 8, 'A',600, 1.01);</v>
      </c>
      <c r="I792" s="6" t="str">
        <f t="shared" si="83"/>
        <v>{"age":"10", "year":"6", "couponrate":"8", "benefittype":"A", "benefitrate":"600", "premiumrate":"1.01"}</v>
      </c>
      <c r="J792" s="6" t="str">
        <f t="shared" si="84"/>
        <v>,</v>
      </c>
    </row>
    <row r="793" spans="1:10">
      <c r="A793" s="4" t="str">
        <f>'EN60'!A$3</f>
        <v>EN60</v>
      </c>
      <c r="B793" s="4">
        <f t="shared" si="85"/>
        <v>10</v>
      </c>
      <c r="C793" s="4">
        <f t="shared" si="86"/>
        <v>7</v>
      </c>
      <c r="D793" s="4">
        <f t="shared" si="80"/>
        <v>8</v>
      </c>
      <c r="E793" s="4" t="s">
        <v>27</v>
      </c>
      <c r="F793" s="4">
        <f t="shared" si="81"/>
        <v>700</v>
      </c>
      <c r="G793" s="5">
        <f t="shared" si="87"/>
        <v>1.01</v>
      </c>
      <c r="H793" s="6" t="str">
        <f t="shared" si="82"/>
        <v>INSERT INTO public.coupon (plancode, age, "year", couponrate, benefittype, benefitrate, premiumrate) VALUES('EN60', 10, 7, 8, 'A',700, 1.01);</v>
      </c>
      <c r="I793" s="6" t="str">
        <f t="shared" si="83"/>
        <v>{"age":"10", "year":"7", "couponrate":"8", "benefittype":"A", "benefitrate":"700", "premiumrate":"1.01"}</v>
      </c>
      <c r="J793" s="6" t="str">
        <f t="shared" si="84"/>
        <v>,</v>
      </c>
    </row>
    <row r="794" spans="1:10">
      <c r="A794" s="4" t="str">
        <f>'EN60'!A$3</f>
        <v>EN60</v>
      </c>
      <c r="B794" s="4">
        <f t="shared" si="85"/>
        <v>10</v>
      </c>
      <c r="C794" s="4">
        <f t="shared" si="86"/>
        <v>8</v>
      </c>
      <c r="D794" s="4">
        <f t="shared" si="80"/>
        <v>8</v>
      </c>
      <c r="E794" s="4" t="s">
        <v>27</v>
      </c>
      <c r="F794" s="4">
        <f t="shared" si="81"/>
        <v>800</v>
      </c>
      <c r="G794" s="5">
        <f t="shared" si="87"/>
        <v>1.01</v>
      </c>
      <c r="H794" s="6" t="str">
        <f t="shared" si="82"/>
        <v>INSERT INTO public.coupon (plancode, age, "year", couponrate, benefittype, benefitrate, premiumrate) VALUES('EN60', 10, 8, 8, 'A',800, 1.01);</v>
      </c>
      <c r="I794" s="6" t="str">
        <f t="shared" si="83"/>
        <v>{"age":"10", "year":"8", "couponrate":"8", "benefittype":"A", "benefitrate":"800", "premiumrate":"1.01"}</v>
      </c>
      <c r="J794" s="6" t="str">
        <f t="shared" si="84"/>
        <v>,</v>
      </c>
    </row>
    <row r="795" spans="1:10">
      <c r="A795" s="4" t="str">
        <f>'EN60'!A$3</f>
        <v>EN60</v>
      </c>
      <c r="B795" s="4">
        <f t="shared" si="85"/>
        <v>10</v>
      </c>
      <c r="C795" s="4">
        <f t="shared" si="86"/>
        <v>9</v>
      </c>
      <c r="D795" s="4">
        <f t="shared" si="80"/>
        <v>8</v>
      </c>
      <c r="E795" s="4" t="s">
        <v>27</v>
      </c>
      <c r="F795" s="4">
        <f t="shared" si="81"/>
        <v>800</v>
      </c>
      <c r="G795" s="5">
        <f t="shared" si="87"/>
        <v>1.01</v>
      </c>
      <c r="H795" s="6" t="str">
        <f t="shared" si="82"/>
        <v>INSERT INTO public.coupon (plancode, age, "year", couponrate, benefittype, benefitrate, premiumrate) VALUES('EN60', 10, 9, 8, 'A',800, 1.01);</v>
      </c>
      <c r="I795" s="6" t="str">
        <f t="shared" si="83"/>
        <v>{"age":"10", "year":"9", "couponrate":"8", "benefittype":"A", "benefitrate":"800", "premiumrate":"1.01"}</v>
      </c>
      <c r="J795" s="6" t="str">
        <f t="shared" si="84"/>
        <v>,</v>
      </c>
    </row>
    <row r="796" spans="1:10">
      <c r="A796" s="4" t="str">
        <f>'EN60'!A$3</f>
        <v>EN60</v>
      </c>
      <c r="B796" s="4">
        <f t="shared" si="85"/>
        <v>10</v>
      </c>
      <c r="C796" s="4">
        <f t="shared" si="86"/>
        <v>10</v>
      </c>
      <c r="D796" s="4">
        <f t="shared" si="80"/>
        <v>8</v>
      </c>
      <c r="E796" s="4" t="s">
        <v>27</v>
      </c>
      <c r="F796" s="4">
        <f t="shared" si="81"/>
        <v>800</v>
      </c>
      <c r="G796" s="5">
        <f t="shared" si="87"/>
        <v>1.01</v>
      </c>
      <c r="H796" s="6" t="str">
        <f t="shared" si="82"/>
        <v>INSERT INTO public.coupon (plancode, age, "year", couponrate, benefittype, benefitrate, premiumrate) VALUES('EN60', 10, 10, 8, 'A',800, 1.01);</v>
      </c>
      <c r="I796" s="6" t="str">
        <f t="shared" si="83"/>
        <v>{"age":"10", "year":"10", "couponrate":"8", "benefittype":"A", "benefitrate":"800", "premiumrate":"1.01"}</v>
      </c>
      <c r="J796" s="6" t="str">
        <f t="shared" si="84"/>
        <v>,</v>
      </c>
    </row>
    <row r="797" spans="1:10">
      <c r="A797" s="4" t="str">
        <f>'EN60'!A$3</f>
        <v>EN60</v>
      </c>
      <c r="B797" s="4">
        <f t="shared" si="85"/>
        <v>10</v>
      </c>
      <c r="C797" s="4">
        <f t="shared" si="86"/>
        <v>11</v>
      </c>
      <c r="D797" s="4">
        <f t="shared" si="80"/>
        <v>8</v>
      </c>
      <c r="E797" s="4" t="s">
        <v>27</v>
      </c>
      <c r="F797" s="4">
        <f t="shared" si="81"/>
        <v>800</v>
      </c>
      <c r="G797" s="5">
        <f t="shared" si="87"/>
        <v>1.01</v>
      </c>
      <c r="H797" s="6" t="str">
        <f t="shared" si="82"/>
        <v>INSERT INTO public.coupon (plancode, age, "year", couponrate, benefittype, benefitrate, premiumrate) VALUES('EN60', 10, 11, 8, 'A',800, 1.01);</v>
      </c>
      <c r="I797" s="6" t="str">
        <f t="shared" si="83"/>
        <v>{"age":"10", "year":"11", "couponrate":"8", "benefittype":"A", "benefitrate":"800", "premiumrate":"1.01"}</v>
      </c>
      <c r="J797" s="6" t="str">
        <f t="shared" si="84"/>
        <v>,</v>
      </c>
    </row>
    <row r="798" spans="1:10">
      <c r="A798" s="4" t="str">
        <f>'EN60'!A$3</f>
        <v>EN60</v>
      </c>
      <c r="B798" s="4">
        <f t="shared" si="85"/>
        <v>10</v>
      </c>
      <c r="C798" s="4">
        <f t="shared" si="86"/>
        <v>12</v>
      </c>
      <c r="D798" s="4">
        <f t="shared" si="80"/>
        <v>8</v>
      </c>
      <c r="E798" s="4" t="s">
        <v>27</v>
      </c>
      <c r="F798" s="4">
        <f t="shared" si="81"/>
        <v>800</v>
      </c>
      <c r="G798" s="5">
        <f t="shared" si="87"/>
        <v>1.01</v>
      </c>
      <c r="H798" s="6" t="str">
        <f t="shared" si="82"/>
        <v>INSERT INTO public.coupon (plancode, age, "year", couponrate, benefittype, benefitrate, premiumrate) VALUES('EN60', 10, 12, 8, 'A',800, 1.01);</v>
      </c>
      <c r="I798" s="6" t="str">
        <f t="shared" si="83"/>
        <v>{"age":"10", "year":"12", "couponrate":"8", "benefittype":"A", "benefitrate":"800", "premiumrate":"1.01"}</v>
      </c>
      <c r="J798" s="6" t="str">
        <f t="shared" si="84"/>
        <v>,</v>
      </c>
    </row>
    <row r="799" spans="1:10">
      <c r="A799" s="4" t="str">
        <f>'EN60'!A$3</f>
        <v>EN60</v>
      </c>
      <c r="B799" s="4">
        <f t="shared" si="85"/>
        <v>10</v>
      </c>
      <c r="C799" s="4">
        <f t="shared" si="86"/>
        <v>13</v>
      </c>
      <c r="D799" s="4">
        <f t="shared" si="80"/>
        <v>8</v>
      </c>
      <c r="E799" s="4" t="s">
        <v>27</v>
      </c>
      <c r="F799" s="4">
        <f t="shared" si="81"/>
        <v>800</v>
      </c>
      <c r="G799" s="5">
        <f t="shared" si="87"/>
        <v>1.01</v>
      </c>
      <c r="H799" s="6" t="str">
        <f t="shared" si="82"/>
        <v>INSERT INTO public.coupon (plancode, age, "year", couponrate, benefittype, benefitrate, premiumrate) VALUES('EN60', 10, 13, 8, 'A',800, 1.01);</v>
      </c>
      <c r="I799" s="6" t="str">
        <f t="shared" si="83"/>
        <v>{"age":"10", "year":"13", "couponrate":"8", "benefittype":"A", "benefitrate":"800", "premiumrate":"1.01"}</v>
      </c>
      <c r="J799" s="6" t="str">
        <f t="shared" si="84"/>
        <v>,</v>
      </c>
    </row>
    <row r="800" spans="1:10">
      <c r="A800" s="4" t="str">
        <f>'EN60'!A$3</f>
        <v>EN60</v>
      </c>
      <c r="B800" s="4">
        <f t="shared" si="85"/>
        <v>10</v>
      </c>
      <c r="C800" s="4">
        <f t="shared" si="86"/>
        <v>14</v>
      </c>
      <c r="D800" s="4">
        <f t="shared" si="80"/>
        <v>8</v>
      </c>
      <c r="E800" s="4" t="s">
        <v>27</v>
      </c>
      <c r="F800" s="4">
        <f t="shared" si="81"/>
        <v>800</v>
      </c>
      <c r="G800" s="5">
        <f t="shared" si="87"/>
        <v>1.01</v>
      </c>
      <c r="H800" s="6" t="str">
        <f t="shared" si="82"/>
        <v>INSERT INTO public.coupon (plancode, age, "year", couponrate, benefittype, benefitrate, premiumrate) VALUES('EN60', 10, 14, 8, 'A',800, 1.01);</v>
      </c>
      <c r="I800" s="6" t="str">
        <f t="shared" si="83"/>
        <v>{"age":"10", "year":"14", "couponrate":"8", "benefittype":"A", "benefitrate":"800", "premiumrate":"1.01"}</v>
      </c>
      <c r="J800" s="6" t="str">
        <f t="shared" si="84"/>
        <v>,</v>
      </c>
    </row>
    <row r="801" spans="1:10">
      <c r="A801" s="4" t="str">
        <f>'EN60'!A$3</f>
        <v>EN60</v>
      </c>
      <c r="B801" s="4">
        <f t="shared" si="85"/>
        <v>10</v>
      </c>
      <c r="C801" s="4">
        <f t="shared" si="86"/>
        <v>15</v>
      </c>
      <c r="D801" s="4">
        <f t="shared" si="80"/>
        <v>8</v>
      </c>
      <c r="E801" s="4" t="s">
        <v>27</v>
      </c>
      <c r="F801" s="4">
        <f t="shared" si="81"/>
        <v>800</v>
      </c>
      <c r="G801" s="5">
        <f t="shared" si="87"/>
        <v>1.01</v>
      </c>
      <c r="H801" s="6" t="str">
        <f t="shared" si="82"/>
        <v>INSERT INTO public.coupon (plancode, age, "year", couponrate, benefittype, benefitrate, premiumrate) VALUES('EN60', 10, 15, 8, 'A',800, 1.01);</v>
      </c>
      <c r="I801" s="6" t="str">
        <f t="shared" si="83"/>
        <v>{"age":"10", "year":"15", "couponrate":"8", "benefittype":"A", "benefitrate":"800", "premiumrate":"1.01"}</v>
      </c>
      <c r="J801" s="6" t="str">
        <f t="shared" si="84"/>
        <v>,</v>
      </c>
    </row>
    <row r="802" spans="1:10">
      <c r="A802" s="4" t="str">
        <f>'EN60'!A$3</f>
        <v>EN60</v>
      </c>
      <c r="B802" s="4">
        <f t="shared" si="85"/>
        <v>10</v>
      </c>
      <c r="C802" s="4">
        <f t="shared" si="86"/>
        <v>16</v>
      </c>
      <c r="D802" s="4">
        <f t="shared" si="80"/>
        <v>8</v>
      </c>
      <c r="E802" s="4" t="s">
        <v>27</v>
      </c>
      <c r="F802" s="4">
        <f t="shared" si="81"/>
        <v>800</v>
      </c>
      <c r="G802" s="5">
        <f t="shared" si="87"/>
        <v>1.01</v>
      </c>
      <c r="H802" s="6" t="str">
        <f t="shared" si="82"/>
        <v>INSERT INTO public.coupon (plancode, age, "year", couponrate, benefittype, benefitrate, premiumrate) VALUES('EN60', 10, 16, 8, 'A',800, 1.01);</v>
      </c>
      <c r="I802" s="6" t="str">
        <f t="shared" si="83"/>
        <v>{"age":"10", "year":"16", "couponrate":"8", "benefittype":"A", "benefitrate":"800", "premiumrate":"1.01"}</v>
      </c>
      <c r="J802" s="6" t="str">
        <f t="shared" si="84"/>
        <v>,</v>
      </c>
    </row>
    <row r="803" spans="1:10">
      <c r="A803" s="4" t="str">
        <f>'EN60'!A$3</f>
        <v>EN60</v>
      </c>
      <c r="B803" s="4">
        <f t="shared" si="85"/>
        <v>10</v>
      </c>
      <c r="C803" s="4">
        <f t="shared" si="86"/>
        <v>17</v>
      </c>
      <c r="D803" s="4">
        <f t="shared" si="80"/>
        <v>8</v>
      </c>
      <c r="E803" s="4" t="s">
        <v>27</v>
      </c>
      <c r="F803" s="4">
        <f t="shared" si="81"/>
        <v>800</v>
      </c>
      <c r="G803" s="5">
        <f t="shared" si="87"/>
        <v>1.01</v>
      </c>
      <c r="H803" s="6" t="str">
        <f t="shared" si="82"/>
        <v>INSERT INTO public.coupon (plancode, age, "year", couponrate, benefittype, benefitrate, premiumrate) VALUES('EN60', 10, 17, 8, 'A',800, 1.01);</v>
      </c>
      <c r="I803" s="6" t="str">
        <f t="shared" si="83"/>
        <v>{"age":"10", "year":"17", "couponrate":"8", "benefittype":"A", "benefitrate":"800", "premiumrate":"1.01"}</v>
      </c>
      <c r="J803" s="6" t="str">
        <f t="shared" si="84"/>
        <v>,</v>
      </c>
    </row>
    <row r="804" spans="1:10">
      <c r="A804" s="4" t="str">
        <f>'EN60'!A$3</f>
        <v>EN60</v>
      </c>
      <c r="B804" s="4">
        <f t="shared" si="85"/>
        <v>10</v>
      </c>
      <c r="C804" s="4">
        <f t="shared" si="86"/>
        <v>18</v>
      </c>
      <c r="D804" s="4">
        <f t="shared" si="80"/>
        <v>8</v>
      </c>
      <c r="E804" s="4" t="s">
        <v>27</v>
      </c>
      <c r="F804" s="4">
        <f t="shared" si="81"/>
        <v>800</v>
      </c>
      <c r="G804" s="5">
        <f t="shared" si="87"/>
        <v>1.01</v>
      </c>
      <c r="H804" s="6" t="str">
        <f t="shared" si="82"/>
        <v>INSERT INTO public.coupon (plancode, age, "year", couponrate, benefittype, benefitrate, premiumrate) VALUES('EN60', 10, 18, 8, 'A',800, 1.01);</v>
      </c>
      <c r="I804" s="6" t="str">
        <f t="shared" si="83"/>
        <v>{"age":"10", "year":"18", "couponrate":"8", "benefittype":"A", "benefitrate":"800", "premiumrate":"1.01"}</v>
      </c>
      <c r="J804" s="6" t="str">
        <f t="shared" si="84"/>
        <v>,</v>
      </c>
    </row>
    <row r="805" spans="1:10">
      <c r="A805" s="4" t="str">
        <f>'EN60'!A$3</f>
        <v>EN60</v>
      </c>
      <c r="B805" s="4">
        <f t="shared" si="85"/>
        <v>10</v>
      </c>
      <c r="C805" s="4">
        <f t="shared" si="86"/>
        <v>19</v>
      </c>
      <c r="D805" s="4">
        <f t="shared" si="80"/>
        <v>8</v>
      </c>
      <c r="E805" s="4" t="s">
        <v>27</v>
      </c>
      <c r="F805" s="4">
        <f t="shared" si="81"/>
        <v>800</v>
      </c>
      <c r="G805" s="5">
        <f t="shared" si="87"/>
        <v>1.01</v>
      </c>
      <c r="H805" s="6" t="str">
        <f t="shared" si="82"/>
        <v>INSERT INTO public.coupon (plancode, age, "year", couponrate, benefittype, benefitrate, premiumrate) VALUES('EN60', 10, 19, 8, 'A',800, 1.01);</v>
      </c>
      <c r="I805" s="6" t="str">
        <f t="shared" si="83"/>
        <v>{"age":"10", "year":"19", "couponrate":"8", "benefittype":"A", "benefitrate":"800", "premiumrate":"1.01"}</v>
      </c>
      <c r="J805" s="6" t="str">
        <f t="shared" si="84"/>
        <v>,</v>
      </c>
    </row>
    <row r="806" spans="1:10">
      <c r="A806" s="4" t="str">
        <f>'EN60'!A$3</f>
        <v>EN60</v>
      </c>
      <c r="B806" s="4">
        <f t="shared" si="85"/>
        <v>10</v>
      </c>
      <c r="C806" s="4">
        <f t="shared" si="86"/>
        <v>20</v>
      </c>
      <c r="D806" s="4">
        <f t="shared" si="80"/>
        <v>8</v>
      </c>
      <c r="E806" s="4" t="s">
        <v>27</v>
      </c>
      <c r="F806" s="4">
        <f t="shared" si="81"/>
        <v>800</v>
      </c>
      <c r="G806" s="5">
        <f t="shared" si="87"/>
        <v>1.01</v>
      </c>
      <c r="H806" s="6" t="str">
        <f t="shared" si="82"/>
        <v>INSERT INTO public.coupon (plancode, age, "year", couponrate, benefittype, benefitrate, premiumrate) VALUES('EN60', 10, 20, 8, 'A',800, 1.01);</v>
      </c>
      <c r="I806" s="6" t="str">
        <f t="shared" si="83"/>
        <v>{"age":"10", "year":"20", "couponrate":"8", "benefittype":"A", "benefitrate":"800", "premiumrate":"1.01"}</v>
      </c>
      <c r="J806" s="6" t="str">
        <f t="shared" si="84"/>
        <v>,</v>
      </c>
    </row>
    <row r="807" spans="1:10">
      <c r="A807" s="4" t="str">
        <f>'EN60'!A$3</f>
        <v>EN60</v>
      </c>
      <c r="B807" s="4">
        <f t="shared" si="85"/>
        <v>10</v>
      </c>
      <c r="C807" s="4">
        <f t="shared" si="86"/>
        <v>21</v>
      </c>
      <c r="D807" s="4">
        <f t="shared" si="80"/>
        <v>8</v>
      </c>
      <c r="E807" s="4" t="s">
        <v>27</v>
      </c>
      <c r="F807" s="4">
        <f t="shared" si="81"/>
        <v>800</v>
      </c>
      <c r="G807" s="5">
        <f t="shared" si="87"/>
        <v>1.01</v>
      </c>
      <c r="H807" s="6" t="str">
        <f t="shared" si="82"/>
        <v>INSERT INTO public.coupon (plancode, age, "year", couponrate, benefittype, benefitrate, premiumrate) VALUES('EN60', 10, 21, 8, 'A',800, 1.01);</v>
      </c>
      <c r="I807" s="6" t="str">
        <f t="shared" si="83"/>
        <v>{"age":"10", "year":"21", "couponrate":"8", "benefittype":"A", "benefitrate":"800", "premiumrate":"1.01"}</v>
      </c>
      <c r="J807" s="6" t="str">
        <f t="shared" si="84"/>
        <v>,</v>
      </c>
    </row>
    <row r="808" spans="1:10">
      <c r="A808" s="4" t="str">
        <f>'EN60'!A$3</f>
        <v>EN60</v>
      </c>
      <c r="B808" s="4">
        <f t="shared" si="85"/>
        <v>10</v>
      </c>
      <c r="C808" s="4">
        <f t="shared" si="86"/>
        <v>22</v>
      </c>
      <c r="D808" s="4">
        <f t="shared" si="80"/>
        <v>8</v>
      </c>
      <c r="E808" s="4" t="s">
        <v>27</v>
      </c>
      <c r="F808" s="4">
        <f t="shared" si="81"/>
        <v>800</v>
      </c>
      <c r="G808" s="5">
        <f t="shared" si="87"/>
        <v>1.01</v>
      </c>
      <c r="H808" s="6" t="str">
        <f t="shared" si="82"/>
        <v>INSERT INTO public.coupon (plancode, age, "year", couponrate, benefittype, benefitrate, premiumrate) VALUES('EN60', 10, 22, 8, 'A',800, 1.01);</v>
      </c>
      <c r="I808" s="6" t="str">
        <f t="shared" si="83"/>
        <v>{"age":"10", "year":"22", "couponrate":"8", "benefittype":"A", "benefitrate":"800", "premiumrate":"1.01"}</v>
      </c>
      <c r="J808" s="6" t="str">
        <f t="shared" si="84"/>
        <v>,</v>
      </c>
    </row>
    <row r="809" spans="1:10">
      <c r="A809" s="4" t="str">
        <f>'EN60'!A$3</f>
        <v>EN60</v>
      </c>
      <c r="B809" s="4">
        <f t="shared" si="85"/>
        <v>10</v>
      </c>
      <c r="C809" s="4">
        <f t="shared" si="86"/>
        <v>23</v>
      </c>
      <c r="D809" s="4">
        <f t="shared" si="80"/>
        <v>8</v>
      </c>
      <c r="E809" s="4" t="s">
        <v>27</v>
      </c>
      <c r="F809" s="4">
        <f t="shared" si="81"/>
        <v>800</v>
      </c>
      <c r="G809" s="5">
        <f t="shared" si="87"/>
        <v>1.01</v>
      </c>
      <c r="H809" s="6" t="str">
        <f t="shared" si="82"/>
        <v>INSERT INTO public.coupon (plancode, age, "year", couponrate, benefittype, benefitrate, premiumrate) VALUES('EN60', 10, 23, 8, 'A',800, 1.01);</v>
      </c>
      <c r="I809" s="6" t="str">
        <f t="shared" si="83"/>
        <v>{"age":"10", "year":"23", "couponrate":"8", "benefittype":"A", "benefitrate":"800", "premiumrate":"1.01"}</v>
      </c>
      <c r="J809" s="6" t="str">
        <f t="shared" si="84"/>
        <v>,</v>
      </c>
    </row>
    <row r="810" spans="1:10">
      <c r="A810" s="4" t="str">
        <f>'EN60'!A$3</f>
        <v>EN60</v>
      </c>
      <c r="B810" s="4">
        <f t="shared" si="85"/>
        <v>10</v>
      </c>
      <c r="C810" s="4">
        <f t="shared" si="86"/>
        <v>24</v>
      </c>
      <c r="D810" s="4">
        <f t="shared" si="80"/>
        <v>8</v>
      </c>
      <c r="E810" s="4" t="s">
        <v>27</v>
      </c>
      <c r="F810" s="4">
        <f t="shared" si="81"/>
        <v>800</v>
      </c>
      <c r="G810" s="5">
        <f t="shared" si="87"/>
        <v>1.01</v>
      </c>
      <c r="H810" s="6" t="str">
        <f t="shared" si="82"/>
        <v>INSERT INTO public.coupon (plancode, age, "year", couponrate, benefittype, benefitrate, premiumrate) VALUES('EN60', 10, 24, 8, 'A',800, 1.01);</v>
      </c>
      <c r="I810" s="6" t="str">
        <f t="shared" si="83"/>
        <v>{"age":"10", "year":"24", "couponrate":"8", "benefittype":"A", "benefitrate":"800", "premiumrate":"1.01"}</v>
      </c>
      <c r="J810" s="6" t="str">
        <f t="shared" si="84"/>
        <v>,</v>
      </c>
    </row>
    <row r="811" spans="1:10">
      <c r="A811" s="4" t="str">
        <f>'EN60'!A$3</f>
        <v>EN60</v>
      </c>
      <c r="B811" s="4">
        <f t="shared" si="85"/>
        <v>10</v>
      </c>
      <c r="C811" s="4">
        <f t="shared" si="86"/>
        <v>25</v>
      </c>
      <c r="D811" s="4">
        <f t="shared" si="80"/>
        <v>8</v>
      </c>
      <c r="E811" s="4" t="s">
        <v>27</v>
      </c>
      <c r="F811" s="4">
        <f t="shared" si="81"/>
        <v>800</v>
      </c>
      <c r="G811" s="5">
        <f t="shared" si="87"/>
        <v>1.01</v>
      </c>
      <c r="H811" s="6" t="str">
        <f t="shared" si="82"/>
        <v>INSERT INTO public.coupon (plancode, age, "year", couponrate, benefittype, benefitrate, premiumrate) VALUES('EN60', 10, 25, 8, 'A',800, 1.01);</v>
      </c>
      <c r="I811" s="6" t="str">
        <f t="shared" si="83"/>
        <v>{"age":"10", "year":"25", "couponrate":"8", "benefittype":"A", "benefitrate":"800", "premiumrate":"1.01"}</v>
      </c>
      <c r="J811" s="6" t="str">
        <f t="shared" si="84"/>
        <v>,</v>
      </c>
    </row>
    <row r="812" spans="1:10">
      <c r="A812" s="4" t="str">
        <f>'EN60'!A$3</f>
        <v>EN60</v>
      </c>
      <c r="B812" s="4">
        <f t="shared" si="85"/>
        <v>10</v>
      </c>
      <c r="C812" s="4">
        <f t="shared" si="86"/>
        <v>26</v>
      </c>
      <c r="D812" s="4">
        <f t="shared" si="80"/>
        <v>8</v>
      </c>
      <c r="E812" s="4" t="s">
        <v>27</v>
      </c>
      <c r="F812" s="4">
        <f t="shared" si="81"/>
        <v>800</v>
      </c>
      <c r="G812" s="5">
        <f t="shared" si="87"/>
        <v>1.01</v>
      </c>
      <c r="H812" s="6" t="str">
        <f t="shared" si="82"/>
        <v>INSERT INTO public.coupon (plancode, age, "year", couponrate, benefittype, benefitrate, premiumrate) VALUES('EN60', 10, 26, 8, 'A',800, 1.01);</v>
      </c>
      <c r="I812" s="6" t="str">
        <f t="shared" si="83"/>
        <v>{"age":"10", "year":"26", "couponrate":"8", "benefittype":"A", "benefitrate":"800", "premiumrate":"1.01"}</v>
      </c>
      <c r="J812" s="6" t="str">
        <f t="shared" si="84"/>
        <v>,</v>
      </c>
    </row>
    <row r="813" spans="1:10">
      <c r="A813" s="4" t="str">
        <f>'EN60'!A$3</f>
        <v>EN60</v>
      </c>
      <c r="B813" s="4">
        <f t="shared" si="85"/>
        <v>10</v>
      </c>
      <c r="C813" s="4">
        <f t="shared" si="86"/>
        <v>27</v>
      </c>
      <c r="D813" s="4">
        <f t="shared" si="80"/>
        <v>8</v>
      </c>
      <c r="E813" s="4" t="s">
        <v>27</v>
      </c>
      <c r="F813" s="4">
        <f t="shared" si="81"/>
        <v>800</v>
      </c>
      <c r="G813" s="5">
        <f t="shared" si="87"/>
        <v>1.01</v>
      </c>
      <c r="H813" s="6" t="str">
        <f t="shared" si="82"/>
        <v>INSERT INTO public.coupon (plancode, age, "year", couponrate, benefittype, benefitrate, premiumrate) VALUES('EN60', 10, 27, 8, 'A',800, 1.01);</v>
      </c>
      <c r="I813" s="6" t="str">
        <f t="shared" si="83"/>
        <v>{"age":"10", "year":"27", "couponrate":"8", "benefittype":"A", "benefitrate":"800", "premiumrate":"1.01"}</v>
      </c>
      <c r="J813" s="6" t="str">
        <f t="shared" si="84"/>
        <v>,</v>
      </c>
    </row>
    <row r="814" spans="1:10">
      <c r="A814" s="4" t="str">
        <f>'EN60'!A$3</f>
        <v>EN60</v>
      </c>
      <c r="B814" s="4">
        <f t="shared" si="85"/>
        <v>10</v>
      </c>
      <c r="C814" s="4">
        <f t="shared" si="86"/>
        <v>28</v>
      </c>
      <c r="D814" s="4">
        <f t="shared" si="80"/>
        <v>8</v>
      </c>
      <c r="E814" s="4" t="s">
        <v>27</v>
      </c>
      <c r="F814" s="4">
        <f t="shared" si="81"/>
        <v>800</v>
      </c>
      <c r="G814" s="5">
        <f t="shared" si="87"/>
        <v>1.01</v>
      </c>
      <c r="H814" s="6" t="str">
        <f t="shared" si="82"/>
        <v>INSERT INTO public.coupon (plancode, age, "year", couponrate, benefittype, benefitrate, premiumrate) VALUES('EN60', 10, 28, 8, 'A',800, 1.01);</v>
      </c>
      <c r="I814" s="6" t="str">
        <f t="shared" si="83"/>
        <v>{"age":"10", "year":"28", "couponrate":"8", "benefittype":"A", "benefitrate":"800", "premiumrate":"1.01"}</v>
      </c>
      <c r="J814" s="6" t="str">
        <f t="shared" si="84"/>
        <v>,</v>
      </c>
    </row>
    <row r="815" spans="1:10">
      <c r="A815" s="4" t="str">
        <f>'EN60'!A$3</f>
        <v>EN60</v>
      </c>
      <c r="B815" s="4">
        <f t="shared" si="85"/>
        <v>10</v>
      </c>
      <c r="C815" s="4">
        <f t="shared" si="86"/>
        <v>29</v>
      </c>
      <c r="D815" s="4">
        <f t="shared" si="80"/>
        <v>8</v>
      </c>
      <c r="E815" s="4" t="s">
        <v>27</v>
      </c>
      <c r="F815" s="4">
        <f t="shared" si="81"/>
        <v>800</v>
      </c>
      <c r="G815" s="5">
        <f t="shared" si="87"/>
        <v>1.01</v>
      </c>
      <c r="H815" s="6" t="str">
        <f t="shared" si="82"/>
        <v>INSERT INTO public.coupon (plancode, age, "year", couponrate, benefittype, benefitrate, premiumrate) VALUES('EN60', 10, 29, 8, 'A',800, 1.01);</v>
      </c>
      <c r="I815" s="6" t="str">
        <f t="shared" si="83"/>
        <v>{"age":"10", "year":"29", "couponrate":"8", "benefittype":"A", "benefitrate":"800", "premiumrate":"1.01"}</v>
      </c>
      <c r="J815" s="6" t="str">
        <f t="shared" si="84"/>
        <v>,</v>
      </c>
    </row>
    <row r="816" spans="1:10">
      <c r="A816" s="4" t="str">
        <f>'EN60'!A$3</f>
        <v>EN60</v>
      </c>
      <c r="B816" s="4">
        <f t="shared" si="85"/>
        <v>10</v>
      </c>
      <c r="C816" s="4">
        <f t="shared" si="86"/>
        <v>30</v>
      </c>
      <c r="D816" s="4">
        <f t="shared" si="80"/>
        <v>8</v>
      </c>
      <c r="E816" s="4" t="s">
        <v>27</v>
      </c>
      <c r="F816" s="4">
        <f t="shared" si="81"/>
        <v>800</v>
      </c>
      <c r="G816" s="5">
        <f t="shared" si="87"/>
        <v>1.01</v>
      </c>
      <c r="H816" s="6" t="str">
        <f t="shared" si="82"/>
        <v>INSERT INTO public.coupon (plancode, age, "year", couponrate, benefittype, benefitrate, premiumrate) VALUES('EN60', 10, 30, 8, 'A',800, 1.01);</v>
      </c>
      <c r="I816" s="6" t="str">
        <f t="shared" si="83"/>
        <v>{"age":"10", "year":"30", "couponrate":"8", "benefittype":"A", "benefitrate":"800", "premiumrate":"1.01"}</v>
      </c>
      <c r="J816" s="6" t="str">
        <f t="shared" si="84"/>
        <v>,</v>
      </c>
    </row>
    <row r="817" spans="1:10">
      <c r="A817" s="4" t="str">
        <f>'EN60'!A$3</f>
        <v>EN60</v>
      </c>
      <c r="B817" s="4">
        <f t="shared" si="85"/>
        <v>10</v>
      </c>
      <c r="C817" s="4">
        <f t="shared" si="86"/>
        <v>31</v>
      </c>
      <c r="D817" s="4">
        <f t="shared" si="80"/>
        <v>8</v>
      </c>
      <c r="E817" s="4" t="s">
        <v>27</v>
      </c>
      <c r="F817" s="4">
        <f t="shared" si="81"/>
        <v>800</v>
      </c>
      <c r="G817" s="5">
        <f t="shared" si="87"/>
        <v>1.01</v>
      </c>
      <c r="H817" s="6" t="str">
        <f t="shared" si="82"/>
        <v>INSERT INTO public.coupon (plancode, age, "year", couponrate, benefittype, benefitrate, premiumrate) VALUES('EN60', 10, 31, 8, 'A',800, 1.01);</v>
      </c>
      <c r="I817" s="6" t="str">
        <f t="shared" si="83"/>
        <v>{"age":"10", "year":"31", "couponrate":"8", "benefittype":"A", "benefitrate":"800", "premiumrate":"1.01"}</v>
      </c>
      <c r="J817" s="6" t="str">
        <f t="shared" si="84"/>
        <v>,</v>
      </c>
    </row>
    <row r="818" spans="1:10">
      <c r="A818" s="4" t="str">
        <f>'EN60'!A$3</f>
        <v>EN60</v>
      </c>
      <c r="B818" s="4">
        <f t="shared" si="85"/>
        <v>10</v>
      </c>
      <c r="C818" s="4">
        <f t="shared" si="86"/>
        <v>32</v>
      </c>
      <c r="D818" s="4">
        <f t="shared" si="80"/>
        <v>8</v>
      </c>
      <c r="E818" s="4" t="s">
        <v>27</v>
      </c>
      <c r="F818" s="4">
        <f t="shared" si="81"/>
        <v>800</v>
      </c>
      <c r="G818" s="5">
        <f t="shared" si="87"/>
        <v>1.01</v>
      </c>
      <c r="H818" s="6" t="str">
        <f t="shared" si="82"/>
        <v>INSERT INTO public.coupon (plancode, age, "year", couponrate, benefittype, benefitrate, premiumrate) VALUES('EN60', 10, 32, 8, 'A',800, 1.01);</v>
      </c>
      <c r="I818" s="6" t="str">
        <f t="shared" si="83"/>
        <v>{"age":"10", "year":"32", "couponrate":"8", "benefittype":"A", "benefitrate":"800", "premiumrate":"1.01"}</v>
      </c>
      <c r="J818" s="6" t="str">
        <f t="shared" si="84"/>
        <v>,</v>
      </c>
    </row>
    <row r="819" spans="1:10">
      <c r="A819" s="4" t="str">
        <f>'EN60'!A$3</f>
        <v>EN60</v>
      </c>
      <c r="B819" s="4">
        <f t="shared" si="85"/>
        <v>10</v>
      </c>
      <c r="C819" s="4">
        <f t="shared" si="86"/>
        <v>33</v>
      </c>
      <c r="D819" s="4">
        <f t="shared" si="80"/>
        <v>8</v>
      </c>
      <c r="E819" s="4" t="s">
        <v>27</v>
      </c>
      <c r="F819" s="4">
        <f t="shared" si="81"/>
        <v>800</v>
      </c>
      <c r="G819" s="5">
        <f t="shared" si="87"/>
        <v>1.01</v>
      </c>
      <c r="H819" s="6" t="str">
        <f t="shared" si="82"/>
        <v>INSERT INTO public.coupon (plancode, age, "year", couponrate, benefittype, benefitrate, premiumrate) VALUES('EN60', 10, 33, 8, 'A',800, 1.01);</v>
      </c>
      <c r="I819" s="6" t="str">
        <f t="shared" si="83"/>
        <v>{"age":"10", "year":"33", "couponrate":"8", "benefittype":"A", "benefitrate":"800", "premiumrate":"1.01"}</v>
      </c>
      <c r="J819" s="6" t="str">
        <f t="shared" si="84"/>
        <v>,</v>
      </c>
    </row>
    <row r="820" spans="1:10">
      <c r="A820" s="4" t="str">
        <f>'EN60'!A$3</f>
        <v>EN60</v>
      </c>
      <c r="B820" s="4">
        <f t="shared" si="85"/>
        <v>10</v>
      </c>
      <c r="C820" s="4">
        <f t="shared" si="86"/>
        <v>34</v>
      </c>
      <c r="D820" s="4">
        <f t="shared" si="80"/>
        <v>8</v>
      </c>
      <c r="E820" s="4" t="s">
        <v>27</v>
      </c>
      <c r="F820" s="4">
        <f t="shared" si="81"/>
        <v>800</v>
      </c>
      <c r="G820" s="5">
        <f t="shared" si="87"/>
        <v>1.01</v>
      </c>
      <c r="H820" s="6" t="str">
        <f t="shared" si="82"/>
        <v>INSERT INTO public.coupon (plancode, age, "year", couponrate, benefittype, benefitrate, premiumrate) VALUES('EN60', 10, 34, 8, 'A',800, 1.01);</v>
      </c>
      <c r="I820" s="6" t="str">
        <f t="shared" si="83"/>
        <v>{"age":"10", "year":"34", "couponrate":"8", "benefittype":"A", "benefitrate":"800", "premiumrate":"1.01"}</v>
      </c>
      <c r="J820" s="6" t="str">
        <f t="shared" si="84"/>
        <v>,</v>
      </c>
    </row>
    <row r="821" spans="1:10">
      <c r="A821" s="4" t="str">
        <f>'EN60'!A$3</f>
        <v>EN60</v>
      </c>
      <c r="B821" s="4">
        <f t="shared" si="85"/>
        <v>10</v>
      </c>
      <c r="C821" s="4">
        <f t="shared" si="86"/>
        <v>35</v>
      </c>
      <c r="D821" s="4">
        <f t="shared" si="80"/>
        <v>8</v>
      </c>
      <c r="E821" s="4" t="s">
        <v>27</v>
      </c>
      <c r="F821" s="4">
        <f t="shared" si="81"/>
        <v>800</v>
      </c>
      <c r="G821" s="5">
        <f t="shared" si="87"/>
        <v>1.01</v>
      </c>
      <c r="H821" s="6" t="str">
        <f t="shared" si="82"/>
        <v>INSERT INTO public.coupon (plancode, age, "year", couponrate, benefittype, benefitrate, premiumrate) VALUES('EN60', 10, 35, 8, 'A',800, 1.01);</v>
      </c>
      <c r="I821" s="6" t="str">
        <f t="shared" si="83"/>
        <v>{"age":"10", "year":"35", "couponrate":"8", "benefittype":"A", "benefitrate":"800", "premiumrate":"1.01"}</v>
      </c>
      <c r="J821" s="6" t="str">
        <f t="shared" si="84"/>
        <v>,</v>
      </c>
    </row>
    <row r="822" spans="1:10">
      <c r="A822" s="4" t="str">
        <f>'EN60'!A$3</f>
        <v>EN60</v>
      </c>
      <c r="B822" s="4">
        <f t="shared" si="85"/>
        <v>10</v>
      </c>
      <c r="C822" s="4">
        <f t="shared" si="86"/>
        <v>36</v>
      </c>
      <c r="D822" s="4">
        <f t="shared" si="80"/>
        <v>8</v>
      </c>
      <c r="E822" s="4" t="s">
        <v>27</v>
      </c>
      <c r="F822" s="4">
        <f t="shared" si="81"/>
        <v>800</v>
      </c>
      <c r="G822" s="5">
        <f t="shared" si="87"/>
        <v>1.01</v>
      </c>
      <c r="H822" s="6" t="str">
        <f t="shared" si="82"/>
        <v>INSERT INTO public.coupon (plancode, age, "year", couponrate, benefittype, benefitrate, premiumrate) VALUES('EN60', 10, 36, 8, 'A',800, 1.01);</v>
      </c>
      <c r="I822" s="6" t="str">
        <f t="shared" si="83"/>
        <v>{"age":"10", "year":"36", "couponrate":"8", "benefittype":"A", "benefitrate":"800", "premiumrate":"1.01"}</v>
      </c>
      <c r="J822" s="6" t="str">
        <f t="shared" si="84"/>
        <v>,</v>
      </c>
    </row>
    <row r="823" spans="1:10">
      <c r="A823" s="4" t="str">
        <f>'EN60'!A$3</f>
        <v>EN60</v>
      </c>
      <c r="B823" s="4">
        <f t="shared" si="85"/>
        <v>10</v>
      </c>
      <c r="C823" s="4">
        <f t="shared" si="86"/>
        <v>37</v>
      </c>
      <c r="D823" s="4">
        <f t="shared" si="80"/>
        <v>8</v>
      </c>
      <c r="E823" s="4" t="s">
        <v>27</v>
      </c>
      <c r="F823" s="4">
        <f t="shared" si="81"/>
        <v>800</v>
      </c>
      <c r="G823" s="5">
        <f t="shared" si="87"/>
        <v>1.01</v>
      </c>
      <c r="H823" s="6" t="str">
        <f t="shared" si="82"/>
        <v>INSERT INTO public.coupon (plancode, age, "year", couponrate, benefittype, benefitrate, premiumrate) VALUES('EN60', 10, 37, 8, 'A',800, 1.01);</v>
      </c>
      <c r="I823" s="6" t="str">
        <f t="shared" si="83"/>
        <v>{"age":"10", "year":"37", "couponrate":"8", "benefittype":"A", "benefitrate":"800", "premiumrate":"1.01"}</v>
      </c>
      <c r="J823" s="6" t="str">
        <f t="shared" si="84"/>
        <v>,</v>
      </c>
    </row>
    <row r="824" spans="1:10">
      <c r="A824" s="4" t="str">
        <f>'EN60'!A$3</f>
        <v>EN60</v>
      </c>
      <c r="B824" s="4">
        <f t="shared" si="85"/>
        <v>10</v>
      </c>
      <c r="C824" s="4">
        <f t="shared" si="86"/>
        <v>38</v>
      </c>
      <c r="D824" s="4">
        <f t="shared" si="80"/>
        <v>8</v>
      </c>
      <c r="E824" s="4" t="s">
        <v>27</v>
      </c>
      <c r="F824" s="4">
        <f t="shared" si="81"/>
        <v>800</v>
      </c>
      <c r="G824" s="5">
        <f t="shared" si="87"/>
        <v>1.01</v>
      </c>
      <c r="H824" s="6" t="str">
        <f t="shared" si="82"/>
        <v>INSERT INTO public.coupon (plancode, age, "year", couponrate, benefittype, benefitrate, premiumrate) VALUES('EN60', 10, 38, 8, 'A',800, 1.01);</v>
      </c>
      <c r="I824" s="6" t="str">
        <f t="shared" si="83"/>
        <v>{"age":"10", "year":"38", "couponrate":"8", "benefittype":"A", "benefitrate":"800", "premiumrate":"1.01"}</v>
      </c>
      <c r="J824" s="6" t="str">
        <f t="shared" si="84"/>
        <v>,</v>
      </c>
    </row>
    <row r="825" spans="1:10">
      <c r="A825" s="4" t="str">
        <f>'EN60'!A$3</f>
        <v>EN60</v>
      </c>
      <c r="B825" s="4">
        <f t="shared" si="85"/>
        <v>10</v>
      </c>
      <c r="C825" s="4">
        <f t="shared" si="86"/>
        <v>39</v>
      </c>
      <c r="D825" s="4">
        <f t="shared" si="80"/>
        <v>8</v>
      </c>
      <c r="E825" s="4" t="s">
        <v>27</v>
      </c>
      <c r="F825" s="4">
        <f t="shared" si="81"/>
        <v>800</v>
      </c>
      <c r="G825" s="5">
        <f t="shared" si="87"/>
        <v>1.01</v>
      </c>
      <c r="H825" s="6" t="str">
        <f t="shared" si="82"/>
        <v>INSERT INTO public.coupon (plancode, age, "year", couponrate, benefittype, benefitrate, premiumrate) VALUES('EN60', 10, 39, 8, 'A',800, 1.01);</v>
      </c>
      <c r="I825" s="6" t="str">
        <f t="shared" si="83"/>
        <v>{"age":"10", "year":"39", "couponrate":"8", "benefittype":"A", "benefitrate":"800", "premiumrate":"1.01"}</v>
      </c>
      <c r="J825" s="6" t="str">
        <f t="shared" si="84"/>
        <v>,</v>
      </c>
    </row>
    <row r="826" spans="1:10">
      <c r="A826" s="4" t="str">
        <f>'EN60'!A$3</f>
        <v>EN60</v>
      </c>
      <c r="B826" s="4">
        <f t="shared" si="85"/>
        <v>10</v>
      </c>
      <c r="C826" s="4">
        <f t="shared" si="86"/>
        <v>40</v>
      </c>
      <c r="D826" s="4">
        <f t="shared" si="80"/>
        <v>8</v>
      </c>
      <c r="E826" s="4" t="s">
        <v>27</v>
      </c>
      <c r="F826" s="4">
        <f t="shared" si="81"/>
        <v>800</v>
      </c>
      <c r="G826" s="5">
        <f t="shared" si="87"/>
        <v>1.01</v>
      </c>
      <c r="H826" s="6" t="str">
        <f t="shared" si="82"/>
        <v>INSERT INTO public.coupon (plancode, age, "year", couponrate, benefittype, benefitrate, premiumrate) VALUES('EN60', 10, 40, 8, 'A',800, 1.01);</v>
      </c>
      <c r="I826" s="6" t="str">
        <f t="shared" si="83"/>
        <v>{"age":"10", "year":"40", "couponrate":"8", "benefittype":"A", "benefitrate":"800", "premiumrate":"1.01"}</v>
      </c>
      <c r="J826" s="6" t="str">
        <f t="shared" si="84"/>
        <v>,</v>
      </c>
    </row>
    <row r="827" spans="1:10">
      <c r="A827" s="4" t="str">
        <f>'EN60'!A$3</f>
        <v>EN60</v>
      </c>
      <c r="B827" s="4">
        <f t="shared" si="85"/>
        <v>10</v>
      </c>
      <c r="C827" s="4">
        <f t="shared" si="86"/>
        <v>41</v>
      </c>
      <c r="D827" s="4">
        <f t="shared" si="80"/>
        <v>8</v>
      </c>
      <c r="E827" s="4" t="s">
        <v>27</v>
      </c>
      <c r="F827" s="4">
        <f t="shared" si="81"/>
        <v>800</v>
      </c>
      <c r="G827" s="5">
        <f t="shared" si="87"/>
        <v>1.01</v>
      </c>
      <c r="H827" s="6" t="str">
        <f t="shared" si="82"/>
        <v>INSERT INTO public.coupon (plancode, age, "year", couponrate, benefittype, benefitrate, premiumrate) VALUES('EN60', 10, 41, 8, 'A',800, 1.01);</v>
      </c>
      <c r="I827" s="6" t="str">
        <f t="shared" si="83"/>
        <v>{"age":"10", "year":"41", "couponrate":"8", "benefittype":"A", "benefitrate":"800", "premiumrate":"1.01"}</v>
      </c>
      <c r="J827" s="6" t="str">
        <f t="shared" si="84"/>
        <v>,</v>
      </c>
    </row>
    <row r="828" spans="1:10">
      <c r="A828" s="4" t="str">
        <f>'EN60'!A$3</f>
        <v>EN60</v>
      </c>
      <c r="B828" s="4">
        <f t="shared" si="85"/>
        <v>10</v>
      </c>
      <c r="C828" s="4">
        <f t="shared" si="86"/>
        <v>42</v>
      </c>
      <c r="D828" s="4">
        <f t="shared" si="80"/>
        <v>8</v>
      </c>
      <c r="E828" s="4" t="s">
        <v>27</v>
      </c>
      <c r="F828" s="4">
        <f t="shared" si="81"/>
        <v>800</v>
      </c>
      <c r="G828" s="5">
        <f t="shared" si="87"/>
        <v>1.01</v>
      </c>
      <c r="H828" s="6" t="str">
        <f t="shared" si="82"/>
        <v>INSERT INTO public.coupon (plancode, age, "year", couponrate, benefittype, benefitrate, premiumrate) VALUES('EN60', 10, 42, 8, 'A',800, 1.01);</v>
      </c>
      <c r="I828" s="6" t="str">
        <f t="shared" si="83"/>
        <v>{"age":"10", "year":"42", "couponrate":"8", "benefittype":"A", "benefitrate":"800", "premiumrate":"1.01"}</v>
      </c>
      <c r="J828" s="6" t="str">
        <f t="shared" si="84"/>
        <v>,</v>
      </c>
    </row>
    <row r="829" spans="1:10">
      <c r="A829" s="4" t="str">
        <f>'EN60'!A$3</f>
        <v>EN60</v>
      </c>
      <c r="B829" s="4">
        <f t="shared" si="85"/>
        <v>10</v>
      </c>
      <c r="C829" s="4">
        <f t="shared" si="86"/>
        <v>43</v>
      </c>
      <c r="D829" s="4">
        <f t="shared" si="80"/>
        <v>8</v>
      </c>
      <c r="E829" s="4" t="s">
        <v>27</v>
      </c>
      <c r="F829" s="4">
        <f t="shared" si="81"/>
        <v>800</v>
      </c>
      <c r="G829" s="5">
        <f t="shared" si="87"/>
        <v>1.01</v>
      </c>
      <c r="H829" s="6" t="str">
        <f t="shared" si="82"/>
        <v>INSERT INTO public.coupon (plancode, age, "year", couponrate, benefittype, benefitrate, premiumrate) VALUES('EN60', 10, 43, 8, 'A',800, 1.01);</v>
      </c>
      <c r="I829" s="6" t="str">
        <f t="shared" si="83"/>
        <v>{"age":"10", "year":"43", "couponrate":"8", "benefittype":"A", "benefitrate":"800", "premiumrate":"1.01"}</v>
      </c>
      <c r="J829" s="6" t="str">
        <f t="shared" si="84"/>
        <v>,</v>
      </c>
    </row>
    <row r="830" spans="1:10">
      <c r="A830" s="4" t="str">
        <f>'EN60'!A$3</f>
        <v>EN60</v>
      </c>
      <c r="B830" s="4">
        <f t="shared" si="85"/>
        <v>10</v>
      </c>
      <c r="C830" s="4">
        <f t="shared" si="86"/>
        <v>44</v>
      </c>
      <c r="D830" s="4">
        <f t="shared" si="80"/>
        <v>8</v>
      </c>
      <c r="E830" s="4" t="s">
        <v>27</v>
      </c>
      <c r="F830" s="4">
        <f t="shared" si="81"/>
        <v>800</v>
      </c>
      <c r="G830" s="5">
        <f t="shared" si="87"/>
        <v>1.01</v>
      </c>
      <c r="H830" s="6" t="str">
        <f t="shared" si="82"/>
        <v>INSERT INTO public.coupon (plancode, age, "year", couponrate, benefittype, benefitrate, premiumrate) VALUES('EN60', 10, 44, 8, 'A',800, 1.01);</v>
      </c>
      <c r="I830" s="6" t="str">
        <f t="shared" si="83"/>
        <v>{"age":"10", "year":"44", "couponrate":"8", "benefittype":"A", "benefitrate":"800", "premiumrate":"1.01"}</v>
      </c>
      <c r="J830" s="6" t="str">
        <f t="shared" si="84"/>
        <v>,</v>
      </c>
    </row>
    <row r="831" spans="1:10">
      <c r="A831" s="4" t="str">
        <f>'EN60'!A$3</f>
        <v>EN60</v>
      </c>
      <c r="B831" s="4">
        <f t="shared" si="85"/>
        <v>10</v>
      </c>
      <c r="C831" s="4">
        <f t="shared" si="86"/>
        <v>45</v>
      </c>
      <c r="D831" s="4">
        <f t="shared" si="80"/>
        <v>8</v>
      </c>
      <c r="E831" s="4" t="s">
        <v>27</v>
      </c>
      <c r="F831" s="4">
        <f t="shared" si="81"/>
        <v>800</v>
      </c>
      <c r="G831" s="5">
        <f t="shared" si="87"/>
        <v>1.01</v>
      </c>
      <c r="H831" s="6" t="str">
        <f t="shared" si="82"/>
        <v>INSERT INTO public.coupon (plancode, age, "year", couponrate, benefittype, benefitrate, premiumrate) VALUES('EN60', 10, 45, 8, 'A',800, 1.01);</v>
      </c>
      <c r="I831" s="6" t="str">
        <f t="shared" si="83"/>
        <v>{"age":"10", "year":"45", "couponrate":"8", "benefittype":"A", "benefitrate":"800", "premiumrate":"1.01"}</v>
      </c>
      <c r="J831" s="6" t="str">
        <f t="shared" si="84"/>
        <v>,</v>
      </c>
    </row>
    <row r="832" spans="1:10">
      <c r="A832" s="4" t="str">
        <f>'EN60'!A$3</f>
        <v>EN60</v>
      </c>
      <c r="B832" s="4">
        <f t="shared" si="85"/>
        <v>10</v>
      </c>
      <c r="C832" s="4">
        <f t="shared" si="86"/>
        <v>46</v>
      </c>
      <c r="D832" s="4">
        <f t="shared" si="80"/>
        <v>8</v>
      </c>
      <c r="E832" s="4" t="s">
        <v>27</v>
      </c>
      <c r="F832" s="4">
        <f t="shared" si="81"/>
        <v>800</v>
      </c>
      <c r="G832" s="5">
        <f t="shared" si="87"/>
        <v>1.01</v>
      </c>
      <c r="H832" s="6" t="str">
        <f t="shared" si="82"/>
        <v>INSERT INTO public.coupon (plancode, age, "year", couponrate, benefittype, benefitrate, premiumrate) VALUES('EN60', 10, 46, 8, 'A',800, 1.01);</v>
      </c>
      <c r="I832" s="6" t="str">
        <f t="shared" si="83"/>
        <v>{"age":"10", "year":"46", "couponrate":"8", "benefittype":"A", "benefitrate":"800", "premiumrate":"1.01"}</v>
      </c>
      <c r="J832" s="6" t="str">
        <f t="shared" si="84"/>
        <v>,</v>
      </c>
    </row>
    <row r="833" spans="1:10">
      <c r="A833" s="4" t="str">
        <f>'EN60'!A$3</f>
        <v>EN60</v>
      </c>
      <c r="B833" s="4">
        <f t="shared" si="85"/>
        <v>10</v>
      </c>
      <c r="C833" s="4">
        <f t="shared" si="86"/>
        <v>47</v>
      </c>
      <c r="D833" s="4">
        <f t="shared" si="80"/>
        <v>8</v>
      </c>
      <c r="E833" s="4" t="s">
        <v>27</v>
      </c>
      <c r="F833" s="4">
        <f t="shared" si="81"/>
        <v>800</v>
      </c>
      <c r="G833" s="5">
        <f t="shared" si="87"/>
        <v>1.01</v>
      </c>
      <c r="H833" s="6" t="str">
        <f t="shared" si="82"/>
        <v>INSERT INTO public.coupon (plancode, age, "year", couponrate, benefittype, benefitrate, premiumrate) VALUES('EN60', 10, 47, 8, 'A',800, 1.01);</v>
      </c>
      <c r="I833" s="6" t="str">
        <f t="shared" si="83"/>
        <v>{"age":"10", "year":"47", "couponrate":"8", "benefittype":"A", "benefitrate":"800", "premiumrate":"1.01"}</v>
      </c>
      <c r="J833" s="6" t="str">
        <f t="shared" si="84"/>
        <v>,</v>
      </c>
    </row>
    <row r="834" spans="1:10">
      <c r="A834" s="4" t="str">
        <f>'EN60'!A$3</f>
        <v>EN60</v>
      </c>
      <c r="B834" s="4">
        <f t="shared" si="85"/>
        <v>10</v>
      </c>
      <c r="C834" s="4">
        <f t="shared" si="86"/>
        <v>48</v>
      </c>
      <c r="D834" s="4">
        <f t="shared" si="80"/>
        <v>8</v>
      </c>
      <c r="E834" s="4" t="s">
        <v>27</v>
      </c>
      <c r="F834" s="4">
        <f t="shared" si="81"/>
        <v>800</v>
      </c>
      <c r="G834" s="5">
        <f t="shared" si="87"/>
        <v>1.01</v>
      </c>
      <c r="H834" s="6" t="str">
        <f t="shared" si="82"/>
        <v>INSERT INTO public.coupon (plancode, age, "year", couponrate, benefittype, benefitrate, premiumrate) VALUES('EN60', 10, 48, 8, 'A',800, 1.01);</v>
      </c>
      <c r="I834" s="6" t="str">
        <f t="shared" si="83"/>
        <v>{"age":"10", "year":"48", "couponrate":"8", "benefittype":"A", "benefitrate":"800", "premiumrate":"1.01"}</v>
      </c>
      <c r="J834" s="6" t="str">
        <f t="shared" si="84"/>
        <v>,</v>
      </c>
    </row>
    <row r="835" spans="1:10">
      <c r="A835" s="4" t="str">
        <f>'EN60'!A$3</f>
        <v>EN60</v>
      </c>
      <c r="B835" s="4">
        <f t="shared" si="85"/>
        <v>10</v>
      </c>
      <c r="C835" s="4">
        <f t="shared" si="86"/>
        <v>49</v>
      </c>
      <c r="D835" s="4">
        <f t="shared" si="80"/>
        <v>8</v>
      </c>
      <c r="E835" s="4" t="s">
        <v>27</v>
      </c>
      <c r="F835" s="4">
        <f t="shared" si="81"/>
        <v>800</v>
      </c>
      <c r="G835" s="5">
        <f t="shared" si="87"/>
        <v>1.01</v>
      </c>
      <c r="H835" s="6" t="str">
        <f t="shared" si="82"/>
        <v>INSERT INTO public.coupon (plancode, age, "year", couponrate, benefittype, benefitrate, premiumrate) VALUES('EN60', 10, 49, 8, 'A',800, 1.01);</v>
      </c>
      <c r="I835" s="6" t="str">
        <f t="shared" si="83"/>
        <v>{"age":"10", "year":"49", "couponrate":"8", "benefittype":"A", "benefitrate":"800", "premiumrate":"1.01"}</v>
      </c>
      <c r="J835" s="6" t="str">
        <f t="shared" si="84"/>
        <v>,</v>
      </c>
    </row>
    <row r="836" spans="1:10">
      <c r="A836" s="4" t="str">
        <f>'EN60'!A$3</f>
        <v>EN60</v>
      </c>
      <c r="B836" s="4">
        <f t="shared" si="85"/>
        <v>10</v>
      </c>
      <c r="C836" s="4">
        <f t="shared" si="86"/>
        <v>50</v>
      </c>
      <c r="D836" s="4">
        <f t="shared" si="80"/>
        <v>8</v>
      </c>
      <c r="E836" s="4" t="s">
        <v>27</v>
      </c>
      <c r="F836" s="4">
        <f t="shared" si="81"/>
        <v>800</v>
      </c>
      <c r="G836" s="5">
        <f t="shared" si="87"/>
        <v>1.01</v>
      </c>
      <c r="H836" s="6" t="str">
        <f t="shared" si="82"/>
        <v>INSERT INTO public.coupon (plancode, age, "year", couponrate, benefittype, benefitrate, premiumrate) VALUES('EN60', 10, 50, 8, 'A',800, 1.01);</v>
      </c>
      <c r="I836" s="6" t="str">
        <f t="shared" si="83"/>
        <v>{"age":"10", "year":"50", "couponrate":"8", "benefittype":"A", "benefitrate":"800", "premiumrate":"1.01"}</v>
      </c>
      <c r="J836" s="6" t="str">
        <f t="shared" si="84"/>
        <v>,</v>
      </c>
    </row>
    <row r="837" spans="1:10">
      <c r="A837" s="4" t="str">
        <f>'EN60'!A$3</f>
        <v>EN60</v>
      </c>
      <c r="B837" s="4">
        <f t="shared" si="85"/>
        <v>10</v>
      </c>
      <c r="C837" s="4">
        <f t="shared" si="86"/>
        <v>51</v>
      </c>
      <c r="D837" s="4">
        <f t="shared" si="80"/>
        <v>8</v>
      </c>
      <c r="E837" s="4" t="s">
        <v>27</v>
      </c>
      <c r="F837" s="4">
        <f t="shared" si="81"/>
        <v>800</v>
      </c>
      <c r="G837" s="5">
        <f t="shared" si="87"/>
        <v>1.01</v>
      </c>
      <c r="H837" s="6" t="str">
        <f t="shared" si="82"/>
        <v>INSERT INTO public.coupon (plancode, age, "year", couponrate, benefittype, benefitrate, premiumrate) VALUES('EN60', 10, 51, 8, 'A',800, 1.01);</v>
      </c>
      <c r="I837" s="6" t="str">
        <f t="shared" si="83"/>
        <v>{"age":"10", "year":"51", "couponrate":"8", "benefittype":"A", "benefitrate":"800", "premiumrate":"1.01"}</v>
      </c>
      <c r="J837" s="6" t="str">
        <f t="shared" si="84"/>
        <v>,</v>
      </c>
    </row>
    <row r="838" spans="1:10">
      <c r="A838" s="4" t="str">
        <f>'EN60'!A$3</f>
        <v>EN60</v>
      </c>
      <c r="B838" s="4">
        <f t="shared" si="85"/>
        <v>10</v>
      </c>
      <c r="C838" s="4">
        <f t="shared" si="86"/>
        <v>52</v>
      </c>
      <c r="D838" s="4">
        <f t="shared" si="80"/>
        <v>8</v>
      </c>
      <c r="E838" s="4" t="s">
        <v>27</v>
      </c>
      <c r="F838" s="4">
        <f t="shared" si="81"/>
        <v>800</v>
      </c>
      <c r="G838" s="5">
        <f t="shared" si="87"/>
        <v>1.01</v>
      </c>
      <c r="H838" s="6" t="str">
        <f t="shared" si="82"/>
        <v>INSERT INTO public.coupon (plancode, age, "year", couponrate, benefittype, benefitrate, premiumrate) VALUES('EN60', 10, 52, 8, 'A',800, 1.01);</v>
      </c>
      <c r="I838" s="6" t="str">
        <f t="shared" si="83"/>
        <v>{"age":"10", "year":"52", "couponrate":"8", "benefittype":"A", "benefitrate":"800", "premiumrate":"1.01"}</v>
      </c>
      <c r="J838" s="6" t="str">
        <f t="shared" si="84"/>
        <v>,</v>
      </c>
    </row>
    <row r="839" spans="1:10">
      <c r="A839" s="4" t="str">
        <f>'EN60'!A$3</f>
        <v>EN60</v>
      </c>
      <c r="B839" s="4">
        <f t="shared" si="85"/>
        <v>10</v>
      </c>
      <c r="C839" s="4">
        <f t="shared" si="86"/>
        <v>53</v>
      </c>
      <c r="D839" s="4">
        <f t="shared" si="80"/>
        <v>8</v>
      </c>
      <c r="E839" s="4" t="s">
        <v>27</v>
      </c>
      <c r="F839" s="4">
        <f t="shared" si="81"/>
        <v>800</v>
      </c>
      <c r="G839" s="5">
        <f t="shared" si="87"/>
        <v>1.01</v>
      </c>
      <c r="H839" s="6" t="str">
        <f t="shared" si="82"/>
        <v>INSERT INTO public.coupon (plancode, age, "year", couponrate, benefittype, benefitrate, premiumrate) VALUES('EN60', 10, 53, 8, 'A',800, 1.01);</v>
      </c>
      <c r="I839" s="6" t="str">
        <f t="shared" si="83"/>
        <v>{"age":"10", "year":"53", "couponrate":"8", "benefittype":"A", "benefitrate":"800", "premiumrate":"1.01"}</v>
      </c>
      <c r="J839" s="6" t="str">
        <f t="shared" si="84"/>
        <v>,</v>
      </c>
    </row>
    <row r="840" spans="1:10">
      <c r="A840" s="4" t="str">
        <f>'EN60'!A$3</f>
        <v>EN60</v>
      </c>
      <c r="B840" s="4">
        <f t="shared" si="85"/>
        <v>10</v>
      </c>
      <c r="C840" s="4">
        <f t="shared" si="86"/>
        <v>54</v>
      </c>
      <c r="D840" s="4">
        <f t="shared" si="80"/>
        <v>8</v>
      </c>
      <c r="E840" s="4" t="s">
        <v>27</v>
      </c>
      <c r="F840" s="4">
        <f t="shared" si="81"/>
        <v>800</v>
      </c>
      <c r="G840" s="5">
        <f t="shared" si="87"/>
        <v>1.01</v>
      </c>
      <c r="H840" s="6" t="str">
        <f t="shared" si="82"/>
        <v>INSERT INTO public.coupon (plancode, age, "year", couponrate, benefittype, benefitrate, premiumrate) VALUES('EN60', 10, 54, 8, 'A',800, 1.01);</v>
      </c>
      <c r="I840" s="6" t="str">
        <f t="shared" si="83"/>
        <v>{"age":"10", "year":"54", "couponrate":"8", "benefittype":"A", "benefitrate":"800", "premiumrate":"1.01"}</v>
      </c>
      <c r="J840" s="6" t="str">
        <f t="shared" si="84"/>
        <v>,</v>
      </c>
    </row>
    <row r="841" spans="1:10">
      <c r="A841" s="4" t="str">
        <f>'EN60'!A$3</f>
        <v>EN60</v>
      </c>
      <c r="B841" s="4">
        <f t="shared" si="85"/>
        <v>10</v>
      </c>
      <c r="C841" s="4">
        <f t="shared" si="86"/>
        <v>55</v>
      </c>
      <c r="D841" s="4">
        <f t="shared" si="80"/>
        <v>8</v>
      </c>
      <c r="E841" s="4" t="s">
        <v>27</v>
      </c>
      <c r="F841" s="4">
        <f t="shared" si="81"/>
        <v>800</v>
      </c>
      <c r="G841" s="5">
        <f t="shared" si="87"/>
        <v>1.01</v>
      </c>
      <c r="H841" s="6" t="str">
        <f t="shared" si="82"/>
        <v>INSERT INTO public.coupon (plancode, age, "year", couponrate, benefittype, benefitrate, premiumrate) VALUES('EN60', 10, 55, 8, 'A',800, 1.01);</v>
      </c>
      <c r="I841" s="6" t="str">
        <f t="shared" si="83"/>
        <v>{"age":"10", "year":"55", "couponrate":"8", "benefittype":"A", "benefitrate":"800", "premiumrate":"1.01"}</v>
      </c>
      <c r="J841" s="6" t="str">
        <f t="shared" si="84"/>
        <v>,</v>
      </c>
    </row>
    <row r="842" spans="1:10">
      <c r="A842" s="4" t="str">
        <f>'EN60'!A$3</f>
        <v>EN60</v>
      </c>
      <c r="B842" s="4">
        <f t="shared" si="85"/>
        <v>10</v>
      </c>
      <c r="C842" s="4">
        <f t="shared" si="86"/>
        <v>56</v>
      </c>
      <c r="D842" s="4">
        <f t="shared" si="80"/>
        <v>8</v>
      </c>
      <c r="E842" s="4" t="s">
        <v>27</v>
      </c>
      <c r="F842" s="4">
        <f t="shared" si="81"/>
        <v>800</v>
      </c>
      <c r="G842" s="5">
        <f t="shared" si="87"/>
        <v>1.01</v>
      </c>
      <c r="H842" s="6" t="str">
        <f t="shared" si="82"/>
        <v>INSERT INTO public.coupon (plancode, age, "year", couponrate, benefittype, benefitrate, premiumrate) VALUES('EN60', 10, 56, 8, 'A',800, 1.01);</v>
      </c>
      <c r="I842" s="6" t="str">
        <f t="shared" si="83"/>
        <v>{"age":"10", "year":"56", "couponrate":"8", "benefittype":"A", "benefitrate":"800", "premiumrate":"1.01"}</v>
      </c>
      <c r="J842" s="6" t="str">
        <f t="shared" si="84"/>
        <v>,</v>
      </c>
    </row>
    <row r="843" spans="1:10">
      <c r="A843" s="4" t="str">
        <f>'EN60'!A$3</f>
        <v>EN60</v>
      </c>
      <c r="B843" s="4">
        <f t="shared" si="85"/>
        <v>10</v>
      </c>
      <c r="C843" s="4">
        <f t="shared" si="86"/>
        <v>57</v>
      </c>
      <c r="D843" s="4">
        <f t="shared" si="80"/>
        <v>8</v>
      </c>
      <c r="E843" s="4" t="s">
        <v>27</v>
      </c>
      <c r="F843" s="4">
        <f t="shared" si="81"/>
        <v>800</v>
      </c>
      <c r="G843" s="5">
        <f t="shared" si="87"/>
        <v>1.01</v>
      </c>
      <c r="H843" s="6" t="str">
        <f t="shared" si="82"/>
        <v>INSERT INTO public.coupon (plancode, age, "year", couponrate, benefittype, benefitrate, premiumrate) VALUES('EN60', 10, 57, 8, 'A',800, 1.01);</v>
      </c>
      <c r="I843" s="6" t="str">
        <f t="shared" si="83"/>
        <v>{"age":"10", "year":"57", "couponrate":"8", "benefittype":"A", "benefitrate":"800", "premiumrate":"1.01"}</v>
      </c>
      <c r="J843" s="6" t="str">
        <f t="shared" si="84"/>
        <v>,</v>
      </c>
    </row>
    <row r="844" spans="1:10">
      <c r="A844" s="4" t="str">
        <f>'EN60'!A$3</f>
        <v>EN60</v>
      </c>
      <c r="B844" s="4">
        <f t="shared" si="85"/>
        <v>10</v>
      </c>
      <c r="C844" s="4">
        <f t="shared" si="86"/>
        <v>58</v>
      </c>
      <c r="D844" s="4">
        <f t="shared" si="80"/>
        <v>8</v>
      </c>
      <c r="E844" s="4" t="s">
        <v>27</v>
      </c>
      <c r="F844" s="4">
        <f t="shared" si="81"/>
        <v>800</v>
      </c>
      <c r="G844" s="5">
        <f t="shared" si="87"/>
        <v>1.01</v>
      </c>
      <c r="H844" s="6" t="str">
        <f t="shared" si="82"/>
        <v>INSERT INTO public.coupon (plancode, age, "year", couponrate, benefittype, benefitrate, premiumrate) VALUES('EN60', 10, 58, 8, 'A',800, 1.01);</v>
      </c>
      <c r="I844" s="6" t="str">
        <f t="shared" si="83"/>
        <v>{"age":"10", "year":"58", "couponrate":"8", "benefittype":"A", "benefitrate":"800", "premiumrate":"1.01"}</v>
      </c>
      <c r="J844" s="6" t="str">
        <f t="shared" si="84"/>
        <v>,</v>
      </c>
    </row>
    <row r="845" spans="1:10">
      <c r="A845" s="4" t="str">
        <f>'EN60'!A$3</f>
        <v>EN60</v>
      </c>
      <c r="B845" s="4">
        <f t="shared" si="85"/>
        <v>10</v>
      </c>
      <c r="C845" s="4">
        <f t="shared" si="86"/>
        <v>59</v>
      </c>
      <c r="D845" s="4">
        <f t="shared" si="80"/>
        <v>8</v>
      </c>
      <c r="E845" s="4" t="s">
        <v>27</v>
      </c>
      <c r="F845" s="4">
        <f t="shared" si="81"/>
        <v>800</v>
      </c>
      <c r="G845" s="5">
        <f t="shared" si="87"/>
        <v>1.01</v>
      </c>
      <c r="H845" s="6" t="str">
        <f t="shared" si="82"/>
        <v>INSERT INTO public.coupon (plancode, age, "year", couponrate, benefittype, benefitrate, premiumrate) VALUES('EN60', 10, 59, 8, 'A',800, 1.01);</v>
      </c>
      <c r="I845" s="6" t="str">
        <f t="shared" si="83"/>
        <v>{"age":"10", "year":"59", "couponrate":"8", "benefittype":"A", "benefitrate":"800", "premiumrate":"1.01"}</v>
      </c>
      <c r="J845" s="6" t="str">
        <f t="shared" si="84"/>
        <v>,</v>
      </c>
    </row>
    <row r="846" spans="1:10">
      <c r="A846" s="4" t="str">
        <f>'EN60'!A$3</f>
        <v>EN60</v>
      </c>
      <c r="B846" s="4">
        <f t="shared" si="85"/>
        <v>10</v>
      </c>
      <c r="C846" s="4">
        <f t="shared" si="86"/>
        <v>60</v>
      </c>
      <c r="D846" s="4">
        <f t="shared" si="80"/>
        <v>8</v>
      </c>
      <c r="E846" s="4" t="s">
        <v>27</v>
      </c>
      <c r="F846" s="4">
        <f t="shared" si="81"/>
        <v>800</v>
      </c>
      <c r="G846" s="5">
        <f t="shared" si="87"/>
        <v>1.01</v>
      </c>
      <c r="H846" s="6" t="str">
        <f t="shared" si="82"/>
        <v>INSERT INTO public.coupon (plancode, age, "year", couponrate, benefittype, benefitrate, premiumrate) VALUES('EN60', 10, 60, 8, 'A',800, 1.01);</v>
      </c>
      <c r="I846" s="6" t="str">
        <f t="shared" si="83"/>
        <v>{"age":"10", "year":"60", "couponrate":"8", "benefittype":"A", "benefitrate":"800", "premiumrate":"1.01"}</v>
      </c>
      <c r="J846" s="6" t="str">
        <f t="shared" si="84"/>
        <v>,</v>
      </c>
    </row>
    <row r="847" spans="1:10">
      <c r="A847" s="4" t="str">
        <f>'EN60'!A$3</f>
        <v>EN60</v>
      </c>
      <c r="B847" s="4">
        <f t="shared" si="85"/>
        <v>10</v>
      </c>
      <c r="C847" s="4">
        <f t="shared" si="86"/>
        <v>61</v>
      </c>
      <c r="D847" s="4">
        <f t="shared" si="80"/>
        <v>8</v>
      </c>
      <c r="E847" s="4" t="s">
        <v>27</v>
      </c>
      <c r="F847" s="4">
        <f t="shared" si="81"/>
        <v>800</v>
      </c>
      <c r="G847" s="5">
        <f t="shared" si="87"/>
        <v>1.01</v>
      </c>
      <c r="H847" s="6" t="str">
        <f t="shared" si="82"/>
        <v>INSERT INTO public.coupon (plancode, age, "year", couponrate, benefittype, benefitrate, premiumrate) VALUES('EN60', 10, 61, 8, 'A',800, 1.01);</v>
      </c>
      <c r="I847" s="6" t="str">
        <f t="shared" si="83"/>
        <v>{"age":"10", "year":"61", "couponrate":"8", "benefittype":"A", "benefitrate":"800", "premiumrate":"1.01"}</v>
      </c>
      <c r="J847" s="6" t="str">
        <f t="shared" si="84"/>
        <v>,</v>
      </c>
    </row>
    <row r="848" spans="1:10">
      <c r="A848" s="4" t="str">
        <f>'EN60'!A$3</f>
        <v>EN60</v>
      </c>
      <c r="B848" s="4">
        <f t="shared" si="85"/>
        <v>10</v>
      </c>
      <c r="C848" s="4">
        <f t="shared" si="86"/>
        <v>62</v>
      </c>
      <c r="D848" s="4">
        <f t="shared" si="80"/>
        <v>8</v>
      </c>
      <c r="E848" s="4" t="s">
        <v>27</v>
      </c>
      <c r="F848" s="4">
        <f t="shared" si="81"/>
        <v>800</v>
      </c>
      <c r="G848" s="5">
        <f t="shared" si="87"/>
        <v>1.01</v>
      </c>
      <c r="H848" s="6" t="str">
        <f t="shared" si="82"/>
        <v>INSERT INTO public.coupon (plancode, age, "year", couponrate, benefittype, benefitrate, premiumrate) VALUES('EN60', 10, 62, 8, 'A',800, 1.01);</v>
      </c>
      <c r="I848" s="6" t="str">
        <f t="shared" si="83"/>
        <v>{"age":"10", "year":"62", "couponrate":"8", "benefittype":"A", "benefitrate":"800", "premiumrate":"1.01"}</v>
      </c>
      <c r="J848" s="6" t="str">
        <f t="shared" si="84"/>
        <v>,</v>
      </c>
    </row>
    <row r="849" spans="1:10">
      <c r="A849" s="4" t="str">
        <f>'EN60'!A$3</f>
        <v>EN60</v>
      </c>
      <c r="B849" s="4">
        <f t="shared" si="85"/>
        <v>10</v>
      </c>
      <c r="C849" s="4">
        <f t="shared" si="86"/>
        <v>63</v>
      </c>
      <c r="D849" s="4">
        <f t="shared" si="80"/>
        <v>8</v>
      </c>
      <c r="E849" s="4" t="s">
        <v>27</v>
      </c>
      <c r="F849" s="4">
        <f t="shared" si="81"/>
        <v>800</v>
      </c>
      <c r="G849" s="5">
        <f t="shared" si="87"/>
        <v>1.01</v>
      </c>
      <c r="H849" s="6" t="str">
        <f t="shared" si="82"/>
        <v>INSERT INTO public.coupon (plancode, age, "year", couponrate, benefittype, benefitrate, premiumrate) VALUES('EN60', 10, 63, 8, 'A',800, 1.01);</v>
      </c>
      <c r="I849" s="6" t="str">
        <f t="shared" si="83"/>
        <v>{"age":"10", "year":"63", "couponrate":"8", "benefittype":"A", "benefitrate":"800", "premiumrate":"1.01"}</v>
      </c>
      <c r="J849" s="6" t="str">
        <f t="shared" si="84"/>
        <v>,</v>
      </c>
    </row>
    <row r="850" spans="1:10">
      <c r="A850" s="4" t="str">
        <f>'EN60'!A$3</f>
        <v>EN60</v>
      </c>
      <c r="B850" s="4">
        <f t="shared" si="85"/>
        <v>10</v>
      </c>
      <c r="C850" s="4">
        <f t="shared" si="86"/>
        <v>64</v>
      </c>
      <c r="D850" s="4">
        <f t="shared" si="80"/>
        <v>8</v>
      </c>
      <c r="E850" s="4" t="s">
        <v>27</v>
      </c>
      <c r="F850" s="4">
        <f t="shared" si="81"/>
        <v>800</v>
      </c>
      <c r="G850" s="5">
        <f t="shared" si="87"/>
        <v>1.01</v>
      </c>
      <c r="H850" s="6" t="str">
        <f t="shared" si="82"/>
        <v>INSERT INTO public.coupon (plancode, age, "year", couponrate, benefittype, benefitrate, premiumrate) VALUES('EN60', 10, 64, 8, 'A',800, 1.01);</v>
      </c>
      <c r="I850" s="6" t="str">
        <f t="shared" si="83"/>
        <v>{"age":"10", "year":"64", "couponrate":"8", "benefittype":"A", "benefitrate":"800", "premiumrate":"1.01"}</v>
      </c>
      <c r="J850" s="6" t="str">
        <f t="shared" si="84"/>
        <v>,</v>
      </c>
    </row>
    <row r="851" spans="1:10">
      <c r="A851" s="4" t="str">
        <f>'EN60'!A$3</f>
        <v>EN60</v>
      </c>
      <c r="B851" s="4">
        <f t="shared" si="85"/>
        <v>10</v>
      </c>
      <c r="C851" s="4">
        <f t="shared" si="86"/>
        <v>65</v>
      </c>
      <c r="D851" s="4">
        <f t="shared" si="80"/>
        <v>8</v>
      </c>
      <c r="E851" s="4" t="s">
        <v>27</v>
      </c>
      <c r="F851" s="4">
        <f t="shared" si="81"/>
        <v>800</v>
      </c>
      <c r="G851" s="5">
        <f t="shared" si="87"/>
        <v>1.01</v>
      </c>
      <c r="H851" s="6" t="str">
        <f t="shared" si="82"/>
        <v>INSERT INTO public.coupon (plancode, age, "year", couponrate, benefittype, benefitrate, premiumrate) VALUES('EN60', 10, 65, 8, 'A',800, 1.01);</v>
      </c>
      <c r="I851" s="6" t="str">
        <f t="shared" si="83"/>
        <v>{"age":"10", "year":"65", "couponrate":"8", "benefittype":"A", "benefitrate":"800", "premiumrate":"1.01"}</v>
      </c>
      <c r="J851" s="6" t="str">
        <f t="shared" si="84"/>
        <v>,</v>
      </c>
    </row>
    <row r="852" spans="1:10">
      <c r="A852" s="4" t="str">
        <f>'EN60'!A$3</f>
        <v>EN60</v>
      </c>
      <c r="B852" s="4">
        <f t="shared" si="85"/>
        <v>10</v>
      </c>
      <c r="C852" s="4">
        <f t="shared" si="86"/>
        <v>66</v>
      </c>
      <c r="D852" s="4">
        <f t="shared" si="80"/>
        <v>8</v>
      </c>
      <c r="E852" s="4" t="s">
        <v>27</v>
      </c>
      <c r="F852" s="4">
        <f t="shared" si="81"/>
        <v>800</v>
      </c>
      <c r="G852" s="5">
        <f t="shared" si="87"/>
        <v>1.01</v>
      </c>
      <c r="H852" s="6" t="str">
        <f t="shared" si="82"/>
        <v>INSERT INTO public.coupon (plancode, age, "year", couponrate, benefittype, benefitrate, premiumrate) VALUES('EN60', 10, 66, 8, 'A',800, 1.01);</v>
      </c>
      <c r="I852" s="6" t="str">
        <f t="shared" si="83"/>
        <v>{"age":"10", "year":"66", "couponrate":"8", "benefittype":"A", "benefitrate":"800", "premiumrate":"1.01"}</v>
      </c>
      <c r="J852" s="6" t="str">
        <f t="shared" si="84"/>
        <v>,</v>
      </c>
    </row>
    <row r="853" spans="1:10">
      <c r="A853" s="4" t="str">
        <f>'EN60'!A$3</f>
        <v>EN60</v>
      </c>
      <c r="B853" s="4">
        <f t="shared" si="85"/>
        <v>10</v>
      </c>
      <c r="C853" s="4">
        <f t="shared" si="86"/>
        <v>67</v>
      </c>
      <c r="D853" s="4">
        <f t="shared" si="80"/>
        <v>8</v>
      </c>
      <c r="E853" s="4" t="s">
        <v>27</v>
      </c>
      <c r="F853" s="4">
        <f t="shared" si="81"/>
        <v>800</v>
      </c>
      <c r="G853" s="5">
        <f t="shared" si="87"/>
        <v>1.01</v>
      </c>
      <c r="H853" s="6" t="str">
        <f t="shared" si="82"/>
        <v>INSERT INTO public.coupon (plancode, age, "year", couponrate, benefittype, benefitrate, premiumrate) VALUES('EN60', 10, 67, 8, 'A',800, 1.01);</v>
      </c>
      <c r="I853" s="6" t="str">
        <f t="shared" si="83"/>
        <v>{"age":"10", "year":"67", "couponrate":"8", "benefittype":"A", "benefitrate":"800", "premiumrate":"1.01"}</v>
      </c>
      <c r="J853" s="6" t="str">
        <f t="shared" si="84"/>
        <v>,</v>
      </c>
    </row>
    <row r="854" spans="1:10">
      <c r="A854" s="4" t="str">
        <f>'EN60'!A$3</f>
        <v>EN60</v>
      </c>
      <c r="B854" s="4">
        <f t="shared" si="85"/>
        <v>10</v>
      </c>
      <c r="C854" s="4">
        <f t="shared" si="86"/>
        <v>68</v>
      </c>
      <c r="D854" s="4">
        <f t="shared" si="80"/>
        <v>8</v>
      </c>
      <c r="E854" s="4" t="s">
        <v>27</v>
      </c>
      <c r="F854" s="4">
        <f t="shared" si="81"/>
        <v>800</v>
      </c>
      <c r="G854" s="5">
        <f t="shared" si="87"/>
        <v>1.01</v>
      </c>
      <c r="H854" s="6" t="str">
        <f t="shared" si="82"/>
        <v>INSERT INTO public.coupon (plancode, age, "year", couponrate, benefittype, benefitrate, premiumrate) VALUES('EN60', 10, 68, 8, 'A',800, 1.01);</v>
      </c>
      <c r="I854" s="6" t="str">
        <f t="shared" si="83"/>
        <v>{"age":"10", "year":"68", "couponrate":"8", "benefittype":"A", "benefitrate":"800", "premiumrate":"1.01"}</v>
      </c>
      <c r="J854" s="6" t="str">
        <f t="shared" si="84"/>
        <v>,</v>
      </c>
    </row>
    <row r="855" spans="1:10">
      <c r="A855" s="4" t="str">
        <f>'EN60'!A$3</f>
        <v>EN60</v>
      </c>
      <c r="B855" s="4">
        <f t="shared" si="85"/>
        <v>10</v>
      </c>
      <c r="C855" s="4">
        <f t="shared" si="86"/>
        <v>69</v>
      </c>
      <c r="D855" s="4">
        <f t="shared" si="80"/>
        <v>8</v>
      </c>
      <c r="E855" s="4" t="s">
        <v>27</v>
      </c>
      <c r="F855" s="4">
        <f t="shared" si="81"/>
        <v>800</v>
      </c>
      <c r="G855" s="5">
        <f t="shared" si="87"/>
        <v>1.01</v>
      </c>
      <c r="H855" s="6" t="str">
        <f t="shared" si="82"/>
        <v>INSERT INTO public.coupon (plancode, age, "year", couponrate, benefittype, benefitrate, premiumrate) VALUES('EN60', 10, 69, 8, 'A',800, 1.01);</v>
      </c>
      <c r="I855" s="6" t="str">
        <f t="shared" si="83"/>
        <v>{"age":"10", "year":"69", "couponrate":"8", "benefittype":"A", "benefitrate":"800", "premiumrate":"1.01"}</v>
      </c>
      <c r="J855" s="6" t="str">
        <f t="shared" si="84"/>
        <v>,</v>
      </c>
    </row>
    <row r="856" spans="1:10">
      <c r="A856" s="4" t="str">
        <f>'EN60'!A$3</f>
        <v>EN60</v>
      </c>
      <c r="B856" s="4">
        <f t="shared" si="85"/>
        <v>10</v>
      </c>
      <c r="C856" s="4">
        <f t="shared" si="86"/>
        <v>70</v>
      </c>
      <c r="D856" s="4">
        <f t="shared" si="80"/>
        <v>0</v>
      </c>
      <c r="E856" s="4" t="s">
        <v>27</v>
      </c>
      <c r="F856" s="4">
        <f t="shared" si="81"/>
        <v>800</v>
      </c>
      <c r="G856" s="5">
        <f t="shared" si="87"/>
        <v>1.01</v>
      </c>
      <c r="H856" s="6" t="str">
        <f t="shared" si="82"/>
        <v>INSERT INTO public.coupon (plancode, age, "year", couponrate, benefittype, benefitrate, premiumrate) VALUES('EN60', 10, 70, 0, 'A',800, 1.01);</v>
      </c>
      <c r="I856" s="6" t="str">
        <f t="shared" si="83"/>
        <v>{"age":"10", "year":"70", "couponrate":"0", "benefittype":"A", "benefitrate":"800", "premiumrate":"1.01"}</v>
      </c>
    </row>
    <row r="857" spans="1:10">
      <c r="C857" s="6"/>
      <c r="I857" s="6" t="s">
        <v>28</v>
      </c>
    </row>
    <row r="858" spans="1:10">
      <c r="C858" s="6"/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970"/>
  <sheetViews>
    <sheetView workbookViewId="0"/>
  </sheetViews>
  <sheetFormatPr defaultColWidth="12.5703125" defaultRowHeight="15.75" customHeight="1"/>
  <cols>
    <col min="1" max="7" width="10.140625" customWidth="1"/>
    <col min="8" max="8" width="32.5703125" customWidth="1"/>
    <col min="9" max="9" width="77.140625" customWidth="1"/>
  </cols>
  <sheetData>
    <row r="1" spans="1:10">
      <c r="A1" s="1" t="s">
        <v>0</v>
      </c>
      <c r="E1" s="2" t="s">
        <v>1</v>
      </c>
    </row>
    <row r="2" spans="1:10">
      <c r="A2" s="3" t="s">
        <v>2</v>
      </c>
      <c r="B2" s="3" t="s">
        <v>3</v>
      </c>
      <c r="C2" s="3" t="s">
        <v>4</v>
      </c>
      <c r="E2" s="2" t="s">
        <v>5</v>
      </c>
    </row>
    <row r="3" spans="1:10">
      <c r="A3" s="4" t="str">
        <f>'EN60'!A$3</f>
        <v>EN60</v>
      </c>
      <c r="B3" s="4">
        <f>'EN60'!B$3</f>
        <v>808</v>
      </c>
      <c r="C3" s="5">
        <f>'EN60'!C$3</f>
        <v>1.01</v>
      </c>
      <c r="E3" s="6" t="str">
        <f>"INSERT INTO public.maturetable (plancode, maturerate, premiumrate) VALUES('"&amp;A3&amp;"', "&amp;B3&amp;", "&amp;C3&amp;");"</f>
        <v>INSERT INTO public.maturetable (plancode, maturerate, premiumrate) VALUES('EN60', 808, 1.01);</v>
      </c>
    </row>
    <row r="5" spans="1:10">
      <c r="A5" s="1" t="s">
        <v>7</v>
      </c>
      <c r="E5" s="6" t="str">
        <f>"INSERT INTO public.coupontable (id, returncash, ytable) VALUES('"&amp;A7&amp;"', "&amp;B7&amp;", '"&amp;C7&amp;"');"</f>
        <v>INSERT INTO public.coupontable (id, returncash, ytable) VALUES('EN60', 1, 'Y');</v>
      </c>
      <c r="I5" s="6" t="s">
        <v>8</v>
      </c>
    </row>
    <row r="6" spans="1:10">
      <c r="A6" s="3" t="s">
        <v>9</v>
      </c>
      <c r="B6" s="3" t="s">
        <v>10</v>
      </c>
      <c r="C6" s="3" t="s">
        <v>11</v>
      </c>
      <c r="E6" s="1" t="s">
        <v>10</v>
      </c>
      <c r="F6" s="7">
        <v>0</v>
      </c>
      <c r="G6" s="6"/>
      <c r="H6" s="6" t="s">
        <v>12</v>
      </c>
      <c r="I6" s="6" t="s">
        <v>13</v>
      </c>
    </row>
    <row r="7" spans="1:10">
      <c r="A7" s="4" t="str">
        <f>A$3</f>
        <v>EN60</v>
      </c>
      <c r="B7" s="4">
        <f>'EN60'!B$7</f>
        <v>1</v>
      </c>
      <c r="C7" s="4" t="str">
        <f>'EN60'!C$7</f>
        <v>Y</v>
      </c>
      <c r="F7" s="7">
        <v>1</v>
      </c>
      <c r="G7" s="6"/>
      <c r="H7" s="6" t="s">
        <v>15</v>
      </c>
      <c r="I7" s="6" t="s">
        <v>16</v>
      </c>
    </row>
    <row r="8" spans="1:10">
      <c r="E8" s="1" t="s">
        <v>11</v>
      </c>
      <c r="F8" s="6" t="s">
        <v>17</v>
      </c>
      <c r="G8" s="6"/>
      <c r="H8" s="6" t="s">
        <v>18</v>
      </c>
      <c r="I8" s="6" t="s">
        <v>19</v>
      </c>
    </row>
    <row r="9" spans="1:10">
      <c r="F9" s="6" t="s">
        <v>14</v>
      </c>
      <c r="G9" s="6"/>
      <c r="H9" s="6" t="s">
        <v>20</v>
      </c>
      <c r="I9" s="6" t="s">
        <v>21</v>
      </c>
    </row>
    <row r="10" spans="1:10">
      <c r="A10" s="1" t="s">
        <v>22</v>
      </c>
    </row>
    <row r="11" spans="1:10">
      <c r="A11" s="3" t="s">
        <v>2</v>
      </c>
      <c r="B11" s="3" t="s">
        <v>23</v>
      </c>
      <c r="C11" s="3" t="s">
        <v>24</v>
      </c>
      <c r="D11" s="3" t="s">
        <v>25</v>
      </c>
      <c r="E11" s="3" t="s">
        <v>8</v>
      </c>
      <c r="F11" s="3" t="s">
        <v>26</v>
      </c>
      <c r="G11" s="3" t="s">
        <v>4</v>
      </c>
      <c r="I11" s="6" t="str">
        <f>"[{""plancode"":"""&amp;A12&amp;""",""returncash"":"""&amp;B$7&amp;""",""ytable"":"""&amp;C$7&amp;""",""maturerate"":"""&amp;B$3&amp;""",""maturepmrate"":"""&amp;C$3&amp;""",""coupon"":["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12" spans="1:10">
      <c r="A12" s="4" t="str">
        <f>'EN60'!A$3</f>
        <v>EN60</v>
      </c>
      <c r="B12" s="8">
        <v>11</v>
      </c>
      <c r="C12" s="4">
        <v>1</v>
      </c>
      <c r="D12" s="4">
        <f t="shared" ref="D12:D80" si="0">IF(C12+B12=80,0,8)</f>
        <v>8</v>
      </c>
      <c r="E12" s="4" t="s">
        <v>27</v>
      </c>
      <c r="F12" s="4">
        <f t="shared" ref="F12:F80" si="1">IF(C12&gt;7, 800, C12*100)</f>
        <v>100</v>
      </c>
      <c r="G12" s="5">
        <f>'EN60'!C$3</f>
        <v>1.01</v>
      </c>
      <c r="H12" s="6" t="str">
        <f t="shared" ref="H12:H80" si="2">"INSERT INTO public.coupon ("&amp;A$11&amp;", "&amp;B$11&amp;", """&amp;C$11&amp;""", "&amp;D$11&amp;", "&amp;E$11&amp;", "&amp;F$11&amp;", "&amp;G$11&amp;") VALUES('"&amp;A12&amp;"', "&amp;B12&amp;", "&amp;C12&amp;", "&amp;D12&amp;", '"&amp;E12&amp;"',"&amp;F12&amp;", "&amp;G12&amp;");"</f>
        <v>INSERT INTO public.coupon (plancode, age, "year", couponrate, benefittype, benefitrate, premiumrate) VALUES('EN60', 11, 1, 8, 'A',100, 1.01);</v>
      </c>
      <c r="I12" s="6" t="str">
        <f t="shared" ref="I12:I80" si="3">"{""age"":"""&amp;B12&amp;""", ""year"":"""&amp;C12&amp;""", ""couponrate"":"""&amp;D12&amp;""", ""benefittype"":"""&amp;E12&amp;""", ""benefitrate"":"""&amp;F12&amp;""", """&amp;G$11&amp;""":"""&amp;G12&amp;"""}"</f>
        <v>{"age":"11", "year":"1", "couponrate":"8", "benefittype":"A", "benefitrate":"100", "premiumrate":"1.01"}</v>
      </c>
      <c r="J12" s="6" t="str">
        <f t="shared" ref="J12:J79" si="4">IF(OR(I13="]", I12="[", I12="]"), "", ",")</f>
        <v>,</v>
      </c>
    </row>
    <row r="13" spans="1:10">
      <c r="A13" s="4" t="str">
        <f>'EN60'!A$3</f>
        <v>EN60</v>
      </c>
      <c r="B13" s="4">
        <f t="shared" ref="B13:B80" si="5">B12</f>
        <v>11</v>
      </c>
      <c r="C13" s="4">
        <f t="shared" ref="C13:C80" si="6">C12+1</f>
        <v>2</v>
      </c>
      <c r="D13" s="4">
        <f t="shared" si="0"/>
        <v>8</v>
      </c>
      <c r="E13" s="4" t="s">
        <v>27</v>
      </c>
      <c r="F13" s="4">
        <f t="shared" si="1"/>
        <v>200</v>
      </c>
      <c r="G13" s="5">
        <f t="shared" ref="G13:G80" si="7">G12</f>
        <v>1.01</v>
      </c>
      <c r="H13" s="6" t="str">
        <f t="shared" si="2"/>
        <v>INSERT INTO public.coupon (plancode, age, "year", couponrate, benefittype, benefitrate, premiumrate) VALUES('EN60', 11, 2, 8, 'A',200, 1.01);</v>
      </c>
      <c r="I13" s="6" t="str">
        <f t="shared" si="3"/>
        <v>{"age":"11", "year":"2", "couponrate":"8", "benefittype":"A", "benefitrate":"200", "premiumrate":"1.01"}</v>
      </c>
      <c r="J13" s="6" t="str">
        <f t="shared" si="4"/>
        <v>,</v>
      </c>
    </row>
    <row r="14" spans="1:10">
      <c r="A14" s="4" t="str">
        <f>'EN60'!A$3</f>
        <v>EN60</v>
      </c>
      <c r="B14" s="4">
        <f t="shared" si="5"/>
        <v>11</v>
      </c>
      <c r="C14" s="4">
        <f t="shared" si="6"/>
        <v>3</v>
      </c>
      <c r="D14" s="4">
        <f t="shared" si="0"/>
        <v>8</v>
      </c>
      <c r="E14" s="4" t="s">
        <v>27</v>
      </c>
      <c r="F14" s="4">
        <f t="shared" si="1"/>
        <v>300</v>
      </c>
      <c r="G14" s="5">
        <f t="shared" si="7"/>
        <v>1.01</v>
      </c>
      <c r="H14" s="6" t="str">
        <f t="shared" si="2"/>
        <v>INSERT INTO public.coupon (plancode, age, "year", couponrate, benefittype, benefitrate, premiumrate) VALUES('EN60', 11, 3, 8, 'A',300, 1.01);</v>
      </c>
      <c r="I14" s="6" t="str">
        <f t="shared" si="3"/>
        <v>{"age":"11", "year":"3", "couponrate":"8", "benefittype":"A", "benefitrate":"300", "premiumrate":"1.01"}</v>
      </c>
      <c r="J14" s="6" t="str">
        <f t="shared" si="4"/>
        <v>,</v>
      </c>
    </row>
    <row r="15" spans="1:10">
      <c r="A15" s="4" t="str">
        <f>'EN60'!A$3</f>
        <v>EN60</v>
      </c>
      <c r="B15" s="4">
        <f t="shared" si="5"/>
        <v>11</v>
      </c>
      <c r="C15" s="4">
        <f t="shared" si="6"/>
        <v>4</v>
      </c>
      <c r="D15" s="4">
        <f t="shared" si="0"/>
        <v>8</v>
      </c>
      <c r="E15" s="4" t="s">
        <v>27</v>
      </c>
      <c r="F15" s="4">
        <f t="shared" si="1"/>
        <v>400</v>
      </c>
      <c r="G15" s="5">
        <f t="shared" si="7"/>
        <v>1.01</v>
      </c>
      <c r="H15" s="6" t="str">
        <f t="shared" si="2"/>
        <v>INSERT INTO public.coupon (plancode, age, "year", couponrate, benefittype, benefitrate, premiumrate) VALUES('EN60', 11, 4, 8, 'A',400, 1.01);</v>
      </c>
      <c r="I15" s="6" t="str">
        <f t="shared" si="3"/>
        <v>{"age":"11", "year":"4", "couponrate":"8", "benefittype":"A", "benefitrate":"400", "premiumrate":"1.01"}</v>
      </c>
      <c r="J15" s="6" t="str">
        <f t="shared" si="4"/>
        <v>,</v>
      </c>
    </row>
    <row r="16" spans="1:10">
      <c r="A16" s="4" t="str">
        <f>'EN60'!A$3</f>
        <v>EN60</v>
      </c>
      <c r="B16" s="4">
        <f t="shared" si="5"/>
        <v>11</v>
      </c>
      <c r="C16" s="4">
        <f t="shared" si="6"/>
        <v>5</v>
      </c>
      <c r="D16" s="4">
        <f t="shared" si="0"/>
        <v>8</v>
      </c>
      <c r="E16" s="4" t="s">
        <v>27</v>
      </c>
      <c r="F16" s="4">
        <f t="shared" si="1"/>
        <v>500</v>
      </c>
      <c r="G16" s="5">
        <f t="shared" si="7"/>
        <v>1.01</v>
      </c>
      <c r="H16" s="6" t="str">
        <f t="shared" si="2"/>
        <v>INSERT INTO public.coupon (plancode, age, "year", couponrate, benefittype, benefitrate, premiumrate) VALUES('EN60', 11, 5, 8, 'A',500, 1.01);</v>
      </c>
      <c r="I16" s="6" t="str">
        <f t="shared" si="3"/>
        <v>{"age":"11", "year":"5", "couponrate":"8", "benefittype":"A", "benefitrate":"500", "premiumrate":"1.01"}</v>
      </c>
      <c r="J16" s="6" t="str">
        <f t="shared" si="4"/>
        <v>,</v>
      </c>
    </row>
    <row r="17" spans="1:10">
      <c r="A17" s="4" t="str">
        <f>'EN60'!A$3</f>
        <v>EN60</v>
      </c>
      <c r="B17" s="4">
        <f t="shared" si="5"/>
        <v>11</v>
      </c>
      <c r="C17" s="4">
        <f t="shared" si="6"/>
        <v>6</v>
      </c>
      <c r="D17" s="4">
        <f t="shared" si="0"/>
        <v>8</v>
      </c>
      <c r="E17" s="4" t="s">
        <v>27</v>
      </c>
      <c r="F17" s="4">
        <f t="shared" si="1"/>
        <v>600</v>
      </c>
      <c r="G17" s="5">
        <f t="shared" si="7"/>
        <v>1.01</v>
      </c>
      <c r="H17" s="6" t="str">
        <f t="shared" si="2"/>
        <v>INSERT INTO public.coupon (plancode, age, "year", couponrate, benefittype, benefitrate, premiumrate) VALUES('EN60', 11, 6, 8, 'A',600, 1.01);</v>
      </c>
      <c r="I17" s="6" t="str">
        <f t="shared" si="3"/>
        <v>{"age":"11", "year":"6", "couponrate":"8", "benefittype":"A", "benefitrate":"600", "premiumrate":"1.01"}</v>
      </c>
      <c r="J17" s="6" t="str">
        <f t="shared" si="4"/>
        <v>,</v>
      </c>
    </row>
    <row r="18" spans="1:10">
      <c r="A18" s="4" t="str">
        <f>'EN60'!A$3</f>
        <v>EN60</v>
      </c>
      <c r="B18" s="4">
        <f t="shared" si="5"/>
        <v>11</v>
      </c>
      <c r="C18" s="4">
        <f t="shared" si="6"/>
        <v>7</v>
      </c>
      <c r="D18" s="4">
        <f t="shared" si="0"/>
        <v>8</v>
      </c>
      <c r="E18" s="4" t="s">
        <v>27</v>
      </c>
      <c r="F18" s="4">
        <f t="shared" si="1"/>
        <v>700</v>
      </c>
      <c r="G18" s="5">
        <f t="shared" si="7"/>
        <v>1.01</v>
      </c>
      <c r="H18" s="6" t="str">
        <f t="shared" si="2"/>
        <v>INSERT INTO public.coupon (plancode, age, "year", couponrate, benefittype, benefitrate, premiumrate) VALUES('EN60', 11, 7, 8, 'A',700, 1.01);</v>
      </c>
      <c r="I18" s="6" t="str">
        <f t="shared" si="3"/>
        <v>{"age":"11", "year":"7", "couponrate":"8", "benefittype":"A", "benefitrate":"700", "premiumrate":"1.01"}</v>
      </c>
      <c r="J18" s="6" t="str">
        <f t="shared" si="4"/>
        <v>,</v>
      </c>
    </row>
    <row r="19" spans="1:10">
      <c r="A19" s="4" t="str">
        <f>'EN60'!A$3</f>
        <v>EN60</v>
      </c>
      <c r="B19" s="4">
        <f t="shared" si="5"/>
        <v>11</v>
      </c>
      <c r="C19" s="4">
        <f t="shared" si="6"/>
        <v>8</v>
      </c>
      <c r="D19" s="4">
        <f t="shared" si="0"/>
        <v>8</v>
      </c>
      <c r="E19" s="4" t="s">
        <v>27</v>
      </c>
      <c r="F19" s="4">
        <f t="shared" si="1"/>
        <v>800</v>
      </c>
      <c r="G19" s="5">
        <f t="shared" si="7"/>
        <v>1.01</v>
      </c>
      <c r="H19" s="6" t="str">
        <f t="shared" si="2"/>
        <v>INSERT INTO public.coupon (plancode, age, "year", couponrate, benefittype, benefitrate, premiumrate) VALUES('EN60', 11, 8, 8, 'A',800, 1.01);</v>
      </c>
      <c r="I19" s="6" t="str">
        <f t="shared" si="3"/>
        <v>{"age":"11", "year":"8", "couponrate":"8", "benefittype":"A", "benefitrate":"800", "premiumrate":"1.01"}</v>
      </c>
      <c r="J19" s="6" t="str">
        <f t="shared" si="4"/>
        <v>,</v>
      </c>
    </row>
    <row r="20" spans="1:10">
      <c r="A20" s="4" t="str">
        <f>'EN60'!A$3</f>
        <v>EN60</v>
      </c>
      <c r="B20" s="4">
        <f t="shared" si="5"/>
        <v>11</v>
      </c>
      <c r="C20" s="4">
        <f t="shared" si="6"/>
        <v>9</v>
      </c>
      <c r="D20" s="4">
        <f t="shared" si="0"/>
        <v>8</v>
      </c>
      <c r="E20" s="4" t="s">
        <v>27</v>
      </c>
      <c r="F20" s="4">
        <f t="shared" si="1"/>
        <v>800</v>
      </c>
      <c r="G20" s="5">
        <f t="shared" si="7"/>
        <v>1.01</v>
      </c>
      <c r="H20" s="6" t="str">
        <f t="shared" si="2"/>
        <v>INSERT INTO public.coupon (plancode, age, "year", couponrate, benefittype, benefitrate, premiumrate) VALUES('EN60', 11, 9, 8, 'A',800, 1.01);</v>
      </c>
      <c r="I20" s="6" t="str">
        <f t="shared" si="3"/>
        <v>{"age":"11", "year":"9", "couponrate":"8", "benefittype":"A", "benefitrate":"800", "premiumrate":"1.01"}</v>
      </c>
      <c r="J20" s="6" t="str">
        <f t="shared" si="4"/>
        <v>,</v>
      </c>
    </row>
    <row r="21" spans="1:10">
      <c r="A21" s="4" t="str">
        <f>'EN60'!A$3</f>
        <v>EN60</v>
      </c>
      <c r="B21" s="4">
        <f t="shared" si="5"/>
        <v>11</v>
      </c>
      <c r="C21" s="4">
        <f t="shared" si="6"/>
        <v>10</v>
      </c>
      <c r="D21" s="4">
        <f t="shared" si="0"/>
        <v>8</v>
      </c>
      <c r="E21" s="4" t="s">
        <v>27</v>
      </c>
      <c r="F21" s="4">
        <f t="shared" si="1"/>
        <v>800</v>
      </c>
      <c r="G21" s="5">
        <f t="shared" si="7"/>
        <v>1.01</v>
      </c>
      <c r="H21" s="6" t="str">
        <f t="shared" si="2"/>
        <v>INSERT INTO public.coupon (plancode, age, "year", couponrate, benefittype, benefitrate, premiumrate) VALUES('EN60', 11, 10, 8, 'A',800, 1.01);</v>
      </c>
      <c r="I21" s="6" t="str">
        <f t="shared" si="3"/>
        <v>{"age":"11", "year":"10", "couponrate":"8", "benefittype":"A", "benefitrate":"800", "premiumrate":"1.01"}</v>
      </c>
      <c r="J21" s="6" t="str">
        <f t="shared" si="4"/>
        <v>,</v>
      </c>
    </row>
    <row r="22" spans="1:10">
      <c r="A22" s="4" t="str">
        <f>'EN60'!A$3</f>
        <v>EN60</v>
      </c>
      <c r="B22" s="4">
        <f t="shared" si="5"/>
        <v>11</v>
      </c>
      <c r="C22" s="4">
        <f t="shared" si="6"/>
        <v>11</v>
      </c>
      <c r="D22" s="4">
        <f t="shared" si="0"/>
        <v>8</v>
      </c>
      <c r="E22" s="4" t="s">
        <v>27</v>
      </c>
      <c r="F22" s="4">
        <f t="shared" si="1"/>
        <v>800</v>
      </c>
      <c r="G22" s="5">
        <f t="shared" si="7"/>
        <v>1.01</v>
      </c>
      <c r="H22" s="6" t="str">
        <f t="shared" si="2"/>
        <v>INSERT INTO public.coupon (plancode, age, "year", couponrate, benefittype, benefitrate, premiumrate) VALUES('EN60', 11, 11, 8, 'A',800, 1.01);</v>
      </c>
      <c r="I22" s="6" t="str">
        <f t="shared" si="3"/>
        <v>{"age":"11", "year":"11", "couponrate":"8", "benefittype":"A", "benefitrate":"800", "premiumrate":"1.01"}</v>
      </c>
      <c r="J22" s="6" t="str">
        <f t="shared" si="4"/>
        <v>,</v>
      </c>
    </row>
    <row r="23" spans="1:10">
      <c r="A23" s="4" t="str">
        <f>'EN60'!A$3</f>
        <v>EN60</v>
      </c>
      <c r="B23" s="4">
        <f t="shared" si="5"/>
        <v>11</v>
      </c>
      <c r="C23" s="4">
        <f t="shared" si="6"/>
        <v>12</v>
      </c>
      <c r="D23" s="4">
        <f t="shared" si="0"/>
        <v>8</v>
      </c>
      <c r="E23" s="4" t="s">
        <v>27</v>
      </c>
      <c r="F23" s="4">
        <f t="shared" si="1"/>
        <v>800</v>
      </c>
      <c r="G23" s="5">
        <f t="shared" si="7"/>
        <v>1.01</v>
      </c>
      <c r="H23" s="6" t="str">
        <f t="shared" si="2"/>
        <v>INSERT INTO public.coupon (plancode, age, "year", couponrate, benefittype, benefitrate, premiumrate) VALUES('EN60', 11, 12, 8, 'A',800, 1.01);</v>
      </c>
      <c r="I23" s="6" t="str">
        <f t="shared" si="3"/>
        <v>{"age":"11", "year":"12", "couponrate":"8", "benefittype":"A", "benefitrate":"800", "premiumrate":"1.01"}</v>
      </c>
      <c r="J23" s="6" t="str">
        <f t="shared" si="4"/>
        <v>,</v>
      </c>
    </row>
    <row r="24" spans="1:10">
      <c r="A24" s="4" t="str">
        <f>'EN60'!A$3</f>
        <v>EN60</v>
      </c>
      <c r="B24" s="4">
        <f t="shared" si="5"/>
        <v>11</v>
      </c>
      <c r="C24" s="4">
        <f t="shared" si="6"/>
        <v>13</v>
      </c>
      <c r="D24" s="4">
        <f t="shared" si="0"/>
        <v>8</v>
      </c>
      <c r="E24" s="4" t="s">
        <v>27</v>
      </c>
      <c r="F24" s="4">
        <f t="shared" si="1"/>
        <v>800</v>
      </c>
      <c r="G24" s="5">
        <f t="shared" si="7"/>
        <v>1.01</v>
      </c>
      <c r="H24" s="6" t="str">
        <f t="shared" si="2"/>
        <v>INSERT INTO public.coupon (plancode, age, "year", couponrate, benefittype, benefitrate, premiumrate) VALUES('EN60', 11, 13, 8, 'A',800, 1.01);</v>
      </c>
      <c r="I24" s="6" t="str">
        <f t="shared" si="3"/>
        <v>{"age":"11", "year":"13", "couponrate":"8", "benefittype":"A", "benefitrate":"800", "premiumrate":"1.01"}</v>
      </c>
      <c r="J24" s="6" t="str">
        <f t="shared" si="4"/>
        <v>,</v>
      </c>
    </row>
    <row r="25" spans="1:10">
      <c r="A25" s="4" t="str">
        <f>'EN60'!A$3</f>
        <v>EN60</v>
      </c>
      <c r="B25" s="4">
        <f t="shared" si="5"/>
        <v>11</v>
      </c>
      <c r="C25" s="4">
        <f t="shared" si="6"/>
        <v>14</v>
      </c>
      <c r="D25" s="4">
        <f t="shared" si="0"/>
        <v>8</v>
      </c>
      <c r="E25" s="4" t="s">
        <v>27</v>
      </c>
      <c r="F25" s="4">
        <f t="shared" si="1"/>
        <v>800</v>
      </c>
      <c r="G25" s="5">
        <f t="shared" si="7"/>
        <v>1.01</v>
      </c>
      <c r="H25" s="6" t="str">
        <f t="shared" si="2"/>
        <v>INSERT INTO public.coupon (plancode, age, "year", couponrate, benefittype, benefitrate, premiumrate) VALUES('EN60', 11, 14, 8, 'A',800, 1.01);</v>
      </c>
      <c r="I25" s="6" t="str">
        <f t="shared" si="3"/>
        <v>{"age":"11", "year":"14", "couponrate":"8", "benefittype":"A", "benefitrate":"800", "premiumrate":"1.01"}</v>
      </c>
      <c r="J25" s="6" t="str">
        <f t="shared" si="4"/>
        <v>,</v>
      </c>
    </row>
    <row r="26" spans="1:10">
      <c r="A26" s="4" t="str">
        <f>'EN60'!A$3</f>
        <v>EN60</v>
      </c>
      <c r="B26" s="4">
        <f t="shared" si="5"/>
        <v>11</v>
      </c>
      <c r="C26" s="4">
        <f t="shared" si="6"/>
        <v>15</v>
      </c>
      <c r="D26" s="4">
        <f t="shared" si="0"/>
        <v>8</v>
      </c>
      <c r="E26" s="4" t="s">
        <v>27</v>
      </c>
      <c r="F26" s="4">
        <f t="shared" si="1"/>
        <v>800</v>
      </c>
      <c r="G26" s="5">
        <f t="shared" si="7"/>
        <v>1.01</v>
      </c>
      <c r="H26" s="6" t="str">
        <f t="shared" si="2"/>
        <v>INSERT INTO public.coupon (plancode, age, "year", couponrate, benefittype, benefitrate, premiumrate) VALUES('EN60', 11, 15, 8, 'A',800, 1.01);</v>
      </c>
      <c r="I26" s="6" t="str">
        <f t="shared" si="3"/>
        <v>{"age":"11", "year":"15", "couponrate":"8", "benefittype":"A", "benefitrate":"800", "premiumrate":"1.01"}</v>
      </c>
      <c r="J26" s="6" t="str">
        <f t="shared" si="4"/>
        <v>,</v>
      </c>
    </row>
    <row r="27" spans="1:10">
      <c r="A27" s="4" t="str">
        <f>'EN60'!A$3</f>
        <v>EN60</v>
      </c>
      <c r="B27" s="4">
        <f t="shared" si="5"/>
        <v>11</v>
      </c>
      <c r="C27" s="4">
        <f t="shared" si="6"/>
        <v>16</v>
      </c>
      <c r="D27" s="4">
        <f t="shared" si="0"/>
        <v>8</v>
      </c>
      <c r="E27" s="4" t="s">
        <v>27</v>
      </c>
      <c r="F27" s="4">
        <f t="shared" si="1"/>
        <v>800</v>
      </c>
      <c r="G27" s="5">
        <f t="shared" si="7"/>
        <v>1.01</v>
      </c>
      <c r="H27" s="6" t="str">
        <f t="shared" si="2"/>
        <v>INSERT INTO public.coupon (plancode, age, "year", couponrate, benefittype, benefitrate, premiumrate) VALUES('EN60', 11, 16, 8, 'A',800, 1.01);</v>
      </c>
      <c r="I27" s="6" t="str">
        <f t="shared" si="3"/>
        <v>{"age":"11", "year":"16", "couponrate":"8", "benefittype":"A", "benefitrate":"800", "premiumrate":"1.01"}</v>
      </c>
      <c r="J27" s="6" t="str">
        <f t="shared" si="4"/>
        <v>,</v>
      </c>
    </row>
    <row r="28" spans="1:10">
      <c r="A28" s="4" t="str">
        <f>'EN60'!A$3</f>
        <v>EN60</v>
      </c>
      <c r="B28" s="4">
        <f t="shared" si="5"/>
        <v>11</v>
      </c>
      <c r="C28" s="4">
        <f t="shared" si="6"/>
        <v>17</v>
      </c>
      <c r="D28" s="4">
        <f t="shared" si="0"/>
        <v>8</v>
      </c>
      <c r="E28" s="4" t="s">
        <v>27</v>
      </c>
      <c r="F28" s="4">
        <f t="shared" si="1"/>
        <v>800</v>
      </c>
      <c r="G28" s="5">
        <f t="shared" si="7"/>
        <v>1.01</v>
      </c>
      <c r="H28" s="6" t="str">
        <f t="shared" si="2"/>
        <v>INSERT INTO public.coupon (plancode, age, "year", couponrate, benefittype, benefitrate, premiumrate) VALUES('EN60', 11, 17, 8, 'A',800, 1.01);</v>
      </c>
      <c r="I28" s="6" t="str">
        <f t="shared" si="3"/>
        <v>{"age":"11", "year":"17", "couponrate":"8", "benefittype":"A", "benefitrate":"800", "premiumrate":"1.01"}</v>
      </c>
      <c r="J28" s="6" t="str">
        <f t="shared" si="4"/>
        <v>,</v>
      </c>
    </row>
    <row r="29" spans="1:10">
      <c r="A29" s="4" t="str">
        <f>'EN60'!A$3</f>
        <v>EN60</v>
      </c>
      <c r="B29" s="4">
        <f t="shared" si="5"/>
        <v>11</v>
      </c>
      <c r="C29" s="4">
        <f t="shared" si="6"/>
        <v>18</v>
      </c>
      <c r="D29" s="4">
        <f t="shared" si="0"/>
        <v>8</v>
      </c>
      <c r="E29" s="4" t="s">
        <v>27</v>
      </c>
      <c r="F29" s="4">
        <f t="shared" si="1"/>
        <v>800</v>
      </c>
      <c r="G29" s="5">
        <f t="shared" si="7"/>
        <v>1.01</v>
      </c>
      <c r="H29" s="6" t="str">
        <f t="shared" si="2"/>
        <v>INSERT INTO public.coupon (plancode, age, "year", couponrate, benefittype, benefitrate, premiumrate) VALUES('EN60', 11, 18, 8, 'A',800, 1.01);</v>
      </c>
      <c r="I29" s="6" t="str">
        <f t="shared" si="3"/>
        <v>{"age":"11", "year":"18", "couponrate":"8", "benefittype":"A", "benefitrate":"800", "premiumrate":"1.01"}</v>
      </c>
      <c r="J29" s="6" t="str">
        <f t="shared" si="4"/>
        <v>,</v>
      </c>
    </row>
    <row r="30" spans="1:10">
      <c r="A30" s="4" t="str">
        <f>'EN60'!A$3</f>
        <v>EN60</v>
      </c>
      <c r="B30" s="4">
        <f t="shared" si="5"/>
        <v>11</v>
      </c>
      <c r="C30" s="4">
        <f t="shared" si="6"/>
        <v>19</v>
      </c>
      <c r="D30" s="4">
        <f t="shared" si="0"/>
        <v>8</v>
      </c>
      <c r="E30" s="4" t="s">
        <v>27</v>
      </c>
      <c r="F30" s="4">
        <f t="shared" si="1"/>
        <v>800</v>
      </c>
      <c r="G30" s="5">
        <f t="shared" si="7"/>
        <v>1.01</v>
      </c>
      <c r="H30" s="6" t="str">
        <f t="shared" si="2"/>
        <v>INSERT INTO public.coupon (plancode, age, "year", couponrate, benefittype, benefitrate, premiumrate) VALUES('EN60', 11, 19, 8, 'A',800, 1.01);</v>
      </c>
      <c r="I30" s="6" t="str">
        <f t="shared" si="3"/>
        <v>{"age":"11", "year":"19", "couponrate":"8", "benefittype":"A", "benefitrate":"800", "premiumrate":"1.01"}</v>
      </c>
      <c r="J30" s="6" t="str">
        <f t="shared" si="4"/>
        <v>,</v>
      </c>
    </row>
    <row r="31" spans="1:10">
      <c r="A31" s="4" t="str">
        <f>'EN60'!A$3</f>
        <v>EN60</v>
      </c>
      <c r="B31" s="4">
        <f t="shared" si="5"/>
        <v>11</v>
      </c>
      <c r="C31" s="4">
        <f t="shared" si="6"/>
        <v>20</v>
      </c>
      <c r="D31" s="4">
        <f t="shared" si="0"/>
        <v>8</v>
      </c>
      <c r="E31" s="4" t="s">
        <v>27</v>
      </c>
      <c r="F31" s="4">
        <f t="shared" si="1"/>
        <v>800</v>
      </c>
      <c r="G31" s="5">
        <f t="shared" si="7"/>
        <v>1.01</v>
      </c>
      <c r="H31" s="6" t="str">
        <f t="shared" si="2"/>
        <v>INSERT INTO public.coupon (plancode, age, "year", couponrate, benefittype, benefitrate, premiumrate) VALUES('EN60', 11, 20, 8, 'A',800, 1.01);</v>
      </c>
      <c r="I31" s="6" t="str">
        <f t="shared" si="3"/>
        <v>{"age":"11", "year":"20", "couponrate":"8", "benefittype":"A", "benefitrate":"800", "premiumrate":"1.01"}</v>
      </c>
      <c r="J31" s="6" t="str">
        <f t="shared" si="4"/>
        <v>,</v>
      </c>
    </row>
    <row r="32" spans="1:10">
      <c r="A32" s="4" t="str">
        <f>'EN60'!A$3</f>
        <v>EN60</v>
      </c>
      <c r="B32" s="4">
        <f t="shared" si="5"/>
        <v>11</v>
      </c>
      <c r="C32" s="4">
        <f t="shared" si="6"/>
        <v>21</v>
      </c>
      <c r="D32" s="4">
        <f t="shared" si="0"/>
        <v>8</v>
      </c>
      <c r="E32" s="4" t="s">
        <v>27</v>
      </c>
      <c r="F32" s="4">
        <f t="shared" si="1"/>
        <v>800</v>
      </c>
      <c r="G32" s="5">
        <f t="shared" si="7"/>
        <v>1.01</v>
      </c>
      <c r="H32" s="6" t="str">
        <f t="shared" si="2"/>
        <v>INSERT INTO public.coupon (plancode, age, "year", couponrate, benefittype, benefitrate, premiumrate) VALUES('EN60', 11, 21, 8, 'A',800, 1.01);</v>
      </c>
      <c r="I32" s="6" t="str">
        <f t="shared" si="3"/>
        <v>{"age":"11", "year":"21", "couponrate":"8", "benefittype":"A", "benefitrate":"800", "premiumrate":"1.01"}</v>
      </c>
      <c r="J32" s="6" t="str">
        <f t="shared" si="4"/>
        <v>,</v>
      </c>
    </row>
    <row r="33" spans="1:10">
      <c r="A33" s="4" t="str">
        <f>'EN60'!A$3</f>
        <v>EN60</v>
      </c>
      <c r="B33" s="4">
        <f t="shared" si="5"/>
        <v>11</v>
      </c>
      <c r="C33" s="4">
        <f t="shared" si="6"/>
        <v>22</v>
      </c>
      <c r="D33" s="4">
        <f t="shared" si="0"/>
        <v>8</v>
      </c>
      <c r="E33" s="4" t="s">
        <v>27</v>
      </c>
      <c r="F33" s="4">
        <f t="shared" si="1"/>
        <v>800</v>
      </c>
      <c r="G33" s="5">
        <f t="shared" si="7"/>
        <v>1.01</v>
      </c>
      <c r="H33" s="6" t="str">
        <f t="shared" si="2"/>
        <v>INSERT INTO public.coupon (plancode, age, "year", couponrate, benefittype, benefitrate, premiumrate) VALUES('EN60', 11, 22, 8, 'A',800, 1.01);</v>
      </c>
      <c r="I33" s="6" t="str">
        <f t="shared" si="3"/>
        <v>{"age":"11", "year":"22", "couponrate":"8", "benefittype":"A", "benefitrate":"800", "premiumrate":"1.01"}</v>
      </c>
      <c r="J33" s="6" t="str">
        <f t="shared" si="4"/>
        <v>,</v>
      </c>
    </row>
    <row r="34" spans="1:10">
      <c r="A34" s="4" t="str">
        <f>'EN60'!A$3</f>
        <v>EN60</v>
      </c>
      <c r="B34" s="4">
        <f t="shared" si="5"/>
        <v>11</v>
      </c>
      <c r="C34" s="4">
        <f t="shared" si="6"/>
        <v>23</v>
      </c>
      <c r="D34" s="4">
        <f t="shared" si="0"/>
        <v>8</v>
      </c>
      <c r="E34" s="4" t="s">
        <v>27</v>
      </c>
      <c r="F34" s="4">
        <f t="shared" si="1"/>
        <v>800</v>
      </c>
      <c r="G34" s="5">
        <f t="shared" si="7"/>
        <v>1.01</v>
      </c>
      <c r="H34" s="6" t="str">
        <f t="shared" si="2"/>
        <v>INSERT INTO public.coupon (plancode, age, "year", couponrate, benefittype, benefitrate, premiumrate) VALUES('EN60', 11, 23, 8, 'A',800, 1.01);</v>
      </c>
      <c r="I34" s="6" t="str">
        <f t="shared" si="3"/>
        <v>{"age":"11", "year":"23", "couponrate":"8", "benefittype":"A", "benefitrate":"800", "premiumrate":"1.01"}</v>
      </c>
      <c r="J34" s="6" t="str">
        <f t="shared" si="4"/>
        <v>,</v>
      </c>
    </row>
    <row r="35" spans="1:10">
      <c r="A35" s="4" t="str">
        <f>'EN60'!A$3</f>
        <v>EN60</v>
      </c>
      <c r="B35" s="4">
        <f t="shared" si="5"/>
        <v>11</v>
      </c>
      <c r="C35" s="4">
        <f t="shared" si="6"/>
        <v>24</v>
      </c>
      <c r="D35" s="4">
        <f t="shared" si="0"/>
        <v>8</v>
      </c>
      <c r="E35" s="4" t="s">
        <v>27</v>
      </c>
      <c r="F35" s="4">
        <f t="shared" si="1"/>
        <v>800</v>
      </c>
      <c r="G35" s="5">
        <f t="shared" si="7"/>
        <v>1.01</v>
      </c>
      <c r="H35" s="6" t="str">
        <f t="shared" si="2"/>
        <v>INSERT INTO public.coupon (plancode, age, "year", couponrate, benefittype, benefitrate, premiumrate) VALUES('EN60', 11, 24, 8, 'A',800, 1.01);</v>
      </c>
      <c r="I35" s="6" t="str">
        <f t="shared" si="3"/>
        <v>{"age":"11", "year":"24", "couponrate":"8", "benefittype":"A", "benefitrate":"800", "premiumrate":"1.01"}</v>
      </c>
      <c r="J35" s="6" t="str">
        <f t="shared" si="4"/>
        <v>,</v>
      </c>
    </row>
    <row r="36" spans="1:10">
      <c r="A36" s="4" t="str">
        <f>'EN60'!A$3</f>
        <v>EN60</v>
      </c>
      <c r="B36" s="4">
        <f t="shared" si="5"/>
        <v>11</v>
      </c>
      <c r="C36" s="4">
        <f t="shared" si="6"/>
        <v>25</v>
      </c>
      <c r="D36" s="4">
        <f t="shared" si="0"/>
        <v>8</v>
      </c>
      <c r="E36" s="4" t="s">
        <v>27</v>
      </c>
      <c r="F36" s="4">
        <f t="shared" si="1"/>
        <v>800</v>
      </c>
      <c r="G36" s="5">
        <f t="shared" si="7"/>
        <v>1.01</v>
      </c>
      <c r="H36" s="6" t="str">
        <f t="shared" si="2"/>
        <v>INSERT INTO public.coupon (plancode, age, "year", couponrate, benefittype, benefitrate, premiumrate) VALUES('EN60', 11, 25, 8, 'A',800, 1.01);</v>
      </c>
      <c r="I36" s="6" t="str">
        <f t="shared" si="3"/>
        <v>{"age":"11", "year":"25", "couponrate":"8", "benefittype":"A", "benefitrate":"800", "premiumrate":"1.01"}</v>
      </c>
      <c r="J36" s="6" t="str">
        <f t="shared" si="4"/>
        <v>,</v>
      </c>
    </row>
    <row r="37" spans="1:10">
      <c r="A37" s="4" t="str">
        <f>'EN60'!A$3</f>
        <v>EN60</v>
      </c>
      <c r="B37" s="4">
        <f t="shared" si="5"/>
        <v>11</v>
      </c>
      <c r="C37" s="4">
        <f t="shared" si="6"/>
        <v>26</v>
      </c>
      <c r="D37" s="4">
        <f t="shared" si="0"/>
        <v>8</v>
      </c>
      <c r="E37" s="4" t="s">
        <v>27</v>
      </c>
      <c r="F37" s="4">
        <f t="shared" si="1"/>
        <v>800</v>
      </c>
      <c r="G37" s="5">
        <f t="shared" si="7"/>
        <v>1.01</v>
      </c>
      <c r="H37" s="6" t="str">
        <f t="shared" si="2"/>
        <v>INSERT INTO public.coupon (plancode, age, "year", couponrate, benefittype, benefitrate, premiumrate) VALUES('EN60', 11, 26, 8, 'A',800, 1.01);</v>
      </c>
      <c r="I37" s="6" t="str">
        <f t="shared" si="3"/>
        <v>{"age":"11", "year":"26", "couponrate":"8", "benefittype":"A", "benefitrate":"800", "premiumrate":"1.01"}</v>
      </c>
      <c r="J37" s="6" t="str">
        <f t="shared" si="4"/>
        <v>,</v>
      </c>
    </row>
    <row r="38" spans="1:10">
      <c r="A38" s="4" t="str">
        <f>'EN60'!A$3</f>
        <v>EN60</v>
      </c>
      <c r="B38" s="4">
        <f t="shared" si="5"/>
        <v>11</v>
      </c>
      <c r="C38" s="4">
        <f t="shared" si="6"/>
        <v>27</v>
      </c>
      <c r="D38" s="4">
        <f t="shared" si="0"/>
        <v>8</v>
      </c>
      <c r="E38" s="4" t="s">
        <v>27</v>
      </c>
      <c r="F38" s="4">
        <f t="shared" si="1"/>
        <v>800</v>
      </c>
      <c r="G38" s="5">
        <f t="shared" si="7"/>
        <v>1.01</v>
      </c>
      <c r="H38" s="6" t="str">
        <f t="shared" si="2"/>
        <v>INSERT INTO public.coupon (plancode, age, "year", couponrate, benefittype, benefitrate, premiumrate) VALUES('EN60', 11, 27, 8, 'A',800, 1.01);</v>
      </c>
      <c r="I38" s="6" t="str">
        <f t="shared" si="3"/>
        <v>{"age":"11", "year":"27", "couponrate":"8", "benefittype":"A", "benefitrate":"800", "premiumrate":"1.01"}</v>
      </c>
      <c r="J38" s="6" t="str">
        <f t="shared" si="4"/>
        <v>,</v>
      </c>
    </row>
    <row r="39" spans="1:10">
      <c r="A39" s="4" t="str">
        <f>'EN60'!A$3</f>
        <v>EN60</v>
      </c>
      <c r="B39" s="4">
        <f t="shared" si="5"/>
        <v>11</v>
      </c>
      <c r="C39" s="4">
        <f t="shared" si="6"/>
        <v>28</v>
      </c>
      <c r="D39" s="4">
        <f t="shared" si="0"/>
        <v>8</v>
      </c>
      <c r="E39" s="4" t="s">
        <v>27</v>
      </c>
      <c r="F39" s="4">
        <f t="shared" si="1"/>
        <v>800</v>
      </c>
      <c r="G39" s="5">
        <f t="shared" si="7"/>
        <v>1.01</v>
      </c>
      <c r="H39" s="6" t="str">
        <f t="shared" si="2"/>
        <v>INSERT INTO public.coupon (plancode, age, "year", couponrate, benefittype, benefitrate, premiumrate) VALUES('EN60', 11, 28, 8, 'A',800, 1.01);</v>
      </c>
      <c r="I39" s="6" t="str">
        <f t="shared" si="3"/>
        <v>{"age":"11", "year":"28", "couponrate":"8", "benefittype":"A", "benefitrate":"800", "premiumrate":"1.01"}</v>
      </c>
      <c r="J39" s="6" t="str">
        <f t="shared" si="4"/>
        <v>,</v>
      </c>
    </row>
    <row r="40" spans="1:10">
      <c r="A40" s="4" t="str">
        <f>'EN60'!A$3</f>
        <v>EN60</v>
      </c>
      <c r="B40" s="4">
        <f t="shared" si="5"/>
        <v>11</v>
      </c>
      <c r="C40" s="4">
        <f t="shared" si="6"/>
        <v>29</v>
      </c>
      <c r="D40" s="4">
        <f t="shared" si="0"/>
        <v>8</v>
      </c>
      <c r="E40" s="4" t="s">
        <v>27</v>
      </c>
      <c r="F40" s="4">
        <f t="shared" si="1"/>
        <v>800</v>
      </c>
      <c r="G40" s="5">
        <f t="shared" si="7"/>
        <v>1.01</v>
      </c>
      <c r="H40" s="6" t="str">
        <f t="shared" si="2"/>
        <v>INSERT INTO public.coupon (plancode, age, "year", couponrate, benefittype, benefitrate, premiumrate) VALUES('EN60', 11, 29, 8, 'A',800, 1.01);</v>
      </c>
      <c r="I40" s="6" t="str">
        <f t="shared" si="3"/>
        <v>{"age":"11", "year":"29", "couponrate":"8", "benefittype":"A", "benefitrate":"800", "premiumrate":"1.01"}</v>
      </c>
      <c r="J40" s="6" t="str">
        <f t="shared" si="4"/>
        <v>,</v>
      </c>
    </row>
    <row r="41" spans="1:10">
      <c r="A41" s="4" t="str">
        <f>'EN60'!A$3</f>
        <v>EN60</v>
      </c>
      <c r="B41" s="4">
        <f t="shared" si="5"/>
        <v>11</v>
      </c>
      <c r="C41" s="4">
        <f t="shared" si="6"/>
        <v>30</v>
      </c>
      <c r="D41" s="4">
        <f t="shared" si="0"/>
        <v>8</v>
      </c>
      <c r="E41" s="4" t="s">
        <v>27</v>
      </c>
      <c r="F41" s="4">
        <f t="shared" si="1"/>
        <v>800</v>
      </c>
      <c r="G41" s="5">
        <f t="shared" si="7"/>
        <v>1.01</v>
      </c>
      <c r="H41" s="6" t="str">
        <f t="shared" si="2"/>
        <v>INSERT INTO public.coupon (plancode, age, "year", couponrate, benefittype, benefitrate, premiumrate) VALUES('EN60', 11, 30, 8, 'A',800, 1.01);</v>
      </c>
      <c r="I41" s="6" t="str">
        <f t="shared" si="3"/>
        <v>{"age":"11", "year":"30", "couponrate":"8", "benefittype":"A", "benefitrate":"800", "premiumrate":"1.01"}</v>
      </c>
      <c r="J41" s="6" t="str">
        <f t="shared" si="4"/>
        <v>,</v>
      </c>
    </row>
    <row r="42" spans="1:10">
      <c r="A42" s="4" t="str">
        <f>'EN60'!A$3</f>
        <v>EN60</v>
      </c>
      <c r="B42" s="4">
        <f t="shared" si="5"/>
        <v>11</v>
      </c>
      <c r="C42" s="4">
        <f t="shared" si="6"/>
        <v>31</v>
      </c>
      <c r="D42" s="4">
        <f t="shared" si="0"/>
        <v>8</v>
      </c>
      <c r="E42" s="4" t="s">
        <v>27</v>
      </c>
      <c r="F42" s="4">
        <f t="shared" si="1"/>
        <v>800</v>
      </c>
      <c r="G42" s="5">
        <f t="shared" si="7"/>
        <v>1.01</v>
      </c>
      <c r="H42" s="6" t="str">
        <f t="shared" si="2"/>
        <v>INSERT INTO public.coupon (plancode, age, "year", couponrate, benefittype, benefitrate, premiumrate) VALUES('EN60', 11, 31, 8, 'A',800, 1.01);</v>
      </c>
      <c r="I42" s="6" t="str">
        <f t="shared" si="3"/>
        <v>{"age":"11", "year":"31", "couponrate":"8", "benefittype":"A", "benefitrate":"800", "premiumrate":"1.01"}</v>
      </c>
      <c r="J42" s="6" t="str">
        <f t="shared" si="4"/>
        <v>,</v>
      </c>
    </row>
    <row r="43" spans="1:10">
      <c r="A43" s="4" t="str">
        <f>'EN60'!A$3</f>
        <v>EN60</v>
      </c>
      <c r="B43" s="4">
        <f t="shared" si="5"/>
        <v>11</v>
      </c>
      <c r="C43" s="4">
        <f t="shared" si="6"/>
        <v>32</v>
      </c>
      <c r="D43" s="4">
        <f t="shared" si="0"/>
        <v>8</v>
      </c>
      <c r="E43" s="4" t="s">
        <v>27</v>
      </c>
      <c r="F43" s="4">
        <f t="shared" si="1"/>
        <v>800</v>
      </c>
      <c r="G43" s="5">
        <f t="shared" si="7"/>
        <v>1.01</v>
      </c>
      <c r="H43" s="6" t="str">
        <f t="shared" si="2"/>
        <v>INSERT INTO public.coupon (plancode, age, "year", couponrate, benefittype, benefitrate, premiumrate) VALUES('EN60', 11, 32, 8, 'A',800, 1.01);</v>
      </c>
      <c r="I43" s="6" t="str">
        <f t="shared" si="3"/>
        <v>{"age":"11", "year":"32", "couponrate":"8", "benefittype":"A", "benefitrate":"800", "premiumrate":"1.01"}</v>
      </c>
      <c r="J43" s="6" t="str">
        <f t="shared" si="4"/>
        <v>,</v>
      </c>
    </row>
    <row r="44" spans="1:10">
      <c r="A44" s="4" t="str">
        <f>'EN60'!A$3</f>
        <v>EN60</v>
      </c>
      <c r="B44" s="4">
        <f t="shared" si="5"/>
        <v>11</v>
      </c>
      <c r="C44" s="4">
        <f t="shared" si="6"/>
        <v>33</v>
      </c>
      <c r="D44" s="4">
        <f t="shared" si="0"/>
        <v>8</v>
      </c>
      <c r="E44" s="4" t="s">
        <v>27</v>
      </c>
      <c r="F44" s="4">
        <f t="shared" si="1"/>
        <v>800</v>
      </c>
      <c r="G44" s="5">
        <f t="shared" si="7"/>
        <v>1.01</v>
      </c>
      <c r="H44" s="6" t="str">
        <f t="shared" si="2"/>
        <v>INSERT INTO public.coupon (plancode, age, "year", couponrate, benefittype, benefitrate, premiumrate) VALUES('EN60', 11, 33, 8, 'A',800, 1.01);</v>
      </c>
      <c r="I44" s="6" t="str">
        <f t="shared" si="3"/>
        <v>{"age":"11", "year":"33", "couponrate":"8", "benefittype":"A", "benefitrate":"800", "premiumrate":"1.01"}</v>
      </c>
      <c r="J44" s="6" t="str">
        <f t="shared" si="4"/>
        <v>,</v>
      </c>
    </row>
    <row r="45" spans="1:10">
      <c r="A45" s="4" t="str">
        <f>'EN60'!A$3</f>
        <v>EN60</v>
      </c>
      <c r="B45" s="4">
        <f t="shared" si="5"/>
        <v>11</v>
      </c>
      <c r="C45" s="4">
        <f t="shared" si="6"/>
        <v>34</v>
      </c>
      <c r="D45" s="4">
        <f t="shared" si="0"/>
        <v>8</v>
      </c>
      <c r="E45" s="4" t="s">
        <v>27</v>
      </c>
      <c r="F45" s="4">
        <f t="shared" si="1"/>
        <v>800</v>
      </c>
      <c r="G45" s="5">
        <f t="shared" si="7"/>
        <v>1.01</v>
      </c>
      <c r="H45" s="6" t="str">
        <f t="shared" si="2"/>
        <v>INSERT INTO public.coupon (plancode, age, "year", couponrate, benefittype, benefitrate, premiumrate) VALUES('EN60', 11, 34, 8, 'A',800, 1.01);</v>
      </c>
      <c r="I45" s="6" t="str">
        <f t="shared" si="3"/>
        <v>{"age":"11", "year":"34", "couponrate":"8", "benefittype":"A", "benefitrate":"800", "premiumrate":"1.01"}</v>
      </c>
      <c r="J45" s="6" t="str">
        <f t="shared" si="4"/>
        <v>,</v>
      </c>
    </row>
    <row r="46" spans="1:10">
      <c r="A46" s="4" t="str">
        <f>'EN60'!A$3</f>
        <v>EN60</v>
      </c>
      <c r="B46" s="4">
        <f t="shared" si="5"/>
        <v>11</v>
      </c>
      <c r="C46" s="4">
        <f t="shared" si="6"/>
        <v>35</v>
      </c>
      <c r="D46" s="4">
        <f t="shared" si="0"/>
        <v>8</v>
      </c>
      <c r="E46" s="4" t="s">
        <v>27</v>
      </c>
      <c r="F46" s="4">
        <f t="shared" si="1"/>
        <v>800</v>
      </c>
      <c r="G46" s="5">
        <f t="shared" si="7"/>
        <v>1.01</v>
      </c>
      <c r="H46" s="6" t="str">
        <f t="shared" si="2"/>
        <v>INSERT INTO public.coupon (plancode, age, "year", couponrate, benefittype, benefitrate, premiumrate) VALUES('EN60', 11, 35, 8, 'A',800, 1.01);</v>
      </c>
      <c r="I46" s="6" t="str">
        <f t="shared" si="3"/>
        <v>{"age":"11", "year":"35", "couponrate":"8", "benefittype":"A", "benefitrate":"800", "premiumrate":"1.01"}</v>
      </c>
      <c r="J46" s="6" t="str">
        <f t="shared" si="4"/>
        <v>,</v>
      </c>
    </row>
    <row r="47" spans="1:10">
      <c r="A47" s="4" t="str">
        <f>'EN60'!A$3</f>
        <v>EN60</v>
      </c>
      <c r="B47" s="4">
        <f t="shared" si="5"/>
        <v>11</v>
      </c>
      <c r="C47" s="4">
        <f t="shared" si="6"/>
        <v>36</v>
      </c>
      <c r="D47" s="4">
        <f t="shared" si="0"/>
        <v>8</v>
      </c>
      <c r="E47" s="4" t="s">
        <v>27</v>
      </c>
      <c r="F47" s="4">
        <f t="shared" si="1"/>
        <v>800</v>
      </c>
      <c r="G47" s="5">
        <f t="shared" si="7"/>
        <v>1.01</v>
      </c>
      <c r="H47" s="6" t="str">
        <f t="shared" si="2"/>
        <v>INSERT INTO public.coupon (plancode, age, "year", couponrate, benefittype, benefitrate, premiumrate) VALUES('EN60', 11, 36, 8, 'A',800, 1.01);</v>
      </c>
      <c r="I47" s="6" t="str">
        <f t="shared" si="3"/>
        <v>{"age":"11", "year":"36", "couponrate":"8", "benefittype":"A", "benefitrate":"800", "premiumrate":"1.01"}</v>
      </c>
      <c r="J47" s="6" t="str">
        <f t="shared" si="4"/>
        <v>,</v>
      </c>
    </row>
    <row r="48" spans="1:10">
      <c r="A48" s="4" t="str">
        <f>'EN60'!A$3</f>
        <v>EN60</v>
      </c>
      <c r="B48" s="4">
        <f t="shared" si="5"/>
        <v>11</v>
      </c>
      <c r="C48" s="4">
        <f t="shared" si="6"/>
        <v>37</v>
      </c>
      <c r="D48" s="4">
        <f t="shared" si="0"/>
        <v>8</v>
      </c>
      <c r="E48" s="4" t="s">
        <v>27</v>
      </c>
      <c r="F48" s="4">
        <f t="shared" si="1"/>
        <v>800</v>
      </c>
      <c r="G48" s="5">
        <f t="shared" si="7"/>
        <v>1.01</v>
      </c>
      <c r="H48" s="6" t="str">
        <f t="shared" si="2"/>
        <v>INSERT INTO public.coupon (plancode, age, "year", couponrate, benefittype, benefitrate, premiumrate) VALUES('EN60', 11, 37, 8, 'A',800, 1.01);</v>
      </c>
      <c r="I48" s="6" t="str">
        <f t="shared" si="3"/>
        <v>{"age":"11", "year":"37", "couponrate":"8", "benefittype":"A", "benefitrate":"800", "premiumrate":"1.01"}</v>
      </c>
      <c r="J48" s="6" t="str">
        <f t="shared" si="4"/>
        <v>,</v>
      </c>
    </row>
    <row r="49" spans="1:10">
      <c r="A49" s="4" t="str">
        <f>'EN60'!A$3</f>
        <v>EN60</v>
      </c>
      <c r="B49" s="4">
        <f t="shared" si="5"/>
        <v>11</v>
      </c>
      <c r="C49" s="4">
        <f t="shared" si="6"/>
        <v>38</v>
      </c>
      <c r="D49" s="4">
        <f t="shared" si="0"/>
        <v>8</v>
      </c>
      <c r="E49" s="4" t="s">
        <v>27</v>
      </c>
      <c r="F49" s="4">
        <f t="shared" si="1"/>
        <v>800</v>
      </c>
      <c r="G49" s="5">
        <f t="shared" si="7"/>
        <v>1.01</v>
      </c>
      <c r="H49" s="6" t="str">
        <f t="shared" si="2"/>
        <v>INSERT INTO public.coupon (plancode, age, "year", couponrate, benefittype, benefitrate, premiumrate) VALUES('EN60', 11, 38, 8, 'A',800, 1.01);</v>
      </c>
      <c r="I49" s="6" t="str">
        <f t="shared" si="3"/>
        <v>{"age":"11", "year":"38", "couponrate":"8", "benefittype":"A", "benefitrate":"800", "premiumrate":"1.01"}</v>
      </c>
      <c r="J49" s="6" t="str">
        <f t="shared" si="4"/>
        <v>,</v>
      </c>
    </row>
    <row r="50" spans="1:10">
      <c r="A50" s="4" t="str">
        <f>'EN60'!A$3</f>
        <v>EN60</v>
      </c>
      <c r="B50" s="4">
        <f t="shared" si="5"/>
        <v>11</v>
      </c>
      <c r="C50" s="4">
        <f t="shared" si="6"/>
        <v>39</v>
      </c>
      <c r="D50" s="4">
        <f t="shared" si="0"/>
        <v>8</v>
      </c>
      <c r="E50" s="4" t="s">
        <v>27</v>
      </c>
      <c r="F50" s="4">
        <f t="shared" si="1"/>
        <v>800</v>
      </c>
      <c r="G50" s="5">
        <f t="shared" si="7"/>
        <v>1.01</v>
      </c>
      <c r="H50" s="6" t="str">
        <f t="shared" si="2"/>
        <v>INSERT INTO public.coupon (plancode, age, "year", couponrate, benefittype, benefitrate, premiumrate) VALUES('EN60', 11, 39, 8, 'A',800, 1.01);</v>
      </c>
      <c r="I50" s="6" t="str">
        <f t="shared" si="3"/>
        <v>{"age":"11", "year":"39", "couponrate":"8", "benefittype":"A", "benefitrate":"800", "premiumrate":"1.01"}</v>
      </c>
      <c r="J50" s="6" t="str">
        <f t="shared" si="4"/>
        <v>,</v>
      </c>
    </row>
    <row r="51" spans="1:10">
      <c r="A51" s="4" t="str">
        <f>'EN60'!A$3</f>
        <v>EN60</v>
      </c>
      <c r="B51" s="4">
        <f t="shared" si="5"/>
        <v>11</v>
      </c>
      <c r="C51" s="4">
        <f t="shared" si="6"/>
        <v>40</v>
      </c>
      <c r="D51" s="4">
        <f t="shared" si="0"/>
        <v>8</v>
      </c>
      <c r="E51" s="4" t="s">
        <v>27</v>
      </c>
      <c r="F51" s="4">
        <f t="shared" si="1"/>
        <v>800</v>
      </c>
      <c r="G51" s="5">
        <f t="shared" si="7"/>
        <v>1.01</v>
      </c>
      <c r="H51" s="6" t="str">
        <f t="shared" si="2"/>
        <v>INSERT INTO public.coupon (plancode, age, "year", couponrate, benefittype, benefitrate, premiumrate) VALUES('EN60', 11, 40, 8, 'A',800, 1.01);</v>
      </c>
      <c r="I51" s="6" t="str">
        <f t="shared" si="3"/>
        <v>{"age":"11", "year":"40", "couponrate":"8", "benefittype":"A", "benefitrate":"800", "premiumrate":"1.01"}</v>
      </c>
      <c r="J51" s="6" t="str">
        <f t="shared" si="4"/>
        <v>,</v>
      </c>
    </row>
    <row r="52" spans="1:10">
      <c r="A52" s="4" t="str">
        <f>'EN60'!A$3</f>
        <v>EN60</v>
      </c>
      <c r="B52" s="4">
        <f t="shared" si="5"/>
        <v>11</v>
      </c>
      <c r="C52" s="4">
        <f t="shared" si="6"/>
        <v>41</v>
      </c>
      <c r="D52" s="4">
        <f t="shared" si="0"/>
        <v>8</v>
      </c>
      <c r="E52" s="4" t="s">
        <v>27</v>
      </c>
      <c r="F52" s="4">
        <f t="shared" si="1"/>
        <v>800</v>
      </c>
      <c r="G52" s="5">
        <f t="shared" si="7"/>
        <v>1.01</v>
      </c>
      <c r="H52" s="6" t="str">
        <f t="shared" si="2"/>
        <v>INSERT INTO public.coupon (plancode, age, "year", couponrate, benefittype, benefitrate, premiumrate) VALUES('EN60', 11, 41, 8, 'A',800, 1.01);</v>
      </c>
      <c r="I52" s="6" t="str">
        <f t="shared" si="3"/>
        <v>{"age":"11", "year":"41", "couponrate":"8", "benefittype":"A", "benefitrate":"800", "premiumrate":"1.01"}</v>
      </c>
      <c r="J52" s="6" t="str">
        <f t="shared" si="4"/>
        <v>,</v>
      </c>
    </row>
    <row r="53" spans="1:10">
      <c r="A53" s="4" t="str">
        <f>'EN60'!A$3</f>
        <v>EN60</v>
      </c>
      <c r="B53" s="4">
        <f t="shared" si="5"/>
        <v>11</v>
      </c>
      <c r="C53" s="4">
        <f t="shared" si="6"/>
        <v>42</v>
      </c>
      <c r="D53" s="4">
        <f t="shared" si="0"/>
        <v>8</v>
      </c>
      <c r="E53" s="4" t="s">
        <v>27</v>
      </c>
      <c r="F53" s="4">
        <f t="shared" si="1"/>
        <v>800</v>
      </c>
      <c r="G53" s="5">
        <f t="shared" si="7"/>
        <v>1.01</v>
      </c>
      <c r="H53" s="6" t="str">
        <f t="shared" si="2"/>
        <v>INSERT INTO public.coupon (plancode, age, "year", couponrate, benefittype, benefitrate, premiumrate) VALUES('EN60', 11, 42, 8, 'A',800, 1.01);</v>
      </c>
      <c r="I53" s="6" t="str">
        <f t="shared" si="3"/>
        <v>{"age":"11", "year":"42", "couponrate":"8", "benefittype":"A", "benefitrate":"800", "premiumrate":"1.01"}</v>
      </c>
      <c r="J53" s="6" t="str">
        <f t="shared" si="4"/>
        <v>,</v>
      </c>
    </row>
    <row r="54" spans="1:10">
      <c r="A54" s="4" t="str">
        <f>'EN60'!A$3</f>
        <v>EN60</v>
      </c>
      <c r="B54" s="4">
        <f t="shared" si="5"/>
        <v>11</v>
      </c>
      <c r="C54" s="4">
        <f t="shared" si="6"/>
        <v>43</v>
      </c>
      <c r="D54" s="4">
        <f t="shared" si="0"/>
        <v>8</v>
      </c>
      <c r="E54" s="4" t="s">
        <v>27</v>
      </c>
      <c r="F54" s="4">
        <f t="shared" si="1"/>
        <v>800</v>
      </c>
      <c r="G54" s="5">
        <f t="shared" si="7"/>
        <v>1.01</v>
      </c>
      <c r="H54" s="6" t="str">
        <f t="shared" si="2"/>
        <v>INSERT INTO public.coupon (plancode, age, "year", couponrate, benefittype, benefitrate, premiumrate) VALUES('EN60', 11, 43, 8, 'A',800, 1.01);</v>
      </c>
      <c r="I54" s="6" t="str">
        <f t="shared" si="3"/>
        <v>{"age":"11", "year":"43", "couponrate":"8", "benefittype":"A", "benefitrate":"800", "premiumrate":"1.01"}</v>
      </c>
      <c r="J54" s="6" t="str">
        <f t="shared" si="4"/>
        <v>,</v>
      </c>
    </row>
    <row r="55" spans="1:10">
      <c r="A55" s="4" t="str">
        <f>'EN60'!A$3</f>
        <v>EN60</v>
      </c>
      <c r="B55" s="4">
        <f t="shared" si="5"/>
        <v>11</v>
      </c>
      <c r="C55" s="4">
        <f t="shared" si="6"/>
        <v>44</v>
      </c>
      <c r="D55" s="4">
        <f t="shared" si="0"/>
        <v>8</v>
      </c>
      <c r="E55" s="4" t="s">
        <v>27</v>
      </c>
      <c r="F55" s="4">
        <f t="shared" si="1"/>
        <v>800</v>
      </c>
      <c r="G55" s="5">
        <f t="shared" si="7"/>
        <v>1.01</v>
      </c>
      <c r="H55" s="6" t="str">
        <f t="shared" si="2"/>
        <v>INSERT INTO public.coupon (plancode, age, "year", couponrate, benefittype, benefitrate, premiumrate) VALUES('EN60', 11, 44, 8, 'A',800, 1.01);</v>
      </c>
      <c r="I55" s="6" t="str">
        <f t="shared" si="3"/>
        <v>{"age":"11", "year":"44", "couponrate":"8", "benefittype":"A", "benefitrate":"800", "premiumrate":"1.01"}</v>
      </c>
      <c r="J55" s="6" t="str">
        <f t="shared" si="4"/>
        <v>,</v>
      </c>
    </row>
    <row r="56" spans="1:10">
      <c r="A56" s="4" t="str">
        <f>'EN60'!A$3</f>
        <v>EN60</v>
      </c>
      <c r="B56" s="4">
        <f t="shared" si="5"/>
        <v>11</v>
      </c>
      <c r="C56" s="4">
        <f t="shared" si="6"/>
        <v>45</v>
      </c>
      <c r="D56" s="4">
        <f t="shared" si="0"/>
        <v>8</v>
      </c>
      <c r="E56" s="4" t="s">
        <v>27</v>
      </c>
      <c r="F56" s="4">
        <f t="shared" si="1"/>
        <v>800</v>
      </c>
      <c r="G56" s="5">
        <f t="shared" si="7"/>
        <v>1.01</v>
      </c>
      <c r="H56" s="6" t="str">
        <f t="shared" si="2"/>
        <v>INSERT INTO public.coupon (plancode, age, "year", couponrate, benefittype, benefitrate, premiumrate) VALUES('EN60', 11, 45, 8, 'A',800, 1.01);</v>
      </c>
      <c r="I56" s="6" t="str">
        <f t="shared" si="3"/>
        <v>{"age":"11", "year":"45", "couponrate":"8", "benefittype":"A", "benefitrate":"800", "premiumrate":"1.01"}</v>
      </c>
      <c r="J56" s="6" t="str">
        <f t="shared" si="4"/>
        <v>,</v>
      </c>
    </row>
    <row r="57" spans="1:10">
      <c r="A57" s="4" t="str">
        <f>'EN60'!A$3</f>
        <v>EN60</v>
      </c>
      <c r="B57" s="4">
        <f t="shared" si="5"/>
        <v>11</v>
      </c>
      <c r="C57" s="4">
        <f t="shared" si="6"/>
        <v>46</v>
      </c>
      <c r="D57" s="4">
        <f t="shared" si="0"/>
        <v>8</v>
      </c>
      <c r="E57" s="4" t="s">
        <v>27</v>
      </c>
      <c r="F57" s="4">
        <f t="shared" si="1"/>
        <v>800</v>
      </c>
      <c r="G57" s="5">
        <f t="shared" si="7"/>
        <v>1.01</v>
      </c>
      <c r="H57" s="6" t="str">
        <f t="shared" si="2"/>
        <v>INSERT INTO public.coupon (plancode, age, "year", couponrate, benefittype, benefitrate, premiumrate) VALUES('EN60', 11, 46, 8, 'A',800, 1.01);</v>
      </c>
      <c r="I57" s="6" t="str">
        <f t="shared" si="3"/>
        <v>{"age":"11", "year":"46", "couponrate":"8", "benefittype":"A", "benefitrate":"800", "premiumrate":"1.01"}</v>
      </c>
      <c r="J57" s="6" t="str">
        <f t="shared" si="4"/>
        <v>,</v>
      </c>
    </row>
    <row r="58" spans="1:10">
      <c r="A58" s="4" t="str">
        <f>'EN60'!A$3</f>
        <v>EN60</v>
      </c>
      <c r="B58" s="4">
        <f t="shared" si="5"/>
        <v>11</v>
      </c>
      <c r="C58" s="4">
        <f t="shared" si="6"/>
        <v>47</v>
      </c>
      <c r="D58" s="4">
        <f t="shared" si="0"/>
        <v>8</v>
      </c>
      <c r="E58" s="4" t="s">
        <v>27</v>
      </c>
      <c r="F58" s="4">
        <f t="shared" si="1"/>
        <v>800</v>
      </c>
      <c r="G58" s="5">
        <f t="shared" si="7"/>
        <v>1.01</v>
      </c>
      <c r="H58" s="6" t="str">
        <f t="shared" si="2"/>
        <v>INSERT INTO public.coupon (plancode, age, "year", couponrate, benefittype, benefitrate, premiumrate) VALUES('EN60', 11, 47, 8, 'A',800, 1.01);</v>
      </c>
      <c r="I58" s="6" t="str">
        <f t="shared" si="3"/>
        <v>{"age":"11", "year":"47", "couponrate":"8", "benefittype":"A", "benefitrate":"800", "premiumrate":"1.01"}</v>
      </c>
      <c r="J58" s="6" t="str">
        <f t="shared" si="4"/>
        <v>,</v>
      </c>
    </row>
    <row r="59" spans="1:10">
      <c r="A59" s="4" t="str">
        <f>'EN60'!A$3</f>
        <v>EN60</v>
      </c>
      <c r="B59" s="4">
        <f t="shared" si="5"/>
        <v>11</v>
      </c>
      <c r="C59" s="4">
        <f t="shared" si="6"/>
        <v>48</v>
      </c>
      <c r="D59" s="4">
        <f t="shared" si="0"/>
        <v>8</v>
      </c>
      <c r="E59" s="4" t="s">
        <v>27</v>
      </c>
      <c r="F59" s="4">
        <f t="shared" si="1"/>
        <v>800</v>
      </c>
      <c r="G59" s="5">
        <f t="shared" si="7"/>
        <v>1.01</v>
      </c>
      <c r="H59" s="6" t="str">
        <f t="shared" si="2"/>
        <v>INSERT INTO public.coupon (plancode, age, "year", couponrate, benefittype, benefitrate, premiumrate) VALUES('EN60', 11, 48, 8, 'A',800, 1.01);</v>
      </c>
      <c r="I59" s="6" t="str">
        <f t="shared" si="3"/>
        <v>{"age":"11", "year":"48", "couponrate":"8", "benefittype":"A", "benefitrate":"800", "premiumrate":"1.01"}</v>
      </c>
      <c r="J59" s="6" t="str">
        <f t="shared" si="4"/>
        <v>,</v>
      </c>
    </row>
    <row r="60" spans="1:10">
      <c r="A60" s="4" t="str">
        <f>'EN60'!A$3</f>
        <v>EN60</v>
      </c>
      <c r="B60" s="4">
        <f t="shared" si="5"/>
        <v>11</v>
      </c>
      <c r="C60" s="4">
        <f t="shared" si="6"/>
        <v>49</v>
      </c>
      <c r="D60" s="4">
        <f t="shared" si="0"/>
        <v>8</v>
      </c>
      <c r="E60" s="4" t="s">
        <v>27</v>
      </c>
      <c r="F60" s="4">
        <f t="shared" si="1"/>
        <v>800</v>
      </c>
      <c r="G60" s="5">
        <f t="shared" si="7"/>
        <v>1.01</v>
      </c>
      <c r="H60" s="6" t="str">
        <f t="shared" si="2"/>
        <v>INSERT INTO public.coupon (plancode, age, "year", couponrate, benefittype, benefitrate, premiumrate) VALUES('EN60', 11, 49, 8, 'A',800, 1.01);</v>
      </c>
      <c r="I60" s="6" t="str">
        <f t="shared" si="3"/>
        <v>{"age":"11", "year":"49", "couponrate":"8", "benefittype":"A", "benefitrate":"800", "premiumrate":"1.01"}</v>
      </c>
      <c r="J60" s="6" t="str">
        <f t="shared" si="4"/>
        <v>,</v>
      </c>
    </row>
    <row r="61" spans="1:10">
      <c r="A61" s="4" t="str">
        <f>'EN60'!A$3</f>
        <v>EN60</v>
      </c>
      <c r="B61" s="4">
        <f t="shared" si="5"/>
        <v>11</v>
      </c>
      <c r="C61" s="4">
        <f t="shared" si="6"/>
        <v>50</v>
      </c>
      <c r="D61" s="4">
        <f t="shared" si="0"/>
        <v>8</v>
      </c>
      <c r="E61" s="4" t="s">
        <v>27</v>
      </c>
      <c r="F61" s="4">
        <f t="shared" si="1"/>
        <v>800</v>
      </c>
      <c r="G61" s="5">
        <f t="shared" si="7"/>
        <v>1.01</v>
      </c>
      <c r="H61" s="6" t="str">
        <f t="shared" si="2"/>
        <v>INSERT INTO public.coupon (plancode, age, "year", couponrate, benefittype, benefitrate, premiumrate) VALUES('EN60', 11, 50, 8, 'A',800, 1.01);</v>
      </c>
      <c r="I61" s="6" t="str">
        <f t="shared" si="3"/>
        <v>{"age":"11", "year":"50", "couponrate":"8", "benefittype":"A", "benefitrate":"800", "premiumrate":"1.01"}</v>
      </c>
      <c r="J61" s="6" t="str">
        <f t="shared" si="4"/>
        <v>,</v>
      </c>
    </row>
    <row r="62" spans="1:10">
      <c r="A62" s="4" t="str">
        <f>'EN60'!A$3</f>
        <v>EN60</v>
      </c>
      <c r="B62" s="4">
        <f t="shared" si="5"/>
        <v>11</v>
      </c>
      <c r="C62" s="4">
        <f t="shared" si="6"/>
        <v>51</v>
      </c>
      <c r="D62" s="4">
        <f t="shared" si="0"/>
        <v>8</v>
      </c>
      <c r="E62" s="4" t="s">
        <v>27</v>
      </c>
      <c r="F62" s="4">
        <f t="shared" si="1"/>
        <v>800</v>
      </c>
      <c r="G62" s="5">
        <f t="shared" si="7"/>
        <v>1.01</v>
      </c>
      <c r="H62" s="6" t="str">
        <f t="shared" si="2"/>
        <v>INSERT INTO public.coupon (plancode, age, "year", couponrate, benefittype, benefitrate, premiumrate) VALUES('EN60', 11, 51, 8, 'A',800, 1.01);</v>
      </c>
      <c r="I62" s="6" t="str">
        <f t="shared" si="3"/>
        <v>{"age":"11", "year":"51", "couponrate":"8", "benefittype":"A", "benefitrate":"800", "premiumrate":"1.01"}</v>
      </c>
      <c r="J62" s="6" t="str">
        <f t="shared" si="4"/>
        <v>,</v>
      </c>
    </row>
    <row r="63" spans="1:10">
      <c r="A63" s="4" t="str">
        <f>'EN60'!A$3</f>
        <v>EN60</v>
      </c>
      <c r="B63" s="4">
        <f t="shared" si="5"/>
        <v>11</v>
      </c>
      <c r="C63" s="4">
        <f t="shared" si="6"/>
        <v>52</v>
      </c>
      <c r="D63" s="4">
        <f t="shared" si="0"/>
        <v>8</v>
      </c>
      <c r="E63" s="4" t="s">
        <v>27</v>
      </c>
      <c r="F63" s="4">
        <f t="shared" si="1"/>
        <v>800</v>
      </c>
      <c r="G63" s="5">
        <f t="shared" si="7"/>
        <v>1.01</v>
      </c>
      <c r="H63" s="6" t="str">
        <f t="shared" si="2"/>
        <v>INSERT INTO public.coupon (plancode, age, "year", couponrate, benefittype, benefitrate, premiumrate) VALUES('EN60', 11, 52, 8, 'A',800, 1.01);</v>
      </c>
      <c r="I63" s="6" t="str">
        <f t="shared" si="3"/>
        <v>{"age":"11", "year":"52", "couponrate":"8", "benefittype":"A", "benefitrate":"800", "premiumrate":"1.01"}</v>
      </c>
      <c r="J63" s="6" t="str">
        <f t="shared" si="4"/>
        <v>,</v>
      </c>
    </row>
    <row r="64" spans="1:10">
      <c r="A64" s="4" t="str">
        <f>'EN60'!A$3</f>
        <v>EN60</v>
      </c>
      <c r="B64" s="4">
        <f t="shared" si="5"/>
        <v>11</v>
      </c>
      <c r="C64" s="4">
        <f t="shared" si="6"/>
        <v>53</v>
      </c>
      <c r="D64" s="4">
        <f t="shared" si="0"/>
        <v>8</v>
      </c>
      <c r="E64" s="4" t="s">
        <v>27</v>
      </c>
      <c r="F64" s="4">
        <f t="shared" si="1"/>
        <v>800</v>
      </c>
      <c r="G64" s="5">
        <f t="shared" si="7"/>
        <v>1.01</v>
      </c>
      <c r="H64" s="6" t="str">
        <f t="shared" si="2"/>
        <v>INSERT INTO public.coupon (plancode, age, "year", couponrate, benefittype, benefitrate, premiumrate) VALUES('EN60', 11, 53, 8, 'A',800, 1.01);</v>
      </c>
      <c r="I64" s="6" t="str">
        <f t="shared" si="3"/>
        <v>{"age":"11", "year":"53", "couponrate":"8", "benefittype":"A", "benefitrate":"800", "premiumrate":"1.01"}</v>
      </c>
      <c r="J64" s="6" t="str">
        <f t="shared" si="4"/>
        <v>,</v>
      </c>
    </row>
    <row r="65" spans="1:10">
      <c r="A65" s="4" t="str">
        <f>'EN60'!A$3</f>
        <v>EN60</v>
      </c>
      <c r="B65" s="4">
        <f t="shared" si="5"/>
        <v>11</v>
      </c>
      <c r="C65" s="4">
        <f t="shared" si="6"/>
        <v>54</v>
      </c>
      <c r="D65" s="4">
        <f t="shared" si="0"/>
        <v>8</v>
      </c>
      <c r="E65" s="4" t="s">
        <v>27</v>
      </c>
      <c r="F65" s="4">
        <f t="shared" si="1"/>
        <v>800</v>
      </c>
      <c r="G65" s="5">
        <f t="shared" si="7"/>
        <v>1.01</v>
      </c>
      <c r="H65" s="6" t="str">
        <f t="shared" si="2"/>
        <v>INSERT INTO public.coupon (plancode, age, "year", couponrate, benefittype, benefitrate, premiumrate) VALUES('EN60', 11, 54, 8, 'A',800, 1.01);</v>
      </c>
      <c r="I65" s="6" t="str">
        <f t="shared" si="3"/>
        <v>{"age":"11", "year":"54", "couponrate":"8", "benefittype":"A", "benefitrate":"800", "premiumrate":"1.01"}</v>
      </c>
      <c r="J65" s="6" t="str">
        <f t="shared" si="4"/>
        <v>,</v>
      </c>
    </row>
    <row r="66" spans="1:10">
      <c r="A66" s="4" t="str">
        <f>'EN60'!A$3</f>
        <v>EN60</v>
      </c>
      <c r="B66" s="4">
        <f t="shared" si="5"/>
        <v>11</v>
      </c>
      <c r="C66" s="4">
        <f t="shared" si="6"/>
        <v>55</v>
      </c>
      <c r="D66" s="4">
        <f t="shared" si="0"/>
        <v>8</v>
      </c>
      <c r="E66" s="4" t="s">
        <v>27</v>
      </c>
      <c r="F66" s="4">
        <f t="shared" si="1"/>
        <v>800</v>
      </c>
      <c r="G66" s="5">
        <f t="shared" si="7"/>
        <v>1.01</v>
      </c>
      <c r="H66" s="6" t="str">
        <f t="shared" si="2"/>
        <v>INSERT INTO public.coupon (plancode, age, "year", couponrate, benefittype, benefitrate, premiumrate) VALUES('EN60', 11, 55, 8, 'A',800, 1.01);</v>
      </c>
      <c r="I66" s="6" t="str">
        <f t="shared" si="3"/>
        <v>{"age":"11", "year":"55", "couponrate":"8", "benefittype":"A", "benefitrate":"800", "premiumrate":"1.01"}</v>
      </c>
      <c r="J66" s="6" t="str">
        <f t="shared" si="4"/>
        <v>,</v>
      </c>
    </row>
    <row r="67" spans="1:10">
      <c r="A67" s="4" t="str">
        <f>'EN60'!A$3</f>
        <v>EN60</v>
      </c>
      <c r="B67" s="4">
        <f t="shared" si="5"/>
        <v>11</v>
      </c>
      <c r="C67" s="4">
        <f t="shared" si="6"/>
        <v>56</v>
      </c>
      <c r="D67" s="4">
        <f t="shared" si="0"/>
        <v>8</v>
      </c>
      <c r="E67" s="4" t="s">
        <v>27</v>
      </c>
      <c r="F67" s="4">
        <f t="shared" si="1"/>
        <v>800</v>
      </c>
      <c r="G67" s="5">
        <f t="shared" si="7"/>
        <v>1.01</v>
      </c>
      <c r="H67" s="6" t="str">
        <f t="shared" si="2"/>
        <v>INSERT INTO public.coupon (plancode, age, "year", couponrate, benefittype, benefitrate, premiumrate) VALUES('EN60', 11, 56, 8, 'A',800, 1.01);</v>
      </c>
      <c r="I67" s="6" t="str">
        <f t="shared" si="3"/>
        <v>{"age":"11", "year":"56", "couponrate":"8", "benefittype":"A", "benefitrate":"800", "premiumrate":"1.01"}</v>
      </c>
      <c r="J67" s="6" t="str">
        <f t="shared" si="4"/>
        <v>,</v>
      </c>
    </row>
    <row r="68" spans="1:10">
      <c r="A68" s="4" t="str">
        <f>'EN60'!A$3</f>
        <v>EN60</v>
      </c>
      <c r="B68" s="4">
        <f t="shared" si="5"/>
        <v>11</v>
      </c>
      <c r="C68" s="4">
        <f t="shared" si="6"/>
        <v>57</v>
      </c>
      <c r="D68" s="4">
        <f t="shared" si="0"/>
        <v>8</v>
      </c>
      <c r="E68" s="4" t="s">
        <v>27</v>
      </c>
      <c r="F68" s="4">
        <f t="shared" si="1"/>
        <v>800</v>
      </c>
      <c r="G68" s="5">
        <f t="shared" si="7"/>
        <v>1.01</v>
      </c>
      <c r="H68" s="6" t="str">
        <f t="shared" si="2"/>
        <v>INSERT INTO public.coupon (plancode, age, "year", couponrate, benefittype, benefitrate, premiumrate) VALUES('EN60', 11, 57, 8, 'A',800, 1.01);</v>
      </c>
      <c r="I68" s="6" t="str">
        <f t="shared" si="3"/>
        <v>{"age":"11", "year":"57", "couponrate":"8", "benefittype":"A", "benefitrate":"800", "premiumrate":"1.01"}</v>
      </c>
      <c r="J68" s="6" t="str">
        <f t="shared" si="4"/>
        <v>,</v>
      </c>
    </row>
    <row r="69" spans="1:10">
      <c r="A69" s="4" t="str">
        <f>'EN60'!A$3</f>
        <v>EN60</v>
      </c>
      <c r="B69" s="4">
        <f t="shared" si="5"/>
        <v>11</v>
      </c>
      <c r="C69" s="4">
        <f t="shared" si="6"/>
        <v>58</v>
      </c>
      <c r="D69" s="4">
        <f t="shared" si="0"/>
        <v>8</v>
      </c>
      <c r="E69" s="4" t="s">
        <v>27</v>
      </c>
      <c r="F69" s="4">
        <f t="shared" si="1"/>
        <v>800</v>
      </c>
      <c r="G69" s="5">
        <f t="shared" si="7"/>
        <v>1.01</v>
      </c>
      <c r="H69" s="6" t="str">
        <f t="shared" si="2"/>
        <v>INSERT INTO public.coupon (plancode, age, "year", couponrate, benefittype, benefitrate, premiumrate) VALUES('EN60', 11, 58, 8, 'A',800, 1.01);</v>
      </c>
      <c r="I69" s="6" t="str">
        <f t="shared" si="3"/>
        <v>{"age":"11", "year":"58", "couponrate":"8", "benefittype":"A", "benefitrate":"800", "premiumrate":"1.01"}</v>
      </c>
      <c r="J69" s="6" t="str">
        <f t="shared" si="4"/>
        <v>,</v>
      </c>
    </row>
    <row r="70" spans="1:10">
      <c r="A70" s="4" t="str">
        <f>'EN60'!A$3</f>
        <v>EN60</v>
      </c>
      <c r="B70" s="4">
        <f t="shared" si="5"/>
        <v>11</v>
      </c>
      <c r="C70" s="4">
        <f t="shared" si="6"/>
        <v>59</v>
      </c>
      <c r="D70" s="4">
        <f t="shared" si="0"/>
        <v>8</v>
      </c>
      <c r="E70" s="4" t="s">
        <v>27</v>
      </c>
      <c r="F70" s="4">
        <f t="shared" si="1"/>
        <v>800</v>
      </c>
      <c r="G70" s="5">
        <f t="shared" si="7"/>
        <v>1.01</v>
      </c>
      <c r="H70" s="6" t="str">
        <f t="shared" si="2"/>
        <v>INSERT INTO public.coupon (plancode, age, "year", couponrate, benefittype, benefitrate, premiumrate) VALUES('EN60', 11, 59, 8, 'A',800, 1.01);</v>
      </c>
      <c r="I70" s="6" t="str">
        <f t="shared" si="3"/>
        <v>{"age":"11", "year":"59", "couponrate":"8", "benefittype":"A", "benefitrate":"800", "premiumrate":"1.01"}</v>
      </c>
      <c r="J70" s="6" t="str">
        <f t="shared" si="4"/>
        <v>,</v>
      </c>
    </row>
    <row r="71" spans="1:10">
      <c r="A71" s="4" t="str">
        <f>'EN60'!A$3</f>
        <v>EN60</v>
      </c>
      <c r="B71" s="4">
        <f t="shared" si="5"/>
        <v>11</v>
      </c>
      <c r="C71" s="4">
        <f t="shared" si="6"/>
        <v>60</v>
      </c>
      <c r="D71" s="4">
        <f t="shared" si="0"/>
        <v>8</v>
      </c>
      <c r="E71" s="4" t="s">
        <v>27</v>
      </c>
      <c r="F71" s="4">
        <f t="shared" si="1"/>
        <v>800</v>
      </c>
      <c r="G71" s="5">
        <f t="shared" si="7"/>
        <v>1.01</v>
      </c>
      <c r="H71" s="6" t="str">
        <f t="shared" si="2"/>
        <v>INSERT INTO public.coupon (plancode, age, "year", couponrate, benefittype, benefitrate, premiumrate) VALUES('EN60', 11, 60, 8, 'A',800, 1.01);</v>
      </c>
      <c r="I71" s="6" t="str">
        <f t="shared" si="3"/>
        <v>{"age":"11", "year":"60", "couponrate":"8", "benefittype":"A", "benefitrate":"800", "premiumrate":"1.01"}</v>
      </c>
      <c r="J71" s="6" t="str">
        <f t="shared" si="4"/>
        <v>,</v>
      </c>
    </row>
    <row r="72" spans="1:10">
      <c r="A72" s="4" t="str">
        <f>'EN60'!A$3</f>
        <v>EN60</v>
      </c>
      <c r="B72" s="4">
        <f t="shared" si="5"/>
        <v>11</v>
      </c>
      <c r="C72" s="4">
        <f t="shared" si="6"/>
        <v>61</v>
      </c>
      <c r="D72" s="4">
        <f t="shared" si="0"/>
        <v>8</v>
      </c>
      <c r="E72" s="4" t="s">
        <v>27</v>
      </c>
      <c r="F72" s="4">
        <f t="shared" si="1"/>
        <v>800</v>
      </c>
      <c r="G72" s="5">
        <f t="shared" si="7"/>
        <v>1.01</v>
      </c>
      <c r="H72" s="6" t="str">
        <f t="shared" si="2"/>
        <v>INSERT INTO public.coupon (plancode, age, "year", couponrate, benefittype, benefitrate, premiumrate) VALUES('EN60', 11, 61, 8, 'A',800, 1.01);</v>
      </c>
      <c r="I72" s="6" t="str">
        <f t="shared" si="3"/>
        <v>{"age":"11", "year":"61", "couponrate":"8", "benefittype":"A", "benefitrate":"800", "premiumrate":"1.01"}</v>
      </c>
      <c r="J72" s="6" t="str">
        <f t="shared" si="4"/>
        <v>,</v>
      </c>
    </row>
    <row r="73" spans="1:10">
      <c r="A73" s="4" t="str">
        <f>'EN60'!A$3</f>
        <v>EN60</v>
      </c>
      <c r="B73" s="4">
        <f t="shared" si="5"/>
        <v>11</v>
      </c>
      <c r="C73" s="4">
        <f t="shared" si="6"/>
        <v>62</v>
      </c>
      <c r="D73" s="4">
        <f t="shared" si="0"/>
        <v>8</v>
      </c>
      <c r="E73" s="4" t="s">
        <v>27</v>
      </c>
      <c r="F73" s="4">
        <f t="shared" si="1"/>
        <v>800</v>
      </c>
      <c r="G73" s="5">
        <f t="shared" si="7"/>
        <v>1.01</v>
      </c>
      <c r="H73" s="6" t="str">
        <f t="shared" si="2"/>
        <v>INSERT INTO public.coupon (plancode, age, "year", couponrate, benefittype, benefitrate, premiumrate) VALUES('EN60', 11, 62, 8, 'A',800, 1.01);</v>
      </c>
      <c r="I73" s="6" t="str">
        <f t="shared" si="3"/>
        <v>{"age":"11", "year":"62", "couponrate":"8", "benefittype":"A", "benefitrate":"800", "premiumrate":"1.01"}</v>
      </c>
      <c r="J73" s="6" t="str">
        <f t="shared" si="4"/>
        <v>,</v>
      </c>
    </row>
    <row r="74" spans="1:10">
      <c r="A74" s="4" t="str">
        <f>'EN60'!A$3</f>
        <v>EN60</v>
      </c>
      <c r="B74" s="4">
        <f t="shared" si="5"/>
        <v>11</v>
      </c>
      <c r="C74" s="4">
        <f t="shared" si="6"/>
        <v>63</v>
      </c>
      <c r="D74" s="4">
        <f t="shared" si="0"/>
        <v>8</v>
      </c>
      <c r="E74" s="4" t="s">
        <v>27</v>
      </c>
      <c r="F74" s="4">
        <f t="shared" si="1"/>
        <v>800</v>
      </c>
      <c r="G74" s="5">
        <f t="shared" si="7"/>
        <v>1.01</v>
      </c>
      <c r="H74" s="6" t="str">
        <f t="shared" si="2"/>
        <v>INSERT INTO public.coupon (plancode, age, "year", couponrate, benefittype, benefitrate, premiumrate) VALUES('EN60', 11, 63, 8, 'A',800, 1.01);</v>
      </c>
      <c r="I74" s="6" t="str">
        <f t="shared" si="3"/>
        <v>{"age":"11", "year":"63", "couponrate":"8", "benefittype":"A", "benefitrate":"800", "premiumrate":"1.01"}</v>
      </c>
      <c r="J74" s="6" t="str">
        <f t="shared" si="4"/>
        <v>,</v>
      </c>
    </row>
    <row r="75" spans="1:10">
      <c r="A75" s="4" t="str">
        <f>'EN60'!A$3</f>
        <v>EN60</v>
      </c>
      <c r="B75" s="4">
        <f t="shared" si="5"/>
        <v>11</v>
      </c>
      <c r="C75" s="4">
        <f t="shared" si="6"/>
        <v>64</v>
      </c>
      <c r="D75" s="4">
        <f t="shared" si="0"/>
        <v>8</v>
      </c>
      <c r="E75" s="4" t="s">
        <v>27</v>
      </c>
      <c r="F75" s="4">
        <f t="shared" si="1"/>
        <v>800</v>
      </c>
      <c r="G75" s="5">
        <f t="shared" si="7"/>
        <v>1.01</v>
      </c>
      <c r="H75" s="6" t="str">
        <f t="shared" si="2"/>
        <v>INSERT INTO public.coupon (plancode, age, "year", couponrate, benefittype, benefitrate, premiumrate) VALUES('EN60', 11, 64, 8, 'A',800, 1.01);</v>
      </c>
      <c r="I75" s="6" t="str">
        <f t="shared" si="3"/>
        <v>{"age":"11", "year":"64", "couponrate":"8", "benefittype":"A", "benefitrate":"800", "premiumrate":"1.01"}</v>
      </c>
      <c r="J75" s="6" t="str">
        <f t="shared" si="4"/>
        <v>,</v>
      </c>
    </row>
    <row r="76" spans="1:10">
      <c r="A76" s="4" t="str">
        <f>'EN60'!A$3</f>
        <v>EN60</v>
      </c>
      <c r="B76" s="4">
        <f t="shared" si="5"/>
        <v>11</v>
      </c>
      <c r="C76" s="4">
        <f t="shared" si="6"/>
        <v>65</v>
      </c>
      <c r="D76" s="4">
        <f t="shared" si="0"/>
        <v>8</v>
      </c>
      <c r="E76" s="4" t="s">
        <v>27</v>
      </c>
      <c r="F76" s="4">
        <f t="shared" si="1"/>
        <v>800</v>
      </c>
      <c r="G76" s="5">
        <f t="shared" si="7"/>
        <v>1.01</v>
      </c>
      <c r="H76" s="6" t="str">
        <f t="shared" si="2"/>
        <v>INSERT INTO public.coupon (plancode, age, "year", couponrate, benefittype, benefitrate, premiumrate) VALUES('EN60', 11, 65, 8, 'A',800, 1.01);</v>
      </c>
      <c r="I76" s="6" t="str">
        <f t="shared" si="3"/>
        <v>{"age":"11", "year":"65", "couponrate":"8", "benefittype":"A", "benefitrate":"800", "premiumrate":"1.01"}</v>
      </c>
      <c r="J76" s="6" t="str">
        <f t="shared" si="4"/>
        <v>,</v>
      </c>
    </row>
    <row r="77" spans="1:10">
      <c r="A77" s="4" t="str">
        <f>'EN60'!A$3</f>
        <v>EN60</v>
      </c>
      <c r="B77" s="4">
        <f t="shared" si="5"/>
        <v>11</v>
      </c>
      <c r="C77" s="4">
        <f t="shared" si="6"/>
        <v>66</v>
      </c>
      <c r="D77" s="4">
        <f t="shared" si="0"/>
        <v>8</v>
      </c>
      <c r="E77" s="4" t="s">
        <v>27</v>
      </c>
      <c r="F77" s="4">
        <f t="shared" si="1"/>
        <v>800</v>
      </c>
      <c r="G77" s="5">
        <f t="shared" si="7"/>
        <v>1.01</v>
      </c>
      <c r="H77" s="6" t="str">
        <f t="shared" si="2"/>
        <v>INSERT INTO public.coupon (plancode, age, "year", couponrate, benefittype, benefitrate, premiumrate) VALUES('EN60', 11, 66, 8, 'A',800, 1.01);</v>
      </c>
      <c r="I77" s="6" t="str">
        <f t="shared" si="3"/>
        <v>{"age":"11", "year":"66", "couponrate":"8", "benefittype":"A", "benefitrate":"800", "premiumrate":"1.01"}</v>
      </c>
      <c r="J77" s="6" t="str">
        <f t="shared" si="4"/>
        <v>,</v>
      </c>
    </row>
    <row r="78" spans="1:10">
      <c r="A78" s="4" t="str">
        <f>'EN60'!A$3</f>
        <v>EN60</v>
      </c>
      <c r="B78" s="4">
        <f t="shared" si="5"/>
        <v>11</v>
      </c>
      <c r="C78" s="4">
        <f t="shared" si="6"/>
        <v>67</v>
      </c>
      <c r="D78" s="4">
        <f t="shared" si="0"/>
        <v>8</v>
      </c>
      <c r="E78" s="4" t="s">
        <v>27</v>
      </c>
      <c r="F78" s="4">
        <f t="shared" si="1"/>
        <v>800</v>
      </c>
      <c r="G78" s="5">
        <f t="shared" si="7"/>
        <v>1.01</v>
      </c>
      <c r="H78" s="6" t="str">
        <f t="shared" si="2"/>
        <v>INSERT INTO public.coupon (plancode, age, "year", couponrate, benefittype, benefitrate, premiumrate) VALUES('EN60', 11, 67, 8, 'A',800, 1.01);</v>
      </c>
      <c r="I78" s="6" t="str">
        <f t="shared" si="3"/>
        <v>{"age":"11", "year":"67", "couponrate":"8", "benefittype":"A", "benefitrate":"800", "premiumrate":"1.01"}</v>
      </c>
      <c r="J78" s="6" t="str">
        <f t="shared" si="4"/>
        <v>,</v>
      </c>
    </row>
    <row r="79" spans="1:10">
      <c r="A79" s="4" t="str">
        <f>'EN60'!A$3</f>
        <v>EN60</v>
      </c>
      <c r="B79" s="4">
        <f t="shared" si="5"/>
        <v>11</v>
      </c>
      <c r="C79" s="4">
        <f t="shared" si="6"/>
        <v>68</v>
      </c>
      <c r="D79" s="4">
        <f t="shared" si="0"/>
        <v>8</v>
      </c>
      <c r="E79" s="4" t="s">
        <v>27</v>
      </c>
      <c r="F79" s="4">
        <f t="shared" si="1"/>
        <v>800</v>
      </c>
      <c r="G79" s="5">
        <f t="shared" si="7"/>
        <v>1.01</v>
      </c>
      <c r="H79" s="6" t="str">
        <f t="shared" si="2"/>
        <v>INSERT INTO public.coupon (plancode, age, "year", couponrate, benefittype, benefitrate, premiumrate) VALUES('EN60', 11, 68, 8, 'A',800, 1.01);</v>
      </c>
      <c r="I79" s="6" t="str">
        <f t="shared" si="3"/>
        <v>{"age":"11", "year":"68", "couponrate":"8", "benefittype":"A", "benefitrate":"800", "premiumrate":"1.01"}</v>
      </c>
      <c r="J79" s="6" t="str">
        <f t="shared" si="4"/>
        <v>,</v>
      </c>
    </row>
    <row r="80" spans="1:10">
      <c r="A80" s="4" t="str">
        <f>'EN60'!A$3</f>
        <v>EN60</v>
      </c>
      <c r="B80" s="4">
        <f t="shared" si="5"/>
        <v>11</v>
      </c>
      <c r="C80" s="4">
        <f t="shared" si="6"/>
        <v>69</v>
      </c>
      <c r="D80" s="4">
        <f t="shared" si="0"/>
        <v>0</v>
      </c>
      <c r="E80" s="4" t="s">
        <v>27</v>
      </c>
      <c r="F80" s="4">
        <f t="shared" si="1"/>
        <v>800</v>
      </c>
      <c r="G80" s="5">
        <f t="shared" si="7"/>
        <v>1.01</v>
      </c>
      <c r="H80" s="6" t="str">
        <f t="shared" si="2"/>
        <v>INSERT INTO public.coupon (plancode, age, "year", couponrate, benefittype, benefitrate, premiumrate) VALUES('EN60', 11, 69, 0, 'A',800, 1.01);</v>
      </c>
      <c r="I80" s="6" t="str">
        <f t="shared" si="3"/>
        <v>{"age":"11", "year":"69", "couponrate":"0", "benefittype":"A", "benefitrate":"800", "premiumrate":"1.01"}</v>
      </c>
    </row>
    <row r="81" spans="1:10">
      <c r="C81" s="6"/>
      <c r="I81" s="6" t="s">
        <v>28</v>
      </c>
    </row>
    <row r="82" spans="1:10">
      <c r="A82" s="3" t="s">
        <v>2</v>
      </c>
      <c r="B82" s="3" t="s">
        <v>23</v>
      </c>
      <c r="C82" s="3" t="s">
        <v>24</v>
      </c>
      <c r="D82" s="3" t="s">
        <v>25</v>
      </c>
      <c r="E82" s="3" t="s">
        <v>8</v>
      </c>
      <c r="F82" s="3" t="s">
        <v>26</v>
      </c>
      <c r="G82" s="3" t="s">
        <v>4</v>
      </c>
      <c r="I82" s="6" t="str">
        <f>"[{""plancode"":"""&amp;A83&amp;""",""returncash"":"""&amp;B$7&amp;""",""ytable"":"""&amp;C$7&amp;""",""maturerate"":"""&amp;B$3&amp;""",""maturepmrate"":"""&amp;C$3&amp;""",""coupon"":["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83" spans="1:10">
      <c r="A83" s="4" t="str">
        <f>'EN60'!A$3</f>
        <v>EN60</v>
      </c>
      <c r="B83" s="8">
        <v>12</v>
      </c>
      <c r="C83" s="4">
        <v>1</v>
      </c>
      <c r="D83" s="4">
        <f t="shared" ref="D83:D150" si="8">IF(C83+B83=80,0,8)</f>
        <v>8</v>
      </c>
      <c r="E83" s="4" t="s">
        <v>27</v>
      </c>
      <c r="F83" s="4">
        <f t="shared" ref="F83:F150" si="9">IF(C83&gt;7, 800, C83*100)</f>
        <v>100</v>
      </c>
      <c r="G83" s="5">
        <f>'EN60'!C$3</f>
        <v>1.01</v>
      </c>
      <c r="H83" s="6" t="str">
        <f t="shared" ref="H83:H150" si="10">"INSERT INTO public.coupon ("&amp;A$11&amp;", "&amp;B$11&amp;", """&amp;C$11&amp;""", "&amp;D$11&amp;", "&amp;E$11&amp;", "&amp;F$11&amp;", "&amp;G$11&amp;") VALUES('"&amp;A83&amp;"', "&amp;B83&amp;", "&amp;C83&amp;", "&amp;D83&amp;", '"&amp;E83&amp;"',"&amp;F83&amp;", "&amp;G83&amp;");"</f>
        <v>INSERT INTO public.coupon (plancode, age, "year", couponrate, benefittype, benefitrate, premiumrate) VALUES('EN60', 12, 1, 8, 'A',100, 1.01);</v>
      </c>
      <c r="I83" s="6" t="str">
        <f t="shared" ref="I83:I150" si="11">"{""age"":"""&amp;B83&amp;""", ""year"":"""&amp;C83&amp;""", ""couponrate"":"""&amp;D83&amp;""", ""benefittype"":"""&amp;E83&amp;""", ""benefitrate"":"""&amp;F83&amp;""", """&amp;G$11&amp;""":"""&amp;G83&amp;"""}"</f>
        <v>{"age":"12", "year":"1", "couponrate":"8", "benefittype":"A", "benefitrate":"100", "premiumrate":"1.01"}</v>
      </c>
      <c r="J83" s="6" t="str">
        <f t="shared" ref="J83:J149" si="12">IF(OR(I84="]", I83="[", I83="]"), "", ",")</f>
        <v>,</v>
      </c>
    </row>
    <row r="84" spans="1:10">
      <c r="A84" s="4" t="str">
        <f>'EN60'!A$3</f>
        <v>EN60</v>
      </c>
      <c r="B84" s="4">
        <f t="shared" ref="B84:B150" si="13">B83</f>
        <v>12</v>
      </c>
      <c r="C84" s="4">
        <f t="shared" ref="C84:C150" si="14">C83+1</f>
        <v>2</v>
      </c>
      <c r="D84" s="4">
        <f t="shared" si="8"/>
        <v>8</v>
      </c>
      <c r="E84" s="4" t="s">
        <v>27</v>
      </c>
      <c r="F84" s="4">
        <f t="shared" si="9"/>
        <v>200</v>
      </c>
      <c r="G84" s="5">
        <f t="shared" ref="G84:G150" si="15">G83</f>
        <v>1.01</v>
      </c>
      <c r="H84" s="6" t="str">
        <f t="shared" si="10"/>
        <v>INSERT INTO public.coupon (plancode, age, "year", couponrate, benefittype, benefitrate, premiumrate) VALUES('EN60', 12, 2, 8, 'A',200, 1.01);</v>
      </c>
      <c r="I84" s="6" t="str">
        <f t="shared" si="11"/>
        <v>{"age":"12", "year":"2", "couponrate":"8", "benefittype":"A", "benefitrate":"200", "premiumrate":"1.01"}</v>
      </c>
      <c r="J84" s="6" t="str">
        <f t="shared" si="12"/>
        <v>,</v>
      </c>
    </row>
    <row r="85" spans="1:10">
      <c r="A85" s="4" t="str">
        <f>'EN60'!A$3</f>
        <v>EN60</v>
      </c>
      <c r="B85" s="4">
        <f t="shared" si="13"/>
        <v>12</v>
      </c>
      <c r="C85" s="4">
        <f t="shared" si="14"/>
        <v>3</v>
      </c>
      <c r="D85" s="4">
        <f t="shared" si="8"/>
        <v>8</v>
      </c>
      <c r="E85" s="4" t="s">
        <v>27</v>
      </c>
      <c r="F85" s="4">
        <f t="shared" si="9"/>
        <v>300</v>
      </c>
      <c r="G85" s="5">
        <f t="shared" si="15"/>
        <v>1.01</v>
      </c>
      <c r="H85" s="6" t="str">
        <f t="shared" si="10"/>
        <v>INSERT INTO public.coupon (plancode, age, "year", couponrate, benefittype, benefitrate, premiumrate) VALUES('EN60', 12, 3, 8, 'A',300, 1.01);</v>
      </c>
      <c r="I85" s="6" t="str">
        <f t="shared" si="11"/>
        <v>{"age":"12", "year":"3", "couponrate":"8", "benefittype":"A", "benefitrate":"300", "premiumrate":"1.01"}</v>
      </c>
      <c r="J85" s="6" t="str">
        <f t="shared" si="12"/>
        <v>,</v>
      </c>
    </row>
    <row r="86" spans="1:10">
      <c r="A86" s="4" t="str">
        <f>'EN60'!A$3</f>
        <v>EN60</v>
      </c>
      <c r="B86" s="4">
        <f t="shared" si="13"/>
        <v>12</v>
      </c>
      <c r="C86" s="4">
        <f t="shared" si="14"/>
        <v>4</v>
      </c>
      <c r="D86" s="4">
        <f t="shared" si="8"/>
        <v>8</v>
      </c>
      <c r="E86" s="4" t="s">
        <v>27</v>
      </c>
      <c r="F86" s="4">
        <f t="shared" si="9"/>
        <v>400</v>
      </c>
      <c r="G86" s="5">
        <f t="shared" si="15"/>
        <v>1.01</v>
      </c>
      <c r="H86" s="6" t="str">
        <f t="shared" si="10"/>
        <v>INSERT INTO public.coupon (plancode, age, "year", couponrate, benefittype, benefitrate, premiumrate) VALUES('EN60', 12, 4, 8, 'A',400, 1.01);</v>
      </c>
      <c r="I86" s="6" t="str">
        <f t="shared" si="11"/>
        <v>{"age":"12", "year":"4", "couponrate":"8", "benefittype":"A", "benefitrate":"400", "premiumrate":"1.01"}</v>
      </c>
      <c r="J86" s="6" t="str">
        <f t="shared" si="12"/>
        <v>,</v>
      </c>
    </row>
    <row r="87" spans="1:10">
      <c r="A87" s="4" t="str">
        <f>'EN60'!A$3</f>
        <v>EN60</v>
      </c>
      <c r="B87" s="4">
        <f t="shared" si="13"/>
        <v>12</v>
      </c>
      <c r="C87" s="4">
        <f t="shared" si="14"/>
        <v>5</v>
      </c>
      <c r="D87" s="4">
        <f t="shared" si="8"/>
        <v>8</v>
      </c>
      <c r="E87" s="4" t="s">
        <v>27</v>
      </c>
      <c r="F87" s="4">
        <f t="shared" si="9"/>
        <v>500</v>
      </c>
      <c r="G87" s="5">
        <f t="shared" si="15"/>
        <v>1.01</v>
      </c>
      <c r="H87" s="6" t="str">
        <f t="shared" si="10"/>
        <v>INSERT INTO public.coupon (plancode, age, "year", couponrate, benefittype, benefitrate, premiumrate) VALUES('EN60', 12, 5, 8, 'A',500, 1.01);</v>
      </c>
      <c r="I87" s="6" t="str">
        <f t="shared" si="11"/>
        <v>{"age":"12", "year":"5", "couponrate":"8", "benefittype":"A", "benefitrate":"500", "premiumrate":"1.01"}</v>
      </c>
      <c r="J87" s="6" t="str">
        <f t="shared" si="12"/>
        <v>,</v>
      </c>
    </row>
    <row r="88" spans="1:10">
      <c r="A88" s="4" t="str">
        <f>'EN60'!A$3</f>
        <v>EN60</v>
      </c>
      <c r="B88" s="4">
        <f t="shared" si="13"/>
        <v>12</v>
      </c>
      <c r="C88" s="4">
        <f t="shared" si="14"/>
        <v>6</v>
      </c>
      <c r="D88" s="4">
        <f t="shared" si="8"/>
        <v>8</v>
      </c>
      <c r="E88" s="4" t="s">
        <v>27</v>
      </c>
      <c r="F88" s="4">
        <f t="shared" si="9"/>
        <v>600</v>
      </c>
      <c r="G88" s="5">
        <f t="shared" si="15"/>
        <v>1.01</v>
      </c>
      <c r="H88" s="6" t="str">
        <f t="shared" si="10"/>
        <v>INSERT INTO public.coupon (plancode, age, "year", couponrate, benefittype, benefitrate, premiumrate) VALUES('EN60', 12, 6, 8, 'A',600, 1.01);</v>
      </c>
      <c r="I88" s="6" t="str">
        <f t="shared" si="11"/>
        <v>{"age":"12", "year":"6", "couponrate":"8", "benefittype":"A", "benefitrate":"600", "premiumrate":"1.01"}</v>
      </c>
      <c r="J88" s="6" t="str">
        <f t="shared" si="12"/>
        <v>,</v>
      </c>
    </row>
    <row r="89" spans="1:10">
      <c r="A89" s="4" t="str">
        <f>'EN60'!A$3</f>
        <v>EN60</v>
      </c>
      <c r="B89" s="4">
        <f t="shared" si="13"/>
        <v>12</v>
      </c>
      <c r="C89" s="4">
        <f t="shared" si="14"/>
        <v>7</v>
      </c>
      <c r="D89" s="4">
        <f t="shared" si="8"/>
        <v>8</v>
      </c>
      <c r="E89" s="4" t="s">
        <v>27</v>
      </c>
      <c r="F89" s="4">
        <f t="shared" si="9"/>
        <v>700</v>
      </c>
      <c r="G89" s="5">
        <f t="shared" si="15"/>
        <v>1.01</v>
      </c>
      <c r="H89" s="6" t="str">
        <f t="shared" si="10"/>
        <v>INSERT INTO public.coupon (plancode, age, "year", couponrate, benefittype, benefitrate, premiumrate) VALUES('EN60', 12, 7, 8, 'A',700, 1.01);</v>
      </c>
      <c r="I89" s="6" t="str">
        <f t="shared" si="11"/>
        <v>{"age":"12", "year":"7", "couponrate":"8", "benefittype":"A", "benefitrate":"700", "premiumrate":"1.01"}</v>
      </c>
      <c r="J89" s="6" t="str">
        <f t="shared" si="12"/>
        <v>,</v>
      </c>
    </row>
    <row r="90" spans="1:10">
      <c r="A90" s="4" t="str">
        <f>'EN60'!A$3</f>
        <v>EN60</v>
      </c>
      <c r="B90" s="4">
        <f t="shared" si="13"/>
        <v>12</v>
      </c>
      <c r="C90" s="4">
        <f t="shared" si="14"/>
        <v>8</v>
      </c>
      <c r="D90" s="4">
        <f t="shared" si="8"/>
        <v>8</v>
      </c>
      <c r="E90" s="4" t="s">
        <v>27</v>
      </c>
      <c r="F90" s="4">
        <f t="shared" si="9"/>
        <v>800</v>
      </c>
      <c r="G90" s="5">
        <f t="shared" si="15"/>
        <v>1.01</v>
      </c>
      <c r="H90" s="6" t="str">
        <f t="shared" si="10"/>
        <v>INSERT INTO public.coupon (plancode, age, "year", couponrate, benefittype, benefitrate, premiumrate) VALUES('EN60', 12, 8, 8, 'A',800, 1.01);</v>
      </c>
      <c r="I90" s="6" t="str">
        <f t="shared" si="11"/>
        <v>{"age":"12", "year":"8", "couponrate":"8", "benefittype":"A", "benefitrate":"800", "premiumrate":"1.01"}</v>
      </c>
      <c r="J90" s="6" t="str">
        <f t="shared" si="12"/>
        <v>,</v>
      </c>
    </row>
    <row r="91" spans="1:10">
      <c r="A91" s="4" t="str">
        <f>'EN60'!A$3</f>
        <v>EN60</v>
      </c>
      <c r="B91" s="4">
        <f t="shared" si="13"/>
        <v>12</v>
      </c>
      <c r="C91" s="4">
        <f t="shared" si="14"/>
        <v>9</v>
      </c>
      <c r="D91" s="4">
        <f t="shared" si="8"/>
        <v>8</v>
      </c>
      <c r="E91" s="4" t="s">
        <v>27</v>
      </c>
      <c r="F91" s="4">
        <f t="shared" si="9"/>
        <v>800</v>
      </c>
      <c r="G91" s="5">
        <f t="shared" si="15"/>
        <v>1.01</v>
      </c>
      <c r="H91" s="6" t="str">
        <f t="shared" si="10"/>
        <v>INSERT INTO public.coupon (plancode, age, "year", couponrate, benefittype, benefitrate, premiumrate) VALUES('EN60', 12, 9, 8, 'A',800, 1.01);</v>
      </c>
      <c r="I91" s="6" t="str">
        <f t="shared" si="11"/>
        <v>{"age":"12", "year":"9", "couponrate":"8", "benefittype":"A", "benefitrate":"800", "premiumrate":"1.01"}</v>
      </c>
      <c r="J91" s="6" t="str">
        <f t="shared" si="12"/>
        <v>,</v>
      </c>
    </row>
    <row r="92" spans="1:10">
      <c r="A92" s="4" t="str">
        <f>'EN60'!A$3</f>
        <v>EN60</v>
      </c>
      <c r="B92" s="4">
        <f t="shared" si="13"/>
        <v>12</v>
      </c>
      <c r="C92" s="4">
        <f t="shared" si="14"/>
        <v>10</v>
      </c>
      <c r="D92" s="4">
        <f t="shared" si="8"/>
        <v>8</v>
      </c>
      <c r="E92" s="4" t="s">
        <v>27</v>
      </c>
      <c r="F92" s="4">
        <f t="shared" si="9"/>
        <v>800</v>
      </c>
      <c r="G92" s="5">
        <f t="shared" si="15"/>
        <v>1.01</v>
      </c>
      <c r="H92" s="6" t="str">
        <f t="shared" si="10"/>
        <v>INSERT INTO public.coupon (plancode, age, "year", couponrate, benefittype, benefitrate, premiumrate) VALUES('EN60', 12, 10, 8, 'A',800, 1.01);</v>
      </c>
      <c r="I92" s="6" t="str">
        <f t="shared" si="11"/>
        <v>{"age":"12", "year":"10", "couponrate":"8", "benefittype":"A", "benefitrate":"800", "premiumrate":"1.01"}</v>
      </c>
      <c r="J92" s="6" t="str">
        <f t="shared" si="12"/>
        <v>,</v>
      </c>
    </row>
    <row r="93" spans="1:10">
      <c r="A93" s="4" t="str">
        <f>'EN60'!A$3</f>
        <v>EN60</v>
      </c>
      <c r="B93" s="4">
        <f t="shared" si="13"/>
        <v>12</v>
      </c>
      <c r="C93" s="4">
        <f t="shared" si="14"/>
        <v>11</v>
      </c>
      <c r="D93" s="4">
        <f t="shared" si="8"/>
        <v>8</v>
      </c>
      <c r="E93" s="4" t="s">
        <v>27</v>
      </c>
      <c r="F93" s="4">
        <f t="shared" si="9"/>
        <v>800</v>
      </c>
      <c r="G93" s="5">
        <f t="shared" si="15"/>
        <v>1.01</v>
      </c>
      <c r="H93" s="6" t="str">
        <f t="shared" si="10"/>
        <v>INSERT INTO public.coupon (plancode, age, "year", couponrate, benefittype, benefitrate, premiumrate) VALUES('EN60', 12, 11, 8, 'A',800, 1.01);</v>
      </c>
      <c r="I93" s="6" t="str">
        <f t="shared" si="11"/>
        <v>{"age":"12", "year":"11", "couponrate":"8", "benefittype":"A", "benefitrate":"800", "premiumrate":"1.01"}</v>
      </c>
      <c r="J93" s="6" t="str">
        <f t="shared" si="12"/>
        <v>,</v>
      </c>
    </row>
    <row r="94" spans="1:10">
      <c r="A94" s="4" t="str">
        <f>'EN60'!A$3</f>
        <v>EN60</v>
      </c>
      <c r="B94" s="4">
        <f t="shared" si="13"/>
        <v>12</v>
      </c>
      <c r="C94" s="4">
        <f t="shared" si="14"/>
        <v>12</v>
      </c>
      <c r="D94" s="4">
        <f t="shared" si="8"/>
        <v>8</v>
      </c>
      <c r="E94" s="4" t="s">
        <v>27</v>
      </c>
      <c r="F94" s="4">
        <f t="shared" si="9"/>
        <v>800</v>
      </c>
      <c r="G94" s="5">
        <f t="shared" si="15"/>
        <v>1.01</v>
      </c>
      <c r="H94" s="6" t="str">
        <f t="shared" si="10"/>
        <v>INSERT INTO public.coupon (plancode, age, "year", couponrate, benefittype, benefitrate, premiumrate) VALUES('EN60', 12, 12, 8, 'A',800, 1.01);</v>
      </c>
      <c r="I94" s="6" t="str">
        <f t="shared" si="11"/>
        <v>{"age":"12", "year":"12", "couponrate":"8", "benefittype":"A", "benefitrate":"800", "premiumrate":"1.01"}</v>
      </c>
      <c r="J94" s="6" t="str">
        <f t="shared" si="12"/>
        <v>,</v>
      </c>
    </row>
    <row r="95" spans="1:10">
      <c r="A95" s="4" t="str">
        <f>'EN60'!A$3</f>
        <v>EN60</v>
      </c>
      <c r="B95" s="4">
        <f t="shared" si="13"/>
        <v>12</v>
      </c>
      <c r="C95" s="4">
        <f t="shared" si="14"/>
        <v>13</v>
      </c>
      <c r="D95" s="4">
        <f t="shared" si="8"/>
        <v>8</v>
      </c>
      <c r="E95" s="4" t="s">
        <v>27</v>
      </c>
      <c r="F95" s="4">
        <f t="shared" si="9"/>
        <v>800</v>
      </c>
      <c r="G95" s="5">
        <f t="shared" si="15"/>
        <v>1.01</v>
      </c>
      <c r="H95" s="6" t="str">
        <f t="shared" si="10"/>
        <v>INSERT INTO public.coupon (plancode, age, "year", couponrate, benefittype, benefitrate, premiumrate) VALUES('EN60', 12, 13, 8, 'A',800, 1.01);</v>
      </c>
      <c r="I95" s="6" t="str">
        <f t="shared" si="11"/>
        <v>{"age":"12", "year":"13", "couponrate":"8", "benefittype":"A", "benefitrate":"800", "premiumrate":"1.01"}</v>
      </c>
      <c r="J95" s="6" t="str">
        <f t="shared" si="12"/>
        <v>,</v>
      </c>
    </row>
    <row r="96" spans="1:10">
      <c r="A96" s="4" t="str">
        <f>'EN60'!A$3</f>
        <v>EN60</v>
      </c>
      <c r="B96" s="4">
        <f t="shared" si="13"/>
        <v>12</v>
      </c>
      <c r="C96" s="4">
        <f t="shared" si="14"/>
        <v>14</v>
      </c>
      <c r="D96" s="4">
        <f t="shared" si="8"/>
        <v>8</v>
      </c>
      <c r="E96" s="4" t="s">
        <v>27</v>
      </c>
      <c r="F96" s="4">
        <f t="shared" si="9"/>
        <v>800</v>
      </c>
      <c r="G96" s="5">
        <f t="shared" si="15"/>
        <v>1.01</v>
      </c>
      <c r="H96" s="6" t="str">
        <f t="shared" si="10"/>
        <v>INSERT INTO public.coupon (plancode, age, "year", couponrate, benefittype, benefitrate, premiumrate) VALUES('EN60', 12, 14, 8, 'A',800, 1.01);</v>
      </c>
      <c r="I96" s="6" t="str">
        <f t="shared" si="11"/>
        <v>{"age":"12", "year":"14", "couponrate":"8", "benefittype":"A", "benefitrate":"800", "premiumrate":"1.01"}</v>
      </c>
      <c r="J96" s="6" t="str">
        <f t="shared" si="12"/>
        <v>,</v>
      </c>
    </row>
    <row r="97" spans="1:10">
      <c r="A97" s="4" t="str">
        <f>'EN60'!A$3</f>
        <v>EN60</v>
      </c>
      <c r="B97" s="4">
        <f t="shared" si="13"/>
        <v>12</v>
      </c>
      <c r="C97" s="4">
        <f t="shared" si="14"/>
        <v>15</v>
      </c>
      <c r="D97" s="4">
        <f t="shared" si="8"/>
        <v>8</v>
      </c>
      <c r="E97" s="4" t="s">
        <v>27</v>
      </c>
      <c r="F97" s="4">
        <f t="shared" si="9"/>
        <v>800</v>
      </c>
      <c r="G97" s="5">
        <f t="shared" si="15"/>
        <v>1.01</v>
      </c>
      <c r="H97" s="6" t="str">
        <f t="shared" si="10"/>
        <v>INSERT INTO public.coupon (plancode, age, "year", couponrate, benefittype, benefitrate, premiumrate) VALUES('EN60', 12, 15, 8, 'A',800, 1.01);</v>
      </c>
      <c r="I97" s="6" t="str">
        <f t="shared" si="11"/>
        <v>{"age":"12", "year":"15", "couponrate":"8", "benefittype":"A", "benefitrate":"800", "premiumrate":"1.01"}</v>
      </c>
      <c r="J97" s="6" t="str">
        <f t="shared" si="12"/>
        <v>,</v>
      </c>
    </row>
    <row r="98" spans="1:10">
      <c r="A98" s="4" t="str">
        <f>'EN60'!A$3</f>
        <v>EN60</v>
      </c>
      <c r="B98" s="4">
        <f t="shared" si="13"/>
        <v>12</v>
      </c>
      <c r="C98" s="4">
        <f t="shared" si="14"/>
        <v>16</v>
      </c>
      <c r="D98" s="4">
        <f t="shared" si="8"/>
        <v>8</v>
      </c>
      <c r="E98" s="4" t="s">
        <v>27</v>
      </c>
      <c r="F98" s="4">
        <f t="shared" si="9"/>
        <v>800</v>
      </c>
      <c r="G98" s="5">
        <f t="shared" si="15"/>
        <v>1.01</v>
      </c>
      <c r="H98" s="6" t="str">
        <f t="shared" si="10"/>
        <v>INSERT INTO public.coupon (plancode, age, "year", couponrate, benefittype, benefitrate, premiumrate) VALUES('EN60', 12, 16, 8, 'A',800, 1.01);</v>
      </c>
      <c r="I98" s="6" t="str">
        <f t="shared" si="11"/>
        <v>{"age":"12", "year":"16", "couponrate":"8", "benefittype":"A", "benefitrate":"800", "premiumrate":"1.01"}</v>
      </c>
      <c r="J98" s="6" t="str">
        <f t="shared" si="12"/>
        <v>,</v>
      </c>
    </row>
    <row r="99" spans="1:10">
      <c r="A99" s="4" t="str">
        <f>'EN60'!A$3</f>
        <v>EN60</v>
      </c>
      <c r="B99" s="4">
        <f t="shared" si="13"/>
        <v>12</v>
      </c>
      <c r="C99" s="4">
        <f t="shared" si="14"/>
        <v>17</v>
      </c>
      <c r="D99" s="4">
        <f t="shared" si="8"/>
        <v>8</v>
      </c>
      <c r="E99" s="4" t="s">
        <v>27</v>
      </c>
      <c r="F99" s="4">
        <f t="shared" si="9"/>
        <v>800</v>
      </c>
      <c r="G99" s="5">
        <f t="shared" si="15"/>
        <v>1.01</v>
      </c>
      <c r="H99" s="6" t="str">
        <f t="shared" si="10"/>
        <v>INSERT INTO public.coupon (plancode, age, "year", couponrate, benefittype, benefitrate, premiumrate) VALUES('EN60', 12, 17, 8, 'A',800, 1.01);</v>
      </c>
      <c r="I99" s="6" t="str">
        <f t="shared" si="11"/>
        <v>{"age":"12", "year":"17", "couponrate":"8", "benefittype":"A", "benefitrate":"800", "premiumrate":"1.01"}</v>
      </c>
      <c r="J99" s="6" t="str">
        <f t="shared" si="12"/>
        <v>,</v>
      </c>
    </row>
    <row r="100" spans="1:10">
      <c r="A100" s="4" t="str">
        <f>'EN60'!A$3</f>
        <v>EN60</v>
      </c>
      <c r="B100" s="4">
        <f t="shared" si="13"/>
        <v>12</v>
      </c>
      <c r="C100" s="4">
        <f t="shared" si="14"/>
        <v>18</v>
      </c>
      <c r="D100" s="4">
        <f t="shared" si="8"/>
        <v>8</v>
      </c>
      <c r="E100" s="4" t="s">
        <v>27</v>
      </c>
      <c r="F100" s="4">
        <f t="shared" si="9"/>
        <v>800</v>
      </c>
      <c r="G100" s="5">
        <f t="shared" si="15"/>
        <v>1.01</v>
      </c>
      <c r="H100" s="6" t="str">
        <f t="shared" si="10"/>
        <v>INSERT INTO public.coupon (plancode, age, "year", couponrate, benefittype, benefitrate, premiumrate) VALUES('EN60', 12, 18, 8, 'A',800, 1.01);</v>
      </c>
      <c r="I100" s="6" t="str">
        <f t="shared" si="11"/>
        <v>{"age":"12", "year":"18", "couponrate":"8", "benefittype":"A", "benefitrate":"800", "premiumrate":"1.01"}</v>
      </c>
      <c r="J100" s="6" t="str">
        <f t="shared" si="12"/>
        <v>,</v>
      </c>
    </row>
    <row r="101" spans="1:10">
      <c r="A101" s="4" t="str">
        <f>'EN60'!A$3</f>
        <v>EN60</v>
      </c>
      <c r="B101" s="4">
        <f t="shared" si="13"/>
        <v>12</v>
      </c>
      <c r="C101" s="4">
        <f t="shared" si="14"/>
        <v>19</v>
      </c>
      <c r="D101" s="4">
        <f t="shared" si="8"/>
        <v>8</v>
      </c>
      <c r="E101" s="4" t="s">
        <v>27</v>
      </c>
      <c r="F101" s="4">
        <f t="shared" si="9"/>
        <v>800</v>
      </c>
      <c r="G101" s="5">
        <f t="shared" si="15"/>
        <v>1.01</v>
      </c>
      <c r="H101" s="6" t="str">
        <f t="shared" si="10"/>
        <v>INSERT INTO public.coupon (plancode, age, "year", couponrate, benefittype, benefitrate, premiumrate) VALUES('EN60', 12, 19, 8, 'A',800, 1.01);</v>
      </c>
      <c r="I101" s="6" t="str">
        <f t="shared" si="11"/>
        <v>{"age":"12", "year":"19", "couponrate":"8", "benefittype":"A", "benefitrate":"800", "premiumrate":"1.01"}</v>
      </c>
      <c r="J101" s="6" t="str">
        <f t="shared" si="12"/>
        <v>,</v>
      </c>
    </row>
    <row r="102" spans="1:10">
      <c r="A102" s="4" t="str">
        <f>'EN60'!A$3</f>
        <v>EN60</v>
      </c>
      <c r="B102" s="4">
        <f t="shared" si="13"/>
        <v>12</v>
      </c>
      <c r="C102" s="4">
        <f t="shared" si="14"/>
        <v>20</v>
      </c>
      <c r="D102" s="4">
        <f t="shared" si="8"/>
        <v>8</v>
      </c>
      <c r="E102" s="4" t="s">
        <v>27</v>
      </c>
      <c r="F102" s="4">
        <f t="shared" si="9"/>
        <v>800</v>
      </c>
      <c r="G102" s="5">
        <f t="shared" si="15"/>
        <v>1.01</v>
      </c>
      <c r="H102" s="6" t="str">
        <f t="shared" si="10"/>
        <v>INSERT INTO public.coupon (plancode, age, "year", couponrate, benefittype, benefitrate, premiumrate) VALUES('EN60', 12, 20, 8, 'A',800, 1.01);</v>
      </c>
      <c r="I102" s="6" t="str">
        <f t="shared" si="11"/>
        <v>{"age":"12", "year":"20", "couponrate":"8", "benefittype":"A", "benefitrate":"800", "premiumrate":"1.01"}</v>
      </c>
      <c r="J102" s="6" t="str">
        <f t="shared" si="12"/>
        <v>,</v>
      </c>
    </row>
    <row r="103" spans="1:10">
      <c r="A103" s="4" t="str">
        <f>'EN60'!A$3</f>
        <v>EN60</v>
      </c>
      <c r="B103" s="4">
        <f t="shared" si="13"/>
        <v>12</v>
      </c>
      <c r="C103" s="4">
        <f t="shared" si="14"/>
        <v>21</v>
      </c>
      <c r="D103" s="4">
        <f t="shared" si="8"/>
        <v>8</v>
      </c>
      <c r="E103" s="4" t="s">
        <v>27</v>
      </c>
      <c r="F103" s="4">
        <f t="shared" si="9"/>
        <v>800</v>
      </c>
      <c r="G103" s="5">
        <f t="shared" si="15"/>
        <v>1.01</v>
      </c>
      <c r="H103" s="6" t="str">
        <f t="shared" si="10"/>
        <v>INSERT INTO public.coupon (plancode, age, "year", couponrate, benefittype, benefitrate, premiumrate) VALUES('EN60', 12, 21, 8, 'A',800, 1.01);</v>
      </c>
      <c r="I103" s="6" t="str">
        <f t="shared" si="11"/>
        <v>{"age":"12", "year":"21", "couponrate":"8", "benefittype":"A", "benefitrate":"800", "premiumrate":"1.01"}</v>
      </c>
      <c r="J103" s="6" t="str">
        <f t="shared" si="12"/>
        <v>,</v>
      </c>
    </row>
    <row r="104" spans="1:10">
      <c r="A104" s="4" t="str">
        <f>'EN60'!A$3</f>
        <v>EN60</v>
      </c>
      <c r="B104" s="4">
        <f t="shared" si="13"/>
        <v>12</v>
      </c>
      <c r="C104" s="4">
        <f t="shared" si="14"/>
        <v>22</v>
      </c>
      <c r="D104" s="4">
        <f t="shared" si="8"/>
        <v>8</v>
      </c>
      <c r="E104" s="4" t="s">
        <v>27</v>
      </c>
      <c r="F104" s="4">
        <f t="shared" si="9"/>
        <v>800</v>
      </c>
      <c r="G104" s="5">
        <f t="shared" si="15"/>
        <v>1.01</v>
      </c>
      <c r="H104" s="6" t="str">
        <f t="shared" si="10"/>
        <v>INSERT INTO public.coupon (plancode, age, "year", couponrate, benefittype, benefitrate, premiumrate) VALUES('EN60', 12, 22, 8, 'A',800, 1.01);</v>
      </c>
      <c r="I104" s="6" t="str">
        <f t="shared" si="11"/>
        <v>{"age":"12", "year":"22", "couponrate":"8", "benefittype":"A", "benefitrate":"800", "premiumrate":"1.01"}</v>
      </c>
      <c r="J104" s="6" t="str">
        <f t="shared" si="12"/>
        <v>,</v>
      </c>
    </row>
    <row r="105" spans="1:10">
      <c r="A105" s="4" t="str">
        <f>'EN60'!A$3</f>
        <v>EN60</v>
      </c>
      <c r="B105" s="4">
        <f t="shared" si="13"/>
        <v>12</v>
      </c>
      <c r="C105" s="4">
        <f t="shared" si="14"/>
        <v>23</v>
      </c>
      <c r="D105" s="4">
        <f t="shared" si="8"/>
        <v>8</v>
      </c>
      <c r="E105" s="4" t="s">
        <v>27</v>
      </c>
      <c r="F105" s="4">
        <f t="shared" si="9"/>
        <v>800</v>
      </c>
      <c r="G105" s="5">
        <f t="shared" si="15"/>
        <v>1.01</v>
      </c>
      <c r="H105" s="6" t="str">
        <f t="shared" si="10"/>
        <v>INSERT INTO public.coupon (plancode, age, "year", couponrate, benefittype, benefitrate, premiumrate) VALUES('EN60', 12, 23, 8, 'A',800, 1.01);</v>
      </c>
      <c r="I105" s="6" t="str">
        <f t="shared" si="11"/>
        <v>{"age":"12", "year":"23", "couponrate":"8", "benefittype":"A", "benefitrate":"800", "premiumrate":"1.01"}</v>
      </c>
      <c r="J105" s="6" t="str">
        <f t="shared" si="12"/>
        <v>,</v>
      </c>
    </row>
    <row r="106" spans="1:10">
      <c r="A106" s="4" t="str">
        <f>'EN60'!A$3</f>
        <v>EN60</v>
      </c>
      <c r="B106" s="4">
        <f t="shared" si="13"/>
        <v>12</v>
      </c>
      <c r="C106" s="4">
        <f t="shared" si="14"/>
        <v>24</v>
      </c>
      <c r="D106" s="4">
        <f t="shared" si="8"/>
        <v>8</v>
      </c>
      <c r="E106" s="4" t="s">
        <v>27</v>
      </c>
      <c r="F106" s="4">
        <f t="shared" si="9"/>
        <v>800</v>
      </c>
      <c r="G106" s="5">
        <f t="shared" si="15"/>
        <v>1.01</v>
      </c>
      <c r="H106" s="6" t="str">
        <f t="shared" si="10"/>
        <v>INSERT INTO public.coupon (plancode, age, "year", couponrate, benefittype, benefitrate, premiumrate) VALUES('EN60', 12, 24, 8, 'A',800, 1.01);</v>
      </c>
      <c r="I106" s="6" t="str">
        <f t="shared" si="11"/>
        <v>{"age":"12", "year":"24", "couponrate":"8", "benefittype":"A", "benefitrate":"800", "premiumrate":"1.01"}</v>
      </c>
      <c r="J106" s="6" t="str">
        <f t="shared" si="12"/>
        <v>,</v>
      </c>
    </row>
    <row r="107" spans="1:10">
      <c r="A107" s="4" t="str">
        <f>'EN60'!A$3</f>
        <v>EN60</v>
      </c>
      <c r="B107" s="4">
        <f t="shared" si="13"/>
        <v>12</v>
      </c>
      <c r="C107" s="4">
        <f t="shared" si="14"/>
        <v>25</v>
      </c>
      <c r="D107" s="4">
        <f t="shared" si="8"/>
        <v>8</v>
      </c>
      <c r="E107" s="4" t="s">
        <v>27</v>
      </c>
      <c r="F107" s="4">
        <f t="shared" si="9"/>
        <v>800</v>
      </c>
      <c r="G107" s="5">
        <f t="shared" si="15"/>
        <v>1.01</v>
      </c>
      <c r="H107" s="6" t="str">
        <f t="shared" si="10"/>
        <v>INSERT INTO public.coupon (plancode, age, "year", couponrate, benefittype, benefitrate, premiumrate) VALUES('EN60', 12, 25, 8, 'A',800, 1.01);</v>
      </c>
      <c r="I107" s="6" t="str">
        <f t="shared" si="11"/>
        <v>{"age":"12", "year":"25", "couponrate":"8", "benefittype":"A", "benefitrate":"800", "premiumrate":"1.01"}</v>
      </c>
      <c r="J107" s="6" t="str">
        <f t="shared" si="12"/>
        <v>,</v>
      </c>
    </row>
    <row r="108" spans="1:10">
      <c r="A108" s="4" t="str">
        <f>'EN60'!A$3</f>
        <v>EN60</v>
      </c>
      <c r="B108" s="4">
        <f t="shared" si="13"/>
        <v>12</v>
      </c>
      <c r="C108" s="4">
        <f t="shared" si="14"/>
        <v>26</v>
      </c>
      <c r="D108" s="4">
        <f t="shared" si="8"/>
        <v>8</v>
      </c>
      <c r="E108" s="4" t="s">
        <v>27</v>
      </c>
      <c r="F108" s="4">
        <f t="shared" si="9"/>
        <v>800</v>
      </c>
      <c r="G108" s="5">
        <f t="shared" si="15"/>
        <v>1.01</v>
      </c>
      <c r="H108" s="6" t="str">
        <f t="shared" si="10"/>
        <v>INSERT INTO public.coupon (plancode, age, "year", couponrate, benefittype, benefitrate, premiumrate) VALUES('EN60', 12, 26, 8, 'A',800, 1.01);</v>
      </c>
      <c r="I108" s="6" t="str">
        <f t="shared" si="11"/>
        <v>{"age":"12", "year":"26", "couponrate":"8", "benefittype":"A", "benefitrate":"800", "premiumrate":"1.01"}</v>
      </c>
      <c r="J108" s="6" t="str">
        <f t="shared" si="12"/>
        <v>,</v>
      </c>
    </row>
    <row r="109" spans="1:10">
      <c r="A109" s="4" t="str">
        <f>'EN60'!A$3</f>
        <v>EN60</v>
      </c>
      <c r="B109" s="4">
        <f t="shared" si="13"/>
        <v>12</v>
      </c>
      <c r="C109" s="4">
        <f t="shared" si="14"/>
        <v>27</v>
      </c>
      <c r="D109" s="4">
        <f t="shared" si="8"/>
        <v>8</v>
      </c>
      <c r="E109" s="4" t="s">
        <v>27</v>
      </c>
      <c r="F109" s="4">
        <f t="shared" si="9"/>
        <v>800</v>
      </c>
      <c r="G109" s="5">
        <f t="shared" si="15"/>
        <v>1.01</v>
      </c>
      <c r="H109" s="6" t="str">
        <f t="shared" si="10"/>
        <v>INSERT INTO public.coupon (plancode, age, "year", couponrate, benefittype, benefitrate, premiumrate) VALUES('EN60', 12, 27, 8, 'A',800, 1.01);</v>
      </c>
      <c r="I109" s="6" t="str">
        <f t="shared" si="11"/>
        <v>{"age":"12", "year":"27", "couponrate":"8", "benefittype":"A", "benefitrate":"800", "premiumrate":"1.01"}</v>
      </c>
      <c r="J109" s="6" t="str">
        <f t="shared" si="12"/>
        <v>,</v>
      </c>
    </row>
    <row r="110" spans="1:10">
      <c r="A110" s="4" t="str">
        <f>'EN60'!A$3</f>
        <v>EN60</v>
      </c>
      <c r="B110" s="4">
        <f t="shared" si="13"/>
        <v>12</v>
      </c>
      <c r="C110" s="4">
        <f t="shared" si="14"/>
        <v>28</v>
      </c>
      <c r="D110" s="4">
        <f t="shared" si="8"/>
        <v>8</v>
      </c>
      <c r="E110" s="4" t="s">
        <v>27</v>
      </c>
      <c r="F110" s="4">
        <f t="shared" si="9"/>
        <v>800</v>
      </c>
      <c r="G110" s="5">
        <f t="shared" si="15"/>
        <v>1.01</v>
      </c>
      <c r="H110" s="6" t="str">
        <f t="shared" si="10"/>
        <v>INSERT INTO public.coupon (plancode, age, "year", couponrate, benefittype, benefitrate, premiumrate) VALUES('EN60', 12, 28, 8, 'A',800, 1.01);</v>
      </c>
      <c r="I110" s="6" t="str">
        <f t="shared" si="11"/>
        <v>{"age":"12", "year":"28", "couponrate":"8", "benefittype":"A", "benefitrate":"800", "premiumrate":"1.01"}</v>
      </c>
      <c r="J110" s="6" t="str">
        <f t="shared" si="12"/>
        <v>,</v>
      </c>
    </row>
    <row r="111" spans="1:10">
      <c r="A111" s="4" t="str">
        <f>'EN60'!A$3</f>
        <v>EN60</v>
      </c>
      <c r="B111" s="4">
        <f t="shared" si="13"/>
        <v>12</v>
      </c>
      <c r="C111" s="4">
        <f t="shared" si="14"/>
        <v>29</v>
      </c>
      <c r="D111" s="4">
        <f t="shared" si="8"/>
        <v>8</v>
      </c>
      <c r="E111" s="4" t="s">
        <v>27</v>
      </c>
      <c r="F111" s="4">
        <f t="shared" si="9"/>
        <v>800</v>
      </c>
      <c r="G111" s="5">
        <f t="shared" si="15"/>
        <v>1.01</v>
      </c>
      <c r="H111" s="6" t="str">
        <f t="shared" si="10"/>
        <v>INSERT INTO public.coupon (plancode, age, "year", couponrate, benefittype, benefitrate, premiumrate) VALUES('EN60', 12, 29, 8, 'A',800, 1.01);</v>
      </c>
      <c r="I111" s="6" t="str">
        <f t="shared" si="11"/>
        <v>{"age":"12", "year":"29", "couponrate":"8", "benefittype":"A", "benefitrate":"800", "premiumrate":"1.01"}</v>
      </c>
      <c r="J111" s="6" t="str">
        <f t="shared" si="12"/>
        <v>,</v>
      </c>
    </row>
    <row r="112" spans="1:10">
      <c r="A112" s="4" t="str">
        <f>'EN60'!A$3</f>
        <v>EN60</v>
      </c>
      <c r="B112" s="4">
        <f t="shared" si="13"/>
        <v>12</v>
      </c>
      <c r="C112" s="4">
        <f t="shared" si="14"/>
        <v>30</v>
      </c>
      <c r="D112" s="4">
        <f t="shared" si="8"/>
        <v>8</v>
      </c>
      <c r="E112" s="4" t="s">
        <v>27</v>
      </c>
      <c r="F112" s="4">
        <f t="shared" si="9"/>
        <v>800</v>
      </c>
      <c r="G112" s="5">
        <f t="shared" si="15"/>
        <v>1.01</v>
      </c>
      <c r="H112" s="6" t="str">
        <f t="shared" si="10"/>
        <v>INSERT INTO public.coupon (plancode, age, "year", couponrate, benefittype, benefitrate, premiumrate) VALUES('EN60', 12, 30, 8, 'A',800, 1.01);</v>
      </c>
      <c r="I112" s="6" t="str">
        <f t="shared" si="11"/>
        <v>{"age":"12", "year":"30", "couponrate":"8", "benefittype":"A", "benefitrate":"800", "premiumrate":"1.01"}</v>
      </c>
      <c r="J112" s="6" t="str">
        <f t="shared" si="12"/>
        <v>,</v>
      </c>
    </row>
    <row r="113" spans="1:10">
      <c r="A113" s="4" t="str">
        <f>'EN60'!A$3</f>
        <v>EN60</v>
      </c>
      <c r="B113" s="4">
        <f t="shared" si="13"/>
        <v>12</v>
      </c>
      <c r="C113" s="4">
        <f t="shared" si="14"/>
        <v>31</v>
      </c>
      <c r="D113" s="4">
        <f t="shared" si="8"/>
        <v>8</v>
      </c>
      <c r="E113" s="4" t="s">
        <v>27</v>
      </c>
      <c r="F113" s="4">
        <f t="shared" si="9"/>
        <v>800</v>
      </c>
      <c r="G113" s="5">
        <f t="shared" si="15"/>
        <v>1.01</v>
      </c>
      <c r="H113" s="6" t="str">
        <f t="shared" si="10"/>
        <v>INSERT INTO public.coupon (plancode, age, "year", couponrate, benefittype, benefitrate, premiumrate) VALUES('EN60', 12, 31, 8, 'A',800, 1.01);</v>
      </c>
      <c r="I113" s="6" t="str">
        <f t="shared" si="11"/>
        <v>{"age":"12", "year":"31", "couponrate":"8", "benefittype":"A", "benefitrate":"800", "premiumrate":"1.01"}</v>
      </c>
      <c r="J113" s="6" t="str">
        <f t="shared" si="12"/>
        <v>,</v>
      </c>
    </row>
    <row r="114" spans="1:10">
      <c r="A114" s="4" t="str">
        <f>'EN60'!A$3</f>
        <v>EN60</v>
      </c>
      <c r="B114" s="4">
        <f t="shared" si="13"/>
        <v>12</v>
      </c>
      <c r="C114" s="4">
        <f t="shared" si="14"/>
        <v>32</v>
      </c>
      <c r="D114" s="4">
        <f t="shared" si="8"/>
        <v>8</v>
      </c>
      <c r="E114" s="4" t="s">
        <v>27</v>
      </c>
      <c r="F114" s="4">
        <f t="shared" si="9"/>
        <v>800</v>
      </c>
      <c r="G114" s="5">
        <f t="shared" si="15"/>
        <v>1.01</v>
      </c>
      <c r="H114" s="6" t="str">
        <f t="shared" si="10"/>
        <v>INSERT INTO public.coupon (plancode, age, "year", couponrate, benefittype, benefitrate, premiumrate) VALUES('EN60', 12, 32, 8, 'A',800, 1.01);</v>
      </c>
      <c r="I114" s="6" t="str">
        <f t="shared" si="11"/>
        <v>{"age":"12", "year":"32", "couponrate":"8", "benefittype":"A", "benefitrate":"800", "premiumrate":"1.01"}</v>
      </c>
      <c r="J114" s="6" t="str">
        <f t="shared" si="12"/>
        <v>,</v>
      </c>
    </row>
    <row r="115" spans="1:10">
      <c r="A115" s="4" t="str">
        <f>'EN60'!A$3</f>
        <v>EN60</v>
      </c>
      <c r="B115" s="4">
        <f t="shared" si="13"/>
        <v>12</v>
      </c>
      <c r="C115" s="4">
        <f t="shared" si="14"/>
        <v>33</v>
      </c>
      <c r="D115" s="4">
        <f t="shared" si="8"/>
        <v>8</v>
      </c>
      <c r="E115" s="4" t="s">
        <v>27</v>
      </c>
      <c r="F115" s="4">
        <f t="shared" si="9"/>
        <v>800</v>
      </c>
      <c r="G115" s="5">
        <f t="shared" si="15"/>
        <v>1.01</v>
      </c>
      <c r="H115" s="6" t="str">
        <f t="shared" si="10"/>
        <v>INSERT INTO public.coupon (plancode, age, "year", couponrate, benefittype, benefitrate, premiumrate) VALUES('EN60', 12, 33, 8, 'A',800, 1.01);</v>
      </c>
      <c r="I115" s="6" t="str">
        <f t="shared" si="11"/>
        <v>{"age":"12", "year":"33", "couponrate":"8", "benefittype":"A", "benefitrate":"800", "premiumrate":"1.01"}</v>
      </c>
      <c r="J115" s="6" t="str">
        <f t="shared" si="12"/>
        <v>,</v>
      </c>
    </row>
    <row r="116" spans="1:10">
      <c r="A116" s="4" t="str">
        <f>'EN60'!A$3</f>
        <v>EN60</v>
      </c>
      <c r="B116" s="4">
        <f t="shared" si="13"/>
        <v>12</v>
      </c>
      <c r="C116" s="4">
        <f t="shared" si="14"/>
        <v>34</v>
      </c>
      <c r="D116" s="4">
        <f t="shared" si="8"/>
        <v>8</v>
      </c>
      <c r="E116" s="4" t="s">
        <v>27</v>
      </c>
      <c r="F116" s="4">
        <f t="shared" si="9"/>
        <v>800</v>
      </c>
      <c r="G116" s="5">
        <f t="shared" si="15"/>
        <v>1.01</v>
      </c>
      <c r="H116" s="6" t="str">
        <f t="shared" si="10"/>
        <v>INSERT INTO public.coupon (plancode, age, "year", couponrate, benefittype, benefitrate, premiumrate) VALUES('EN60', 12, 34, 8, 'A',800, 1.01);</v>
      </c>
      <c r="I116" s="6" t="str">
        <f t="shared" si="11"/>
        <v>{"age":"12", "year":"34", "couponrate":"8", "benefittype":"A", "benefitrate":"800", "premiumrate":"1.01"}</v>
      </c>
      <c r="J116" s="6" t="str">
        <f t="shared" si="12"/>
        <v>,</v>
      </c>
    </row>
    <row r="117" spans="1:10">
      <c r="A117" s="4" t="str">
        <f>'EN60'!A$3</f>
        <v>EN60</v>
      </c>
      <c r="B117" s="4">
        <f t="shared" si="13"/>
        <v>12</v>
      </c>
      <c r="C117" s="4">
        <f t="shared" si="14"/>
        <v>35</v>
      </c>
      <c r="D117" s="4">
        <f t="shared" si="8"/>
        <v>8</v>
      </c>
      <c r="E117" s="4" t="s">
        <v>27</v>
      </c>
      <c r="F117" s="4">
        <f t="shared" si="9"/>
        <v>800</v>
      </c>
      <c r="G117" s="5">
        <f t="shared" si="15"/>
        <v>1.01</v>
      </c>
      <c r="H117" s="6" t="str">
        <f t="shared" si="10"/>
        <v>INSERT INTO public.coupon (plancode, age, "year", couponrate, benefittype, benefitrate, premiumrate) VALUES('EN60', 12, 35, 8, 'A',800, 1.01);</v>
      </c>
      <c r="I117" s="6" t="str">
        <f t="shared" si="11"/>
        <v>{"age":"12", "year":"35", "couponrate":"8", "benefittype":"A", "benefitrate":"800", "premiumrate":"1.01"}</v>
      </c>
      <c r="J117" s="6" t="str">
        <f t="shared" si="12"/>
        <v>,</v>
      </c>
    </row>
    <row r="118" spans="1:10">
      <c r="A118" s="4" t="str">
        <f>'EN60'!A$3</f>
        <v>EN60</v>
      </c>
      <c r="B118" s="4">
        <f t="shared" si="13"/>
        <v>12</v>
      </c>
      <c r="C118" s="4">
        <f t="shared" si="14"/>
        <v>36</v>
      </c>
      <c r="D118" s="4">
        <f t="shared" si="8"/>
        <v>8</v>
      </c>
      <c r="E118" s="4" t="s">
        <v>27</v>
      </c>
      <c r="F118" s="4">
        <f t="shared" si="9"/>
        <v>800</v>
      </c>
      <c r="G118" s="5">
        <f t="shared" si="15"/>
        <v>1.01</v>
      </c>
      <c r="H118" s="6" t="str">
        <f t="shared" si="10"/>
        <v>INSERT INTO public.coupon (plancode, age, "year", couponrate, benefittype, benefitrate, premiumrate) VALUES('EN60', 12, 36, 8, 'A',800, 1.01);</v>
      </c>
      <c r="I118" s="6" t="str">
        <f t="shared" si="11"/>
        <v>{"age":"12", "year":"36", "couponrate":"8", "benefittype":"A", "benefitrate":"800", "premiumrate":"1.01"}</v>
      </c>
      <c r="J118" s="6" t="str">
        <f t="shared" si="12"/>
        <v>,</v>
      </c>
    </row>
    <row r="119" spans="1:10">
      <c r="A119" s="4" t="str">
        <f>'EN60'!A$3</f>
        <v>EN60</v>
      </c>
      <c r="B119" s="4">
        <f t="shared" si="13"/>
        <v>12</v>
      </c>
      <c r="C119" s="4">
        <f t="shared" si="14"/>
        <v>37</v>
      </c>
      <c r="D119" s="4">
        <f t="shared" si="8"/>
        <v>8</v>
      </c>
      <c r="E119" s="4" t="s">
        <v>27</v>
      </c>
      <c r="F119" s="4">
        <f t="shared" si="9"/>
        <v>800</v>
      </c>
      <c r="G119" s="5">
        <f t="shared" si="15"/>
        <v>1.01</v>
      </c>
      <c r="H119" s="6" t="str">
        <f t="shared" si="10"/>
        <v>INSERT INTO public.coupon (plancode, age, "year", couponrate, benefittype, benefitrate, premiumrate) VALUES('EN60', 12, 37, 8, 'A',800, 1.01);</v>
      </c>
      <c r="I119" s="6" t="str">
        <f t="shared" si="11"/>
        <v>{"age":"12", "year":"37", "couponrate":"8", "benefittype":"A", "benefitrate":"800", "premiumrate":"1.01"}</v>
      </c>
      <c r="J119" s="6" t="str">
        <f t="shared" si="12"/>
        <v>,</v>
      </c>
    </row>
    <row r="120" spans="1:10">
      <c r="A120" s="4" t="str">
        <f>'EN60'!A$3</f>
        <v>EN60</v>
      </c>
      <c r="B120" s="4">
        <f t="shared" si="13"/>
        <v>12</v>
      </c>
      <c r="C120" s="4">
        <f t="shared" si="14"/>
        <v>38</v>
      </c>
      <c r="D120" s="4">
        <f t="shared" si="8"/>
        <v>8</v>
      </c>
      <c r="E120" s="4" t="s">
        <v>27</v>
      </c>
      <c r="F120" s="4">
        <f t="shared" si="9"/>
        <v>800</v>
      </c>
      <c r="G120" s="5">
        <f t="shared" si="15"/>
        <v>1.01</v>
      </c>
      <c r="H120" s="6" t="str">
        <f t="shared" si="10"/>
        <v>INSERT INTO public.coupon (plancode, age, "year", couponrate, benefittype, benefitrate, premiumrate) VALUES('EN60', 12, 38, 8, 'A',800, 1.01);</v>
      </c>
      <c r="I120" s="6" t="str">
        <f t="shared" si="11"/>
        <v>{"age":"12", "year":"38", "couponrate":"8", "benefittype":"A", "benefitrate":"800", "premiumrate":"1.01"}</v>
      </c>
      <c r="J120" s="6" t="str">
        <f t="shared" si="12"/>
        <v>,</v>
      </c>
    </row>
    <row r="121" spans="1:10">
      <c r="A121" s="4" t="str">
        <f>'EN60'!A$3</f>
        <v>EN60</v>
      </c>
      <c r="B121" s="4">
        <f t="shared" si="13"/>
        <v>12</v>
      </c>
      <c r="C121" s="4">
        <f t="shared" si="14"/>
        <v>39</v>
      </c>
      <c r="D121" s="4">
        <f t="shared" si="8"/>
        <v>8</v>
      </c>
      <c r="E121" s="4" t="s">
        <v>27</v>
      </c>
      <c r="F121" s="4">
        <f t="shared" si="9"/>
        <v>800</v>
      </c>
      <c r="G121" s="5">
        <f t="shared" si="15"/>
        <v>1.01</v>
      </c>
      <c r="H121" s="6" t="str">
        <f t="shared" si="10"/>
        <v>INSERT INTO public.coupon (plancode, age, "year", couponrate, benefittype, benefitrate, premiumrate) VALUES('EN60', 12, 39, 8, 'A',800, 1.01);</v>
      </c>
      <c r="I121" s="6" t="str">
        <f t="shared" si="11"/>
        <v>{"age":"12", "year":"39", "couponrate":"8", "benefittype":"A", "benefitrate":"800", "premiumrate":"1.01"}</v>
      </c>
      <c r="J121" s="6" t="str">
        <f t="shared" si="12"/>
        <v>,</v>
      </c>
    </row>
    <row r="122" spans="1:10">
      <c r="A122" s="4" t="str">
        <f>'EN60'!A$3</f>
        <v>EN60</v>
      </c>
      <c r="B122" s="4">
        <f t="shared" si="13"/>
        <v>12</v>
      </c>
      <c r="C122" s="4">
        <f t="shared" si="14"/>
        <v>40</v>
      </c>
      <c r="D122" s="4">
        <f t="shared" si="8"/>
        <v>8</v>
      </c>
      <c r="E122" s="4" t="s">
        <v>27</v>
      </c>
      <c r="F122" s="4">
        <f t="shared" si="9"/>
        <v>800</v>
      </c>
      <c r="G122" s="5">
        <f t="shared" si="15"/>
        <v>1.01</v>
      </c>
      <c r="H122" s="6" t="str">
        <f t="shared" si="10"/>
        <v>INSERT INTO public.coupon (plancode, age, "year", couponrate, benefittype, benefitrate, premiumrate) VALUES('EN60', 12, 40, 8, 'A',800, 1.01);</v>
      </c>
      <c r="I122" s="6" t="str">
        <f t="shared" si="11"/>
        <v>{"age":"12", "year":"40", "couponrate":"8", "benefittype":"A", "benefitrate":"800", "premiumrate":"1.01"}</v>
      </c>
      <c r="J122" s="6" t="str">
        <f t="shared" si="12"/>
        <v>,</v>
      </c>
    </row>
    <row r="123" spans="1:10">
      <c r="A123" s="4" t="str">
        <f>'EN60'!A$3</f>
        <v>EN60</v>
      </c>
      <c r="B123" s="4">
        <f t="shared" si="13"/>
        <v>12</v>
      </c>
      <c r="C123" s="4">
        <f t="shared" si="14"/>
        <v>41</v>
      </c>
      <c r="D123" s="4">
        <f t="shared" si="8"/>
        <v>8</v>
      </c>
      <c r="E123" s="4" t="s">
        <v>27</v>
      </c>
      <c r="F123" s="4">
        <f t="shared" si="9"/>
        <v>800</v>
      </c>
      <c r="G123" s="5">
        <f t="shared" si="15"/>
        <v>1.01</v>
      </c>
      <c r="H123" s="6" t="str">
        <f t="shared" si="10"/>
        <v>INSERT INTO public.coupon (plancode, age, "year", couponrate, benefittype, benefitrate, premiumrate) VALUES('EN60', 12, 41, 8, 'A',800, 1.01);</v>
      </c>
      <c r="I123" s="6" t="str">
        <f t="shared" si="11"/>
        <v>{"age":"12", "year":"41", "couponrate":"8", "benefittype":"A", "benefitrate":"800", "premiumrate":"1.01"}</v>
      </c>
      <c r="J123" s="6" t="str">
        <f t="shared" si="12"/>
        <v>,</v>
      </c>
    </row>
    <row r="124" spans="1:10">
      <c r="A124" s="4" t="str">
        <f>'EN60'!A$3</f>
        <v>EN60</v>
      </c>
      <c r="B124" s="4">
        <f t="shared" si="13"/>
        <v>12</v>
      </c>
      <c r="C124" s="4">
        <f t="shared" si="14"/>
        <v>42</v>
      </c>
      <c r="D124" s="4">
        <f t="shared" si="8"/>
        <v>8</v>
      </c>
      <c r="E124" s="4" t="s">
        <v>27</v>
      </c>
      <c r="F124" s="4">
        <f t="shared" si="9"/>
        <v>800</v>
      </c>
      <c r="G124" s="5">
        <f t="shared" si="15"/>
        <v>1.01</v>
      </c>
      <c r="H124" s="6" t="str">
        <f t="shared" si="10"/>
        <v>INSERT INTO public.coupon (plancode, age, "year", couponrate, benefittype, benefitrate, premiumrate) VALUES('EN60', 12, 42, 8, 'A',800, 1.01);</v>
      </c>
      <c r="I124" s="6" t="str">
        <f t="shared" si="11"/>
        <v>{"age":"12", "year":"42", "couponrate":"8", "benefittype":"A", "benefitrate":"800", "premiumrate":"1.01"}</v>
      </c>
      <c r="J124" s="6" t="str">
        <f t="shared" si="12"/>
        <v>,</v>
      </c>
    </row>
    <row r="125" spans="1:10">
      <c r="A125" s="4" t="str">
        <f>'EN60'!A$3</f>
        <v>EN60</v>
      </c>
      <c r="B125" s="4">
        <f t="shared" si="13"/>
        <v>12</v>
      </c>
      <c r="C125" s="4">
        <f t="shared" si="14"/>
        <v>43</v>
      </c>
      <c r="D125" s="4">
        <f t="shared" si="8"/>
        <v>8</v>
      </c>
      <c r="E125" s="4" t="s">
        <v>27</v>
      </c>
      <c r="F125" s="4">
        <f t="shared" si="9"/>
        <v>800</v>
      </c>
      <c r="G125" s="5">
        <f t="shared" si="15"/>
        <v>1.01</v>
      </c>
      <c r="H125" s="6" t="str">
        <f t="shared" si="10"/>
        <v>INSERT INTO public.coupon (plancode, age, "year", couponrate, benefittype, benefitrate, premiumrate) VALUES('EN60', 12, 43, 8, 'A',800, 1.01);</v>
      </c>
      <c r="I125" s="6" t="str">
        <f t="shared" si="11"/>
        <v>{"age":"12", "year":"43", "couponrate":"8", "benefittype":"A", "benefitrate":"800", "premiumrate":"1.01"}</v>
      </c>
      <c r="J125" s="6" t="str">
        <f t="shared" si="12"/>
        <v>,</v>
      </c>
    </row>
    <row r="126" spans="1:10">
      <c r="A126" s="4" t="str">
        <f>'EN60'!A$3</f>
        <v>EN60</v>
      </c>
      <c r="B126" s="4">
        <f t="shared" si="13"/>
        <v>12</v>
      </c>
      <c r="C126" s="4">
        <f t="shared" si="14"/>
        <v>44</v>
      </c>
      <c r="D126" s="4">
        <f t="shared" si="8"/>
        <v>8</v>
      </c>
      <c r="E126" s="4" t="s">
        <v>27</v>
      </c>
      <c r="F126" s="4">
        <f t="shared" si="9"/>
        <v>800</v>
      </c>
      <c r="G126" s="5">
        <f t="shared" si="15"/>
        <v>1.01</v>
      </c>
      <c r="H126" s="6" t="str">
        <f t="shared" si="10"/>
        <v>INSERT INTO public.coupon (plancode, age, "year", couponrate, benefittype, benefitrate, premiumrate) VALUES('EN60', 12, 44, 8, 'A',800, 1.01);</v>
      </c>
      <c r="I126" s="6" t="str">
        <f t="shared" si="11"/>
        <v>{"age":"12", "year":"44", "couponrate":"8", "benefittype":"A", "benefitrate":"800", "premiumrate":"1.01"}</v>
      </c>
      <c r="J126" s="6" t="str">
        <f t="shared" si="12"/>
        <v>,</v>
      </c>
    </row>
    <row r="127" spans="1:10">
      <c r="A127" s="4" t="str">
        <f>'EN60'!A$3</f>
        <v>EN60</v>
      </c>
      <c r="B127" s="4">
        <f t="shared" si="13"/>
        <v>12</v>
      </c>
      <c r="C127" s="4">
        <f t="shared" si="14"/>
        <v>45</v>
      </c>
      <c r="D127" s="4">
        <f t="shared" si="8"/>
        <v>8</v>
      </c>
      <c r="E127" s="4" t="s">
        <v>27</v>
      </c>
      <c r="F127" s="4">
        <f t="shared" si="9"/>
        <v>800</v>
      </c>
      <c r="G127" s="5">
        <f t="shared" si="15"/>
        <v>1.01</v>
      </c>
      <c r="H127" s="6" t="str">
        <f t="shared" si="10"/>
        <v>INSERT INTO public.coupon (plancode, age, "year", couponrate, benefittype, benefitrate, premiumrate) VALUES('EN60', 12, 45, 8, 'A',800, 1.01);</v>
      </c>
      <c r="I127" s="6" t="str">
        <f t="shared" si="11"/>
        <v>{"age":"12", "year":"45", "couponrate":"8", "benefittype":"A", "benefitrate":"800", "premiumrate":"1.01"}</v>
      </c>
      <c r="J127" s="6" t="str">
        <f t="shared" si="12"/>
        <v>,</v>
      </c>
    </row>
    <row r="128" spans="1:10">
      <c r="A128" s="4" t="str">
        <f>'EN60'!A$3</f>
        <v>EN60</v>
      </c>
      <c r="B128" s="4">
        <f t="shared" si="13"/>
        <v>12</v>
      </c>
      <c r="C128" s="4">
        <f t="shared" si="14"/>
        <v>46</v>
      </c>
      <c r="D128" s="4">
        <f t="shared" si="8"/>
        <v>8</v>
      </c>
      <c r="E128" s="4" t="s">
        <v>27</v>
      </c>
      <c r="F128" s="4">
        <f t="shared" si="9"/>
        <v>800</v>
      </c>
      <c r="G128" s="5">
        <f t="shared" si="15"/>
        <v>1.01</v>
      </c>
      <c r="H128" s="6" t="str">
        <f t="shared" si="10"/>
        <v>INSERT INTO public.coupon (plancode, age, "year", couponrate, benefittype, benefitrate, premiumrate) VALUES('EN60', 12, 46, 8, 'A',800, 1.01);</v>
      </c>
      <c r="I128" s="6" t="str">
        <f t="shared" si="11"/>
        <v>{"age":"12", "year":"46", "couponrate":"8", "benefittype":"A", "benefitrate":"800", "premiumrate":"1.01"}</v>
      </c>
      <c r="J128" s="6" t="str">
        <f t="shared" si="12"/>
        <v>,</v>
      </c>
    </row>
    <row r="129" spans="1:10">
      <c r="A129" s="4" t="str">
        <f>'EN60'!A$3</f>
        <v>EN60</v>
      </c>
      <c r="B129" s="4">
        <f t="shared" si="13"/>
        <v>12</v>
      </c>
      <c r="C129" s="4">
        <f t="shared" si="14"/>
        <v>47</v>
      </c>
      <c r="D129" s="4">
        <f t="shared" si="8"/>
        <v>8</v>
      </c>
      <c r="E129" s="4" t="s">
        <v>27</v>
      </c>
      <c r="F129" s="4">
        <f t="shared" si="9"/>
        <v>800</v>
      </c>
      <c r="G129" s="5">
        <f t="shared" si="15"/>
        <v>1.01</v>
      </c>
      <c r="H129" s="6" t="str">
        <f t="shared" si="10"/>
        <v>INSERT INTO public.coupon (plancode, age, "year", couponrate, benefittype, benefitrate, premiumrate) VALUES('EN60', 12, 47, 8, 'A',800, 1.01);</v>
      </c>
      <c r="I129" s="6" t="str">
        <f t="shared" si="11"/>
        <v>{"age":"12", "year":"47", "couponrate":"8", "benefittype":"A", "benefitrate":"800", "premiumrate":"1.01"}</v>
      </c>
      <c r="J129" s="6" t="str">
        <f t="shared" si="12"/>
        <v>,</v>
      </c>
    </row>
    <row r="130" spans="1:10">
      <c r="A130" s="4" t="str">
        <f>'EN60'!A$3</f>
        <v>EN60</v>
      </c>
      <c r="B130" s="4">
        <f t="shared" si="13"/>
        <v>12</v>
      </c>
      <c r="C130" s="4">
        <f t="shared" si="14"/>
        <v>48</v>
      </c>
      <c r="D130" s="4">
        <f t="shared" si="8"/>
        <v>8</v>
      </c>
      <c r="E130" s="4" t="s">
        <v>27</v>
      </c>
      <c r="F130" s="4">
        <f t="shared" si="9"/>
        <v>800</v>
      </c>
      <c r="G130" s="5">
        <f t="shared" si="15"/>
        <v>1.01</v>
      </c>
      <c r="H130" s="6" t="str">
        <f t="shared" si="10"/>
        <v>INSERT INTO public.coupon (plancode, age, "year", couponrate, benefittype, benefitrate, premiumrate) VALUES('EN60', 12, 48, 8, 'A',800, 1.01);</v>
      </c>
      <c r="I130" s="6" t="str">
        <f t="shared" si="11"/>
        <v>{"age":"12", "year":"48", "couponrate":"8", "benefittype":"A", "benefitrate":"800", "premiumrate":"1.01"}</v>
      </c>
      <c r="J130" s="6" t="str">
        <f t="shared" si="12"/>
        <v>,</v>
      </c>
    </row>
    <row r="131" spans="1:10">
      <c r="A131" s="4" t="str">
        <f>'EN60'!A$3</f>
        <v>EN60</v>
      </c>
      <c r="B131" s="4">
        <f t="shared" si="13"/>
        <v>12</v>
      </c>
      <c r="C131" s="4">
        <f t="shared" si="14"/>
        <v>49</v>
      </c>
      <c r="D131" s="4">
        <f t="shared" si="8"/>
        <v>8</v>
      </c>
      <c r="E131" s="4" t="s">
        <v>27</v>
      </c>
      <c r="F131" s="4">
        <f t="shared" si="9"/>
        <v>800</v>
      </c>
      <c r="G131" s="5">
        <f t="shared" si="15"/>
        <v>1.01</v>
      </c>
      <c r="H131" s="6" t="str">
        <f t="shared" si="10"/>
        <v>INSERT INTO public.coupon (plancode, age, "year", couponrate, benefittype, benefitrate, premiumrate) VALUES('EN60', 12, 49, 8, 'A',800, 1.01);</v>
      </c>
      <c r="I131" s="6" t="str">
        <f t="shared" si="11"/>
        <v>{"age":"12", "year":"49", "couponrate":"8", "benefittype":"A", "benefitrate":"800", "premiumrate":"1.01"}</v>
      </c>
      <c r="J131" s="6" t="str">
        <f t="shared" si="12"/>
        <v>,</v>
      </c>
    </row>
    <row r="132" spans="1:10">
      <c r="A132" s="4" t="str">
        <f>'EN60'!A$3</f>
        <v>EN60</v>
      </c>
      <c r="B132" s="4">
        <f t="shared" si="13"/>
        <v>12</v>
      </c>
      <c r="C132" s="4">
        <f t="shared" si="14"/>
        <v>50</v>
      </c>
      <c r="D132" s="4">
        <f t="shared" si="8"/>
        <v>8</v>
      </c>
      <c r="E132" s="4" t="s">
        <v>27</v>
      </c>
      <c r="F132" s="4">
        <f t="shared" si="9"/>
        <v>800</v>
      </c>
      <c r="G132" s="5">
        <f t="shared" si="15"/>
        <v>1.01</v>
      </c>
      <c r="H132" s="6" t="str">
        <f t="shared" si="10"/>
        <v>INSERT INTO public.coupon (plancode, age, "year", couponrate, benefittype, benefitrate, premiumrate) VALUES('EN60', 12, 50, 8, 'A',800, 1.01);</v>
      </c>
      <c r="I132" s="6" t="str">
        <f t="shared" si="11"/>
        <v>{"age":"12", "year":"50", "couponrate":"8", "benefittype":"A", "benefitrate":"800", "premiumrate":"1.01"}</v>
      </c>
      <c r="J132" s="6" t="str">
        <f t="shared" si="12"/>
        <v>,</v>
      </c>
    </row>
    <row r="133" spans="1:10">
      <c r="A133" s="4" t="str">
        <f>'EN60'!A$3</f>
        <v>EN60</v>
      </c>
      <c r="B133" s="4">
        <f t="shared" si="13"/>
        <v>12</v>
      </c>
      <c r="C133" s="4">
        <f t="shared" si="14"/>
        <v>51</v>
      </c>
      <c r="D133" s="4">
        <f t="shared" si="8"/>
        <v>8</v>
      </c>
      <c r="E133" s="4" t="s">
        <v>27</v>
      </c>
      <c r="F133" s="4">
        <f t="shared" si="9"/>
        <v>800</v>
      </c>
      <c r="G133" s="5">
        <f t="shared" si="15"/>
        <v>1.01</v>
      </c>
      <c r="H133" s="6" t="str">
        <f t="shared" si="10"/>
        <v>INSERT INTO public.coupon (plancode, age, "year", couponrate, benefittype, benefitrate, premiumrate) VALUES('EN60', 12, 51, 8, 'A',800, 1.01);</v>
      </c>
      <c r="I133" s="6" t="str">
        <f t="shared" si="11"/>
        <v>{"age":"12", "year":"51", "couponrate":"8", "benefittype":"A", "benefitrate":"800", "premiumrate":"1.01"}</v>
      </c>
      <c r="J133" s="6" t="str">
        <f t="shared" si="12"/>
        <v>,</v>
      </c>
    </row>
    <row r="134" spans="1:10">
      <c r="A134" s="4" t="str">
        <f>'EN60'!A$3</f>
        <v>EN60</v>
      </c>
      <c r="B134" s="4">
        <f t="shared" si="13"/>
        <v>12</v>
      </c>
      <c r="C134" s="4">
        <f t="shared" si="14"/>
        <v>52</v>
      </c>
      <c r="D134" s="4">
        <f t="shared" si="8"/>
        <v>8</v>
      </c>
      <c r="E134" s="4" t="s">
        <v>27</v>
      </c>
      <c r="F134" s="4">
        <f t="shared" si="9"/>
        <v>800</v>
      </c>
      <c r="G134" s="5">
        <f t="shared" si="15"/>
        <v>1.01</v>
      </c>
      <c r="H134" s="6" t="str">
        <f t="shared" si="10"/>
        <v>INSERT INTO public.coupon (plancode, age, "year", couponrate, benefittype, benefitrate, premiumrate) VALUES('EN60', 12, 52, 8, 'A',800, 1.01);</v>
      </c>
      <c r="I134" s="6" t="str">
        <f t="shared" si="11"/>
        <v>{"age":"12", "year":"52", "couponrate":"8", "benefittype":"A", "benefitrate":"800", "premiumrate":"1.01"}</v>
      </c>
      <c r="J134" s="6" t="str">
        <f t="shared" si="12"/>
        <v>,</v>
      </c>
    </row>
    <row r="135" spans="1:10">
      <c r="A135" s="4" t="str">
        <f>'EN60'!A$3</f>
        <v>EN60</v>
      </c>
      <c r="B135" s="4">
        <f t="shared" si="13"/>
        <v>12</v>
      </c>
      <c r="C135" s="4">
        <f t="shared" si="14"/>
        <v>53</v>
      </c>
      <c r="D135" s="4">
        <f t="shared" si="8"/>
        <v>8</v>
      </c>
      <c r="E135" s="4" t="s">
        <v>27</v>
      </c>
      <c r="F135" s="4">
        <f t="shared" si="9"/>
        <v>800</v>
      </c>
      <c r="G135" s="5">
        <f t="shared" si="15"/>
        <v>1.01</v>
      </c>
      <c r="H135" s="6" t="str">
        <f t="shared" si="10"/>
        <v>INSERT INTO public.coupon (plancode, age, "year", couponrate, benefittype, benefitrate, premiumrate) VALUES('EN60', 12, 53, 8, 'A',800, 1.01);</v>
      </c>
      <c r="I135" s="6" t="str">
        <f t="shared" si="11"/>
        <v>{"age":"12", "year":"53", "couponrate":"8", "benefittype":"A", "benefitrate":"800", "premiumrate":"1.01"}</v>
      </c>
      <c r="J135" s="6" t="str">
        <f t="shared" si="12"/>
        <v>,</v>
      </c>
    </row>
    <row r="136" spans="1:10">
      <c r="A136" s="4" t="str">
        <f>'EN60'!A$3</f>
        <v>EN60</v>
      </c>
      <c r="B136" s="4">
        <f t="shared" si="13"/>
        <v>12</v>
      </c>
      <c r="C136" s="4">
        <f t="shared" si="14"/>
        <v>54</v>
      </c>
      <c r="D136" s="4">
        <f t="shared" si="8"/>
        <v>8</v>
      </c>
      <c r="E136" s="4" t="s">
        <v>27</v>
      </c>
      <c r="F136" s="4">
        <f t="shared" si="9"/>
        <v>800</v>
      </c>
      <c r="G136" s="5">
        <f t="shared" si="15"/>
        <v>1.01</v>
      </c>
      <c r="H136" s="6" t="str">
        <f t="shared" si="10"/>
        <v>INSERT INTO public.coupon (plancode, age, "year", couponrate, benefittype, benefitrate, premiumrate) VALUES('EN60', 12, 54, 8, 'A',800, 1.01);</v>
      </c>
      <c r="I136" s="6" t="str">
        <f t="shared" si="11"/>
        <v>{"age":"12", "year":"54", "couponrate":"8", "benefittype":"A", "benefitrate":"800", "premiumrate":"1.01"}</v>
      </c>
      <c r="J136" s="6" t="str">
        <f t="shared" si="12"/>
        <v>,</v>
      </c>
    </row>
    <row r="137" spans="1:10">
      <c r="A137" s="4" t="str">
        <f>'EN60'!A$3</f>
        <v>EN60</v>
      </c>
      <c r="B137" s="4">
        <f t="shared" si="13"/>
        <v>12</v>
      </c>
      <c r="C137" s="4">
        <f t="shared" si="14"/>
        <v>55</v>
      </c>
      <c r="D137" s="4">
        <f t="shared" si="8"/>
        <v>8</v>
      </c>
      <c r="E137" s="4" t="s">
        <v>27</v>
      </c>
      <c r="F137" s="4">
        <f t="shared" si="9"/>
        <v>800</v>
      </c>
      <c r="G137" s="5">
        <f t="shared" si="15"/>
        <v>1.01</v>
      </c>
      <c r="H137" s="6" t="str">
        <f t="shared" si="10"/>
        <v>INSERT INTO public.coupon (plancode, age, "year", couponrate, benefittype, benefitrate, premiumrate) VALUES('EN60', 12, 55, 8, 'A',800, 1.01);</v>
      </c>
      <c r="I137" s="6" t="str">
        <f t="shared" si="11"/>
        <v>{"age":"12", "year":"55", "couponrate":"8", "benefittype":"A", "benefitrate":"800", "premiumrate":"1.01"}</v>
      </c>
      <c r="J137" s="6" t="str">
        <f t="shared" si="12"/>
        <v>,</v>
      </c>
    </row>
    <row r="138" spans="1:10">
      <c r="A138" s="4" t="str">
        <f>'EN60'!A$3</f>
        <v>EN60</v>
      </c>
      <c r="B138" s="4">
        <f t="shared" si="13"/>
        <v>12</v>
      </c>
      <c r="C138" s="4">
        <f t="shared" si="14"/>
        <v>56</v>
      </c>
      <c r="D138" s="4">
        <f t="shared" si="8"/>
        <v>8</v>
      </c>
      <c r="E138" s="4" t="s">
        <v>27</v>
      </c>
      <c r="F138" s="4">
        <f t="shared" si="9"/>
        <v>800</v>
      </c>
      <c r="G138" s="5">
        <f t="shared" si="15"/>
        <v>1.01</v>
      </c>
      <c r="H138" s="6" t="str">
        <f t="shared" si="10"/>
        <v>INSERT INTO public.coupon (plancode, age, "year", couponrate, benefittype, benefitrate, premiumrate) VALUES('EN60', 12, 56, 8, 'A',800, 1.01);</v>
      </c>
      <c r="I138" s="6" t="str">
        <f t="shared" si="11"/>
        <v>{"age":"12", "year":"56", "couponrate":"8", "benefittype":"A", "benefitrate":"800", "premiumrate":"1.01"}</v>
      </c>
      <c r="J138" s="6" t="str">
        <f t="shared" si="12"/>
        <v>,</v>
      </c>
    </row>
    <row r="139" spans="1:10">
      <c r="A139" s="4" t="str">
        <f>'EN60'!A$3</f>
        <v>EN60</v>
      </c>
      <c r="B139" s="4">
        <f t="shared" si="13"/>
        <v>12</v>
      </c>
      <c r="C139" s="4">
        <f t="shared" si="14"/>
        <v>57</v>
      </c>
      <c r="D139" s="4">
        <f t="shared" si="8"/>
        <v>8</v>
      </c>
      <c r="E139" s="4" t="s">
        <v>27</v>
      </c>
      <c r="F139" s="4">
        <f t="shared" si="9"/>
        <v>800</v>
      </c>
      <c r="G139" s="5">
        <f t="shared" si="15"/>
        <v>1.01</v>
      </c>
      <c r="H139" s="6" t="str">
        <f t="shared" si="10"/>
        <v>INSERT INTO public.coupon (plancode, age, "year", couponrate, benefittype, benefitrate, premiumrate) VALUES('EN60', 12, 57, 8, 'A',800, 1.01);</v>
      </c>
      <c r="I139" s="6" t="str">
        <f t="shared" si="11"/>
        <v>{"age":"12", "year":"57", "couponrate":"8", "benefittype":"A", "benefitrate":"800", "premiumrate":"1.01"}</v>
      </c>
      <c r="J139" s="6" t="str">
        <f t="shared" si="12"/>
        <v>,</v>
      </c>
    </row>
    <row r="140" spans="1:10">
      <c r="A140" s="4" t="str">
        <f>'EN60'!A$3</f>
        <v>EN60</v>
      </c>
      <c r="B140" s="4">
        <f t="shared" si="13"/>
        <v>12</v>
      </c>
      <c r="C140" s="4">
        <f t="shared" si="14"/>
        <v>58</v>
      </c>
      <c r="D140" s="4">
        <f t="shared" si="8"/>
        <v>8</v>
      </c>
      <c r="E140" s="4" t="s">
        <v>27</v>
      </c>
      <c r="F140" s="4">
        <f t="shared" si="9"/>
        <v>800</v>
      </c>
      <c r="G140" s="5">
        <f t="shared" si="15"/>
        <v>1.01</v>
      </c>
      <c r="H140" s="6" t="str">
        <f t="shared" si="10"/>
        <v>INSERT INTO public.coupon (plancode, age, "year", couponrate, benefittype, benefitrate, premiumrate) VALUES('EN60', 12, 58, 8, 'A',800, 1.01);</v>
      </c>
      <c r="I140" s="6" t="str">
        <f t="shared" si="11"/>
        <v>{"age":"12", "year":"58", "couponrate":"8", "benefittype":"A", "benefitrate":"800", "premiumrate":"1.01"}</v>
      </c>
      <c r="J140" s="6" t="str">
        <f t="shared" si="12"/>
        <v>,</v>
      </c>
    </row>
    <row r="141" spans="1:10">
      <c r="A141" s="4" t="str">
        <f>'EN60'!A$3</f>
        <v>EN60</v>
      </c>
      <c r="B141" s="4">
        <f t="shared" si="13"/>
        <v>12</v>
      </c>
      <c r="C141" s="4">
        <f t="shared" si="14"/>
        <v>59</v>
      </c>
      <c r="D141" s="4">
        <f t="shared" si="8"/>
        <v>8</v>
      </c>
      <c r="E141" s="4" t="s">
        <v>27</v>
      </c>
      <c r="F141" s="4">
        <f t="shared" si="9"/>
        <v>800</v>
      </c>
      <c r="G141" s="5">
        <f t="shared" si="15"/>
        <v>1.01</v>
      </c>
      <c r="H141" s="6" t="str">
        <f t="shared" si="10"/>
        <v>INSERT INTO public.coupon (plancode, age, "year", couponrate, benefittype, benefitrate, premiumrate) VALUES('EN60', 12, 59, 8, 'A',800, 1.01);</v>
      </c>
      <c r="I141" s="6" t="str">
        <f t="shared" si="11"/>
        <v>{"age":"12", "year":"59", "couponrate":"8", "benefittype":"A", "benefitrate":"800", "premiumrate":"1.01"}</v>
      </c>
      <c r="J141" s="6" t="str">
        <f t="shared" si="12"/>
        <v>,</v>
      </c>
    </row>
    <row r="142" spans="1:10">
      <c r="A142" s="4" t="str">
        <f>'EN60'!A$3</f>
        <v>EN60</v>
      </c>
      <c r="B142" s="4">
        <f t="shared" si="13"/>
        <v>12</v>
      </c>
      <c r="C142" s="4">
        <f t="shared" si="14"/>
        <v>60</v>
      </c>
      <c r="D142" s="4">
        <f t="shared" si="8"/>
        <v>8</v>
      </c>
      <c r="E142" s="4" t="s">
        <v>27</v>
      </c>
      <c r="F142" s="4">
        <f t="shared" si="9"/>
        <v>800</v>
      </c>
      <c r="G142" s="5">
        <f t="shared" si="15"/>
        <v>1.01</v>
      </c>
      <c r="H142" s="6" t="str">
        <f t="shared" si="10"/>
        <v>INSERT INTO public.coupon (plancode, age, "year", couponrate, benefittype, benefitrate, premiumrate) VALUES('EN60', 12, 60, 8, 'A',800, 1.01);</v>
      </c>
      <c r="I142" s="6" t="str">
        <f t="shared" si="11"/>
        <v>{"age":"12", "year":"60", "couponrate":"8", "benefittype":"A", "benefitrate":"800", "premiumrate":"1.01"}</v>
      </c>
      <c r="J142" s="6" t="str">
        <f t="shared" si="12"/>
        <v>,</v>
      </c>
    </row>
    <row r="143" spans="1:10">
      <c r="A143" s="4" t="str">
        <f>'EN60'!A$3</f>
        <v>EN60</v>
      </c>
      <c r="B143" s="4">
        <f t="shared" si="13"/>
        <v>12</v>
      </c>
      <c r="C143" s="4">
        <f t="shared" si="14"/>
        <v>61</v>
      </c>
      <c r="D143" s="4">
        <f t="shared" si="8"/>
        <v>8</v>
      </c>
      <c r="E143" s="4" t="s">
        <v>27</v>
      </c>
      <c r="F143" s="4">
        <f t="shared" si="9"/>
        <v>800</v>
      </c>
      <c r="G143" s="5">
        <f t="shared" si="15"/>
        <v>1.01</v>
      </c>
      <c r="H143" s="6" t="str">
        <f t="shared" si="10"/>
        <v>INSERT INTO public.coupon (plancode, age, "year", couponrate, benefittype, benefitrate, premiumrate) VALUES('EN60', 12, 61, 8, 'A',800, 1.01);</v>
      </c>
      <c r="I143" s="6" t="str">
        <f t="shared" si="11"/>
        <v>{"age":"12", "year":"61", "couponrate":"8", "benefittype":"A", "benefitrate":"800", "premiumrate":"1.01"}</v>
      </c>
      <c r="J143" s="6" t="str">
        <f t="shared" si="12"/>
        <v>,</v>
      </c>
    </row>
    <row r="144" spans="1:10">
      <c r="A144" s="4" t="str">
        <f>'EN60'!A$3</f>
        <v>EN60</v>
      </c>
      <c r="B144" s="4">
        <f t="shared" si="13"/>
        <v>12</v>
      </c>
      <c r="C144" s="4">
        <f t="shared" si="14"/>
        <v>62</v>
      </c>
      <c r="D144" s="4">
        <f t="shared" si="8"/>
        <v>8</v>
      </c>
      <c r="E144" s="4" t="s">
        <v>27</v>
      </c>
      <c r="F144" s="4">
        <f t="shared" si="9"/>
        <v>800</v>
      </c>
      <c r="G144" s="5">
        <f t="shared" si="15"/>
        <v>1.01</v>
      </c>
      <c r="H144" s="6" t="str">
        <f t="shared" si="10"/>
        <v>INSERT INTO public.coupon (plancode, age, "year", couponrate, benefittype, benefitrate, premiumrate) VALUES('EN60', 12, 62, 8, 'A',800, 1.01);</v>
      </c>
      <c r="I144" s="6" t="str">
        <f t="shared" si="11"/>
        <v>{"age":"12", "year":"62", "couponrate":"8", "benefittype":"A", "benefitrate":"800", "premiumrate":"1.01"}</v>
      </c>
      <c r="J144" s="6" t="str">
        <f t="shared" si="12"/>
        <v>,</v>
      </c>
    </row>
    <row r="145" spans="1:10">
      <c r="A145" s="4" t="str">
        <f>'EN60'!A$3</f>
        <v>EN60</v>
      </c>
      <c r="B145" s="4">
        <f t="shared" si="13"/>
        <v>12</v>
      </c>
      <c r="C145" s="4">
        <f t="shared" si="14"/>
        <v>63</v>
      </c>
      <c r="D145" s="4">
        <f t="shared" si="8"/>
        <v>8</v>
      </c>
      <c r="E145" s="4" t="s">
        <v>27</v>
      </c>
      <c r="F145" s="4">
        <f t="shared" si="9"/>
        <v>800</v>
      </c>
      <c r="G145" s="5">
        <f t="shared" si="15"/>
        <v>1.01</v>
      </c>
      <c r="H145" s="6" t="str">
        <f t="shared" si="10"/>
        <v>INSERT INTO public.coupon (plancode, age, "year", couponrate, benefittype, benefitrate, premiumrate) VALUES('EN60', 12, 63, 8, 'A',800, 1.01);</v>
      </c>
      <c r="I145" s="6" t="str">
        <f t="shared" si="11"/>
        <v>{"age":"12", "year":"63", "couponrate":"8", "benefittype":"A", "benefitrate":"800", "premiumrate":"1.01"}</v>
      </c>
      <c r="J145" s="6" t="str">
        <f t="shared" si="12"/>
        <v>,</v>
      </c>
    </row>
    <row r="146" spans="1:10">
      <c r="A146" s="4" t="str">
        <f>'EN60'!A$3</f>
        <v>EN60</v>
      </c>
      <c r="B146" s="4">
        <f t="shared" si="13"/>
        <v>12</v>
      </c>
      <c r="C146" s="4">
        <f t="shared" si="14"/>
        <v>64</v>
      </c>
      <c r="D146" s="4">
        <f t="shared" si="8"/>
        <v>8</v>
      </c>
      <c r="E146" s="4" t="s">
        <v>27</v>
      </c>
      <c r="F146" s="4">
        <f t="shared" si="9"/>
        <v>800</v>
      </c>
      <c r="G146" s="5">
        <f t="shared" si="15"/>
        <v>1.01</v>
      </c>
      <c r="H146" s="6" t="str">
        <f t="shared" si="10"/>
        <v>INSERT INTO public.coupon (plancode, age, "year", couponrate, benefittype, benefitrate, premiumrate) VALUES('EN60', 12, 64, 8, 'A',800, 1.01);</v>
      </c>
      <c r="I146" s="6" t="str">
        <f t="shared" si="11"/>
        <v>{"age":"12", "year":"64", "couponrate":"8", "benefittype":"A", "benefitrate":"800", "premiumrate":"1.01"}</v>
      </c>
      <c r="J146" s="6" t="str">
        <f t="shared" si="12"/>
        <v>,</v>
      </c>
    </row>
    <row r="147" spans="1:10">
      <c r="A147" s="4" t="str">
        <f>'EN60'!A$3</f>
        <v>EN60</v>
      </c>
      <c r="B147" s="4">
        <f t="shared" si="13"/>
        <v>12</v>
      </c>
      <c r="C147" s="4">
        <f t="shared" si="14"/>
        <v>65</v>
      </c>
      <c r="D147" s="4">
        <f t="shared" si="8"/>
        <v>8</v>
      </c>
      <c r="E147" s="4" t="s">
        <v>27</v>
      </c>
      <c r="F147" s="4">
        <f t="shared" si="9"/>
        <v>800</v>
      </c>
      <c r="G147" s="5">
        <f t="shared" si="15"/>
        <v>1.01</v>
      </c>
      <c r="H147" s="6" t="str">
        <f t="shared" si="10"/>
        <v>INSERT INTO public.coupon (plancode, age, "year", couponrate, benefittype, benefitrate, premiumrate) VALUES('EN60', 12, 65, 8, 'A',800, 1.01);</v>
      </c>
      <c r="I147" s="6" t="str">
        <f t="shared" si="11"/>
        <v>{"age":"12", "year":"65", "couponrate":"8", "benefittype":"A", "benefitrate":"800", "premiumrate":"1.01"}</v>
      </c>
      <c r="J147" s="6" t="str">
        <f t="shared" si="12"/>
        <v>,</v>
      </c>
    </row>
    <row r="148" spans="1:10">
      <c r="A148" s="4" t="str">
        <f>'EN60'!A$3</f>
        <v>EN60</v>
      </c>
      <c r="B148" s="4">
        <f t="shared" si="13"/>
        <v>12</v>
      </c>
      <c r="C148" s="4">
        <f t="shared" si="14"/>
        <v>66</v>
      </c>
      <c r="D148" s="4">
        <f t="shared" si="8"/>
        <v>8</v>
      </c>
      <c r="E148" s="4" t="s">
        <v>27</v>
      </c>
      <c r="F148" s="4">
        <f t="shared" si="9"/>
        <v>800</v>
      </c>
      <c r="G148" s="5">
        <f t="shared" si="15"/>
        <v>1.01</v>
      </c>
      <c r="H148" s="6" t="str">
        <f t="shared" si="10"/>
        <v>INSERT INTO public.coupon (plancode, age, "year", couponrate, benefittype, benefitrate, premiumrate) VALUES('EN60', 12, 66, 8, 'A',800, 1.01);</v>
      </c>
      <c r="I148" s="6" t="str">
        <f t="shared" si="11"/>
        <v>{"age":"12", "year":"66", "couponrate":"8", "benefittype":"A", "benefitrate":"800", "premiumrate":"1.01"}</v>
      </c>
      <c r="J148" s="6" t="str">
        <f t="shared" si="12"/>
        <v>,</v>
      </c>
    </row>
    <row r="149" spans="1:10">
      <c r="A149" s="4" t="str">
        <f>'EN60'!A$3</f>
        <v>EN60</v>
      </c>
      <c r="B149" s="4">
        <f t="shared" si="13"/>
        <v>12</v>
      </c>
      <c r="C149" s="4">
        <f t="shared" si="14"/>
        <v>67</v>
      </c>
      <c r="D149" s="4">
        <f t="shared" si="8"/>
        <v>8</v>
      </c>
      <c r="E149" s="4" t="s">
        <v>27</v>
      </c>
      <c r="F149" s="4">
        <f t="shared" si="9"/>
        <v>800</v>
      </c>
      <c r="G149" s="5">
        <f t="shared" si="15"/>
        <v>1.01</v>
      </c>
      <c r="H149" s="6" t="str">
        <f t="shared" si="10"/>
        <v>INSERT INTO public.coupon (plancode, age, "year", couponrate, benefittype, benefitrate, premiumrate) VALUES('EN60', 12, 67, 8, 'A',800, 1.01);</v>
      </c>
      <c r="I149" s="6" t="str">
        <f t="shared" si="11"/>
        <v>{"age":"12", "year":"67", "couponrate":"8", "benefittype":"A", "benefitrate":"800", "premiumrate":"1.01"}</v>
      </c>
      <c r="J149" s="6" t="str">
        <f t="shared" si="12"/>
        <v>,</v>
      </c>
    </row>
    <row r="150" spans="1:10">
      <c r="A150" s="4" t="str">
        <f>'EN60'!A$3</f>
        <v>EN60</v>
      </c>
      <c r="B150" s="4">
        <f t="shared" si="13"/>
        <v>12</v>
      </c>
      <c r="C150" s="4">
        <f t="shared" si="14"/>
        <v>68</v>
      </c>
      <c r="D150" s="4">
        <f t="shared" si="8"/>
        <v>0</v>
      </c>
      <c r="E150" s="4" t="s">
        <v>27</v>
      </c>
      <c r="F150" s="4">
        <f t="shared" si="9"/>
        <v>800</v>
      </c>
      <c r="G150" s="5">
        <f t="shared" si="15"/>
        <v>1.01</v>
      </c>
      <c r="H150" s="6" t="str">
        <f t="shared" si="10"/>
        <v>INSERT INTO public.coupon (plancode, age, "year", couponrate, benefittype, benefitrate, premiumrate) VALUES('EN60', 12, 68, 0, 'A',800, 1.01);</v>
      </c>
      <c r="I150" s="6" t="str">
        <f t="shared" si="11"/>
        <v>{"age":"12", "year":"68", "couponrate":"0", "benefittype":"A", "benefitrate":"800", "premiumrate":"1.01"}</v>
      </c>
    </row>
    <row r="151" spans="1:10">
      <c r="C151" s="6"/>
      <c r="I151" s="6" t="s">
        <v>28</v>
      </c>
    </row>
    <row r="152" spans="1:10">
      <c r="A152" s="3" t="s">
        <v>2</v>
      </c>
      <c r="B152" s="3" t="s">
        <v>23</v>
      </c>
      <c r="C152" s="3" t="s">
        <v>24</v>
      </c>
      <c r="D152" s="3" t="s">
        <v>25</v>
      </c>
      <c r="E152" s="3" t="s">
        <v>8</v>
      </c>
      <c r="F152" s="3" t="s">
        <v>26</v>
      </c>
      <c r="G152" s="3" t="s">
        <v>4</v>
      </c>
      <c r="I152" s="6" t="str">
        <f>"[{""plancode"":"""&amp;A153&amp;""",""returncash"":"""&amp;B$7&amp;""",""ytable"":"""&amp;C$7&amp;""",""maturerate"":"""&amp;B$3&amp;""",""maturepmrate"":"""&amp;C$3&amp;""",""coupon"":["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153" spans="1:10">
      <c r="A153" s="4" t="str">
        <f>'EN60'!A$3</f>
        <v>EN60</v>
      </c>
      <c r="B153" s="8">
        <v>13</v>
      </c>
      <c r="C153" s="4">
        <v>1</v>
      </c>
      <c r="D153" s="4">
        <f t="shared" ref="D153:D219" si="16">IF(C153+B153=80,0,8)</f>
        <v>8</v>
      </c>
      <c r="E153" s="4" t="s">
        <v>27</v>
      </c>
      <c r="F153" s="4">
        <f t="shared" ref="F153:F219" si="17">IF(C153&gt;7, 800, C153*100)</f>
        <v>100</v>
      </c>
      <c r="G153" s="5">
        <f>'EN60'!C$3</f>
        <v>1.01</v>
      </c>
      <c r="H153" s="6" t="str">
        <f t="shared" ref="H153:H219" si="18">"INSERT INTO public.coupon ("&amp;A$11&amp;", "&amp;B$11&amp;", """&amp;C$11&amp;""", "&amp;D$11&amp;", "&amp;E$11&amp;", "&amp;F$11&amp;", "&amp;G$11&amp;") VALUES('"&amp;A153&amp;"', "&amp;B153&amp;", "&amp;C153&amp;", "&amp;D153&amp;", '"&amp;E153&amp;"',"&amp;F153&amp;", "&amp;G153&amp;");"</f>
        <v>INSERT INTO public.coupon (plancode, age, "year", couponrate, benefittype, benefitrate, premiumrate) VALUES('EN60', 13, 1, 8, 'A',100, 1.01);</v>
      </c>
      <c r="I153" s="6" t="str">
        <f t="shared" ref="I153:I219" si="19">"{""age"":"""&amp;B153&amp;""", ""year"":"""&amp;C153&amp;""", ""couponrate"":"""&amp;D153&amp;""", ""benefittype"":"""&amp;E153&amp;""", ""benefitrate"":"""&amp;F153&amp;""", """&amp;G$11&amp;""":"""&amp;G153&amp;"""}"</f>
        <v>{"age":"13", "year":"1", "couponrate":"8", "benefittype":"A", "benefitrate":"100", "premiumrate":"1.01"}</v>
      </c>
      <c r="J153" s="6" t="str">
        <f t="shared" ref="J153:J218" si="20">IF(OR(I154="]", I153="[", I153="]"), "", ",")</f>
        <v>,</v>
      </c>
    </row>
    <row r="154" spans="1:10">
      <c r="A154" s="4" t="str">
        <f>'EN60'!A$3</f>
        <v>EN60</v>
      </c>
      <c r="B154" s="4">
        <f t="shared" ref="B154:B219" si="21">B153</f>
        <v>13</v>
      </c>
      <c r="C154" s="4">
        <f t="shared" ref="C154:C219" si="22">C153+1</f>
        <v>2</v>
      </c>
      <c r="D154" s="4">
        <f t="shared" si="16"/>
        <v>8</v>
      </c>
      <c r="E154" s="4" t="s">
        <v>27</v>
      </c>
      <c r="F154" s="4">
        <f t="shared" si="17"/>
        <v>200</v>
      </c>
      <c r="G154" s="5">
        <f t="shared" ref="G154:G219" si="23">G153</f>
        <v>1.01</v>
      </c>
      <c r="H154" s="6" t="str">
        <f t="shared" si="18"/>
        <v>INSERT INTO public.coupon (plancode, age, "year", couponrate, benefittype, benefitrate, premiumrate) VALUES('EN60', 13, 2, 8, 'A',200, 1.01);</v>
      </c>
      <c r="I154" s="6" t="str">
        <f t="shared" si="19"/>
        <v>{"age":"13", "year":"2", "couponrate":"8", "benefittype":"A", "benefitrate":"200", "premiumrate":"1.01"}</v>
      </c>
      <c r="J154" s="6" t="str">
        <f t="shared" si="20"/>
        <v>,</v>
      </c>
    </row>
    <row r="155" spans="1:10">
      <c r="A155" s="4" t="str">
        <f>'EN60'!A$3</f>
        <v>EN60</v>
      </c>
      <c r="B155" s="4">
        <f t="shared" si="21"/>
        <v>13</v>
      </c>
      <c r="C155" s="4">
        <f t="shared" si="22"/>
        <v>3</v>
      </c>
      <c r="D155" s="4">
        <f t="shared" si="16"/>
        <v>8</v>
      </c>
      <c r="E155" s="4" t="s">
        <v>27</v>
      </c>
      <c r="F155" s="4">
        <f t="shared" si="17"/>
        <v>300</v>
      </c>
      <c r="G155" s="5">
        <f t="shared" si="23"/>
        <v>1.01</v>
      </c>
      <c r="H155" s="6" t="str">
        <f t="shared" si="18"/>
        <v>INSERT INTO public.coupon (plancode, age, "year", couponrate, benefittype, benefitrate, premiumrate) VALUES('EN60', 13, 3, 8, 'A',300, 1.01);</v>
      </c>
      <c r="I155" s="6" t="str">
        <f t="shared" si="19"/>
        <v>{"age":"13", "year":"3", "couponrate":"8", "benefittype":"A", "benefitrate":"300", "premiumrate":"1.01"}</v>
      </c>
      <c r="J155" s="6" t="str">
        <f t="shared" si="20"/>
        <v>,</v>
      </c>
    </row>
    <row r="156" spans="1:10">
      <c r="A156" s="4" t="str">
        <f>'EN60'!A$3</f>
        <v>EN60</v>
      </c>
      <c r="B156" s="4">
        <f t="shared" si="21"/>
        <v>13</v>
      </c>
      <c r="C156" s="4">
        <f t="shared" si="22"/>
        <v>4</v>
      </c>
      <c r="D156" s="4">
        <f t="shared" si="16"/>
        <v>8</v>
      </c>
      <c r="E156" s="4" t="s">
        <v>27</v>
      </c>
      <c r="F156" s="4">
        <f t="shared" si="17"/>
        <v>400</v>
      </c>
      <c r="G156" s="5">
        <f t="shared" si="23"/>
        <v>1.01</v>
      </c>
      <c r="H156" s="6" t="str">
        <f t="shared" si="18"/>
        <v>INSERT INTO public.coupon (plancode, age, "year", couponrate, benefittype, benefitrate, premiumrate) VALUES('EN60', 13, 4, 8, 'A',400, 1.01);</v>
      </c>
      <c r="I156" s="6" t="str">
        <f t="shared" si="19"/>
        <v>{"age":"13", "year":"4", "couponrate":"8", "benefittype":"A", "benefitrate":"400", "premiumrate":"1.01"}</v>
      </c>
      <c r="J156" s="6" t="str">
        <f t="shared" si="20"/>
        <v>,</v>
      </c>
    </row>
    <row r="157" spans="1:10">
      <c r="A157" s="4" t="str">
        <f>'EN60'!A$3</f>
        <v>EN60</v>
      </c>
      <c r="B157" s="4">
        <f t="shared" si="21"/>
        <v>13</v>
      </c>
      <c r="C157" s="4">
        <f t="shared" si="22"/>
        <v>5</v>
      </c>
      <c r="D157" s="4">
        <f t="shared" si="16"/>
        <v>8</v>
      </c>
      <c r="E157" s="4" t="s">
        <v>27</v>
      </c>
      <c r="F157" s="4">
        <f t="shared" si="17"/>
        <v>500</v>
      </c>
      <c r="G157" s="5">
        <f t="shared" si="23"/>
        <v>1.01</v>
      </c>
      <c r="H157" s="6" t="str">
        <f t="shared" si="18"/>
        <v>INSERT INTO public.coupon (plancode, age, "year", couponrate, benefittype, benefitrate, premiumrate) VALUES('EN60', 13, 5, 8, 'A',500, 1.01);</v>
      </c>
      <c r="I157" s="6" t="str">
        <f t="shared" si="19"/>
        <v>{"age":"13", "year":"5", "couponrate":"8", "benefittype":"A", "benefitrate":"500", "premiumrate":"1.01"}</v>
      </c>
      <c r="J157" s="6" t="str">
        <f t="shared" si="20"/>
        <v>,</v>
      </c>
    </row>
    <row r="158" spans="1:10">
      <c r="A158" s="4" t="str">
        <f>'EN60'!A$3</f>
        <v>EN60</v>
      </c>
      <c r="B158" s="4">
        <f t="shared" si="21"/>
        <v>13</v>
      </c>
      <c r="C158" s="4">
        <f t="shared" si="22"/>
        <v>6</v>
      </c>
      <c r="D158" s="4">
        <f t="shared" si="16"/>
        <v>8</v>
      </c>
      <c r="E158" s="4" t="s">
        <v>27</v>
      </c>
      <c r="F158" s="4">
        <f t="shared" si="17"/>
        <v>600</v>
      </c>
      <c r="G158" s="5">
        <f t="shared" si="23"/>
        <v>1.01</v>
      </c>
      <c r="H158" s="6" t="str">
        <f t="shared" si="18"/>
        <v>INSERT INTO public.coupon (plancode, age, "year", couponrate, benefittype, benefitrate, premiumrate) VALUES('EN60', 13, 6, 8, 'A',600, 1.01);</v>
      </c>
      <c r="I158" s="6" t="str">
        <f t="shared" si="19"/>
        <v>{"age":"13", "year":"6", "couponrate":"8", "benefittype":"A", "benefitrate":"600", "premiumrate":"1.01"}</v>
      </c>
      <c r="J158" s="6" t="str">
        <f t="shared" si="20"/>
        <v>,</v>
      </c>
    </row>
    <row r="159" spans="1:10">
      <c r="A159" s="4" t="str">
        <f>'EN60'!A$3</f>
        <v>EN60</v>
      </c>
      <c r="B159" s="4">
        <f t="shared" si="21"/>
        <v>13</v>
      </c>
      <c r="C159" s="4">
        <f t="shared" si="22"/>
        <v>7</v>
      </c>
      <c r="D159" s="4">
        <f t="shared" si="16"/>
        <v>8</v>
      </c>
      <c r="E159" s="4" t="s">
        <v>27</v>
      </c>
      <c r="F159" s="4">
        <f t="shared" si="17"/>
        <v>700</v>
      </c>
      <c r="G159" s="5">
        <f t="shared" si="23"/>
        <v>1.01</v>
      </c>
      <c r="H159" s="6" t="str">
        <f t="shared" si="18"/>
        <v>INSERT INTO public.coupon (plancode, age, "year", couponrate, benefittype, benefitrate, premiumrate) VALUES('EN60', 13, 7, 8, 'A',700, 1.01);</v>
      </c>
      <c r="I159" s="6" t="str">
        <f t="shared" si="19"/>
        <v>{"age":"13", "year":"7", "couponrate":"8", "benefittype":"A", "benefitrate":"700", "premiumrate":"1.01"}</v>
      </c>
      <c r="J159" s="6" t="str">
        <f t="shared" si="20"/>
        <v>,</v>
      </c>
    </row>
    <row r="160" spans="1:10">
      <c r="A160" s="4" t="str">
        <f>'EN60'!A$3</f>
        <v>EN60</v>
      </c>
      <c r="B160" s="4">
        <f t="shared" si="21"/>
        <v>13</v>
      </c>
      <c r="C160" s="4">
        <f t="shared" si="22"/>
        <v>8</v>
      </c>
      <c r="D160" s="4">
        <f t="shared" si="16"/>
        <v>8</v>
      </c>
      <c r="E160" s="4" t="s">
        <v>27</v>
      </c>
      <c r="F160" s="4">
        <f t="shared" si="17"/>
        <v>800</v>
      </c>
      <c r="G160" s="5">
        <f t="shared" si="23"/>
        <v>1.01</v>
      </c>
      <c r="H160" s="6" t="str">
        <f t="shared" si="18"/>
        <v>INSERT INTO public.coupon (plancode, age, "year", couponrate, benefittype, benefitrate, premiumrate) VALUES('EN60', 13, 8, 8, 'A',800, 1.01);</v>
      </c>
      <c r="I160" s="6" t="str">
        <f t="shared" si="19"/>
        <v>{"age":"13", "year":"8", "couponrate":"8", "benefittype":"A", "benefitrate":"800", "premiumrate":"1.01"}</v>
      </c>
      <c r="J160" s="6" t="str">
        <f t="shared" si="20"/>
        <v>,</v>
      </c>
    </row>
    <row r="161" spans="1:10">
      <c r="A161" s="4" t="str">
        <f>'EN60'!A$3</f>
        <v>EN60</v>
      </c>
      <c r="B161" s="4">
        <f t="shared" si="21"/>
        <v>13</v>
      </c>
      <c r="C161" s="4">
        <f t="shared" si="22"/>
        <v>9</v>
      </c>
      <c r="D161" s="4">
        <f t="shared" si="16"/>
        <v>8</v>
      </c>
      <c r="E161" s="4" t="s">
        <v>27</v>
      </c>
      <c r="F161" s="4">
        <f t="shared" si="17"/>
        <v>800</v>
      </c>
      <c r="G161" s="5">
        <f t="shared" si="23"/>
        <v>1.01</v>
      </c>
      <c r="H161" s="6" t="str">
        <f t="shared" si="18"/>
        <v>INSERT INTO public.coupon (plancode, age, "year", couponrate, benefittype, benefitrate, premiumrate) VALUES('EN60', 13, 9, 8, 'A',800, 1.01);</v>
      </c>
      <c r="I161" s="6" t="str">
        <f t="shared" si="19"/>
        <v>{"age":"13", "year":"9", "couponrate":"8", "benefittype":"A", "benefitrate":"800", "premiumrate":"1.01"}</v>
      </c>
      <c r="J161" s="6" t="str">
        <f t="shared" si="20"/>
        <v>,</v>
      </c>
    </row>
    <row r="162" spans="1:10">
      <c r="A162" s="4" t="str">
        <f>'EN60'!A$3</f>
        <v>EN60</v>
      </c>
      <c r="B162" s="4">
        <f t="shared" si="21"/>
        <v>13</v>
      </c>
      <c r="C162" s="4">
        <f t="shared" si="22"/>
        <v>10</v>
      </c>
      <c r="D162" s="4">
        <f t="shared" si="16"/>
        <v>8</v>
      </c>
      <c r="E162" s="4" t="s">
        <v>27</v>
      </c>
      <c r="F162" s="4">
        <f t="shared" si="17"/>
        <v>800</v>
      </c>
      <c r="G162" s="5">
        <f t="shared" si="23"/>
        <v>1.01</v>
      </c>
      <c r="H162" s="6" t="str">
        <f t="shared" si="18"/>
        <v>INSERT INTO public.coupon (plancode, age, "year", couponrate, benefittype, benefitrate, premiumrate) VALUES('EN60', 13, 10, 8, 'A',800, 1.01);</v>
      </c>
      <c r="I162" s="6" t="str">
        <f t="shared" si="19"/>
        <v>{"age":"13", "year":"10", "couponrate":"8", "benefittype":"A", "benefitrate":"800", "premiumrate":"1.01"}</v>
      </c>
      <c r="J162" s="6" t="str">
        <f t="shared" si="20"/>
        <v>,</v>
      </c>
    </row>
    <row r="163" spans="1:10">
      <c r="A163" s="4" t="str">
        <f>'EN60'!A$3</f>
        <v>EN60</v>
      </c>
      <c r="B163" s="4">
        <f t="shared" si="21"/>
        <v>13</v>
      </c>
      <c r="C163" s="4">
        <f t="shared" si="22"/>
        <v>11</v>
      </c>
      <c r="D163" s="4">
        <f t="shared" si="16"/>
        <v>8</v>
      </c>
      <c r="E163" s="4" t="s">
        <v>27</v>
      </c>
      <c r="F163" s="4">
        <f t="shared" si="17"/>
        <v>800</v>
      </c>
      <c r="G163" s="5">
        <f t="shared" si="23"/>
        <v>1.01</v>
      </c>
      <c r="H163" s="6" t="str">
        <f t="shared" si="18"/>
        <v>INSERT INTO public.coupon (plancode, age, "year", couponrate, benefittype, benefitrate, premiumrate) VALUES('EN60', 13, 11, 8, 'A',800, 1.01);</v>
      </c>
      <c r="I163" s="6" t="str">
        <f t="shared" si="19"/>
        <v>{"age":"13", "year":"11", "couponrate":"8", "benefittype":"A", "benefitrate":"800", "premiumrate":"1.01"}</v>
      </c>
      <c r="J163" s="6" t="str">
        <f t="shared" si="20"/>
        <v>,</v>
      </c>
    </row>
    <row r="164" spans="1:10">
      <c r="A164" s="4" t="str">
        <f>'EN60'!A$3</f>
        <v>EN60</v>
      </c>
      <c r="B164" s="4">
        <f t="shared" si="21"/>
        <v>13</v>
      </c>
      <c r="C164" s="4">
        <f t="shared" si="22"/>
        <v>12</v>
      </c>
      <c r="D164" s="4">
        <f t="shared" si="16"/>
        <v>8</v>
      </c>
      <c r="E164" s="4" t="s">
        <v>27</v>
      </c>
      <c r="F164" s="4">
        <f t="shared" si="17"/>
        <v>800</v>
      </c>
      <c r="G164" s="5">
        <f t="shared" si="23"/>
        <v>1.01</v>
      </c>
      <c r="H164" s="6" t="str">
        <f t="shared" si="18"/>
        <v>INSERT INTO public.coupon (plancode, age, "year", couponrate, benefittype, benefitrate, premiumrate) VALUES('EN60', 13, 12, 8, 'A',800, 1.01);</v>
      </c>
      <c r="I164" s="6" t="str">
        <f t="shared" si="19"/>
        <v>{"age":"13", "year":"12", "couponrate":"8", "benefittype":"A", "benefitrate":"800", "premiumrate":"1.01"}</v>
      </c>
      <c r="J164" s="6" t="str">
        <f t="shared" si="20"/>
        <v>,</v>
      </c>
    </row>
    <row r="165" spans="1:10">
      <c r="A165" s="4" t="str">
        <f>'EN60'!A$3</f>
        <v>EN60</v>
      </c>
      <c r="B165" s="4">
        <f t="shared" si="21"/>
        <v>13</v>
      </c>
      <c r="C165" s="4">
        <f t="shared" si="22"/>
        <v>13</v>
      </c>
      <c r="D165" s="4">
        <f t="shared" si="16"/>
        <v>8</v>
      </c>
      <c r="E165" s="4" t="s">
        <v>27</v>
      </c>
      <c r="F165" s="4">
        <f t="shared" si="17"/>
        <v>800</v>
      </c>
      <c r="G165" s="5">
        <f t="shared" si="23"/>
        <v>1.01</v>
      </c>
      <c r="H165" s="6" t="str">
        <f t="shared" si="18"/>
        <v>INSERT INTO public.coupon (plancode, age, "year", couponrate, benefittype, benefitrate, premiumrate) VALUES('EN60', 13, 13, 8, 'A',800, 1.01);</v>
      </c>
      <c r="I165" s="6" t="str">
        <f t="shared" si="19"/>
        <v>{"age":"13", "year":"13", "couponrate":"8", "benefittype":"A", "benefitrate":"800", "premiumrate":"1.01"}</v>
      </c>
      <c r="J165" s="6" t="str">
        <f t="shared" si="20"/>
        <v>,</v>
      </c>
    </row>
    <row r="166" spans="1:10">
      <c r="A166" s="4" t="str">
        <f>'EN60'!A$3</f>
        <v>EN60</v>
      </c>
      <c r="B166" s="4">
        <f t="shared" si="21"/>
        <v>13</v>
      </c>
      <c r="C166" s="4">
        <f t="shared" si="22"/>
        <v>14</v>
      </c>
      <c r="D166" s="4">
        <f t="shared" si="16"/>
        <v>8</v>
      </c>
      <c r="E166" s="4" t="s">
        <v>27</v>
      </c>
      <c r="F166" s="4">
        <f t="shared" si="17"/>
        <v>800</v>
      </c>
      <c r="G166" s="5">
        <f t="shared" si="23"/>
        <v>1.01</v>
      </c>
      <c r="H166" s="6" t="str">
        <f t="shared" si="18"/>
        <v>INSERT INTO public.coupon (plancode, age, "year", couponrate, benefittype, benefitrate, premiumrate) VALUES('EN60', 13, 14, 8, 'A',800, 1.01);</v>
      </c>
      <c r="I166" s="6" t="str">
        <f t="shared" si="19"/>
        <v>{"age":"13", "year":"14", "couponrate":"8", "benefittype":"A", "benefitrate":"800", "premiumrate":"1.01"}</v>
      </c>
      <c r="J166" s="6" t="str">
        <f t="shared" si="20"/>
        <v>,</v>
      </c>
    </row>
    <row r="167" spans="1:10">
      <c r="A167" s="4" t="str">
        <f>'EN60'!A$3</f>
        <v>EN60</v>
      </c>
      <c r="B167" s="4">
        <f t="shared" si="21"/>
        <v>13</v>
      </c>
      <c r="C167" s="4">
        <f t="shared" si="22"/>
        <v>15</v>
      </c>
      <c r="D167" s="4">
        <f t="shared" si="16"/>
        <v>8</v>
      </c>
      <c r="E167" s="4" t="s">
        <v>27</v>
      </c>
      <c r="F167" s="4">
        <f t="shared" si="17"/>
        <v>800</v>
      </c>
      <c r="G167" s="5">
        <f t="shared" si="23"/>
        <v>1.01</v>
      </c>
      <c r="H167" s="6" t="str">
        <f t="shared" si="18"/>
        <v>INSERT INTO public.coupon (plancode, age, "year", couponrate, benefittype, benefitrate, premiumrate) VALUES('EN60', 13, 15, 8, 'A',800, 1.01);</v>
      </c>
      <c r="I167" s="6" t="str">
        <f t="shared" si="19"/>
        <v>{"age":"13", "year":"15", "couponrate":"8", "benefittype":"A", "benefitrate":"800", "premiumrate":"1.01"}</v>
      </c>
      <c r="J167" s="6" t="str">
        <f t="shared" si="20"/>
        <v>,</v>
      </c>
    </row>
    <row r="168" spans="1:10">
      <c r="A168" s="4" t="str">
        <f>'EN60'!A$3</f>
        <v>EN60</v>
      </c>
      <c r="B168" s="4">
        <f t="shared" si="21"/>
        <v>13</v>
      </c>
      <c r="C168" s="4">
        <f t="shared" si="22"/>
        <v>16</v>
      </c>
      <c r="D168" s="4">
        <f t="shared" si="16"/>
        <v>8</v>
      </c>
      <c r="E168" s="4" t="s">
        <v>27</v>
      </c>
      <c r="F168" s="4">
        <f t="shared" si="17"/>
        <v>800</v>
      </c>
      <c r="G168" s="5">
        <f t="shared" si="23"/>
        <v>1.01</v>
      </c>
      <c r="H168" s="6" t="str">
        <f t="shared" si="18"/>
        <v>INSERT INTO public.coupon (plancode, age, "year", couponrate, benefittype, benefitrate, premiumrate) VALUES('EN60', 13, 16, 8, 'A',800, 1.01);</v>
      </c>
      <c r="I168" s="6" t="str">
        <f t="shared" si="19"/>
        <v>{"age":"13", "year":"16", "couponrate":"8", "benefittype":"A", "benefitrate":"800", "premiumrate":"1.01"}</v>
      </c>
      <c r="J168" s="6" t="str">
        <f t="shared" si="20"/>
        <v>,</v>
      </c>
    </row>
    <row r="169" spans="1:10">
      <c r="A169" s="4" t="str">
        <f>'EN60'!A$3</f>
        <v>EN60</v>
      </c>
      <c r="B169" s="4">
        <f t="shared" si="21"/>
        <v>13</v>
      </c>
      <c r="C169" s="4">
        <f t="shared" si="22"/>
        <v>17</v>
      </c>
      <c r="D169" s="4">
        <f t="shared" si="16"/>
        <v>8</v>
      </c>
      <c r="E169" s="4" t="s">
        <v>27</v>
      </c>
      <c r="F169" s="4">
        <f t="shared" si="17"/>
        <v>800</v>
      </c>
      <c r="G169" s="5">
        <f t="shared" si="23"/>
        <v>1.01</v>
      </c>
      <c r="H169" s="6" t="str">
        <f t="shared" si="18"/>
        <v>INSERT INTO public.coupon (plancode, age, "year", couponrate, benefittype, benefitrate, premiumrate) VALUES('EN60', 13, 17, 8, 'A',800, 1.01);</v>
      </c>
      <c r="I169" s="6" t="str">
        <f t="shared" si="19"/>
        <v>{"age":"13", "year":"17", "couponrate":"8", "benefittype":"A", "benefitrate":"800", "premiumrate":"1.01"}</v>
      </c>
      <c r="J169" s="6" t="str">
        <f t="shared" si="20"/>
        <v>,</v>
      </c>
    </row>
    <row r="170" spans="1:10">
      <c r="A170" s="4" t="str">
        <f>'EN60'!A$3</f>
        <v>EN60</v>
      </c>
      <c r="B170" s="4">
        <f t="shared" si="21"/>
        <v>13</v>
      </c>
      <c r="C170" s="4">
        <f t="shared" si="22"/>
        <v>18</v>
      </c>
      <c r="D170" s="4">
        <f t="shared" si="16"/>
        <v>8</v>
      </c>
      <c r="E170" s="4" t="s">
        <v>27</v>
      </c>
      <c r="F170" s="4">
        <f t="shared" si="17"/>
        <v>800</v>
      </c>
      <c r="G170" s="5">
        <f t="shared" si="23"/>
        <v>1.01</v>
      </c>
      <c r="H170" s="6" t="str">
        <f t="shared" si="18"/>
        <v>INSERT INTO public.coupon (plancode, age, "year", couponrate, benefittype, benefitrate, premiumrate) VALUES('EN60', 13, 18, 8, 'A',800, 1.01);</v>
      </c>
      <c r="I170" s="6" t="str">
        <f t="shared" si="19"/>
        <v>{"age":"13", "year":"18", "couponrate":"8", "benefittype":"A", "benefitrate":"800", "premiumrate":"1.01"}</v>
      </c>
      <c r="J170" s="6" t="str">
        <f t="shared" si="20"/>
        <v>,</v>
      </c>
    </row>
    <row r="171" spans="1:10">
      <c r="A171" s="4" t="str">
        <f>'EN60'!A$3</f>
        <v>EN60</v>
      </c>
      <c r="B171" s="4">
        <f t="shared" si="21"/>
        <v>13</v>
      </c>
      <c r="C171" s="4">
        <f t="shared" si="22"/>
        <v>19</v>
      </c>
      <c r="D171" s="4">
        <f t="shared" si="16"/>
        <v>8</v>
      </c>
      <c r="E171" s="4" t="s">
        <v>27</v>
      </c>
      <c r="F171" s="4">
        <f t="shared" si="17"/>
        <v>800</v>
      </c>
      <c r="G171" s="5">
        <f t="shared" si="23"/>
        <v>1.01</v>
      </c>
      <c r="H171" s="6" t="str">
        <f t="shared" si="18"/>
        <v>INSERT INTO public.coupon (plancode, age, "year", couponrate, benefittype, benefitrate, premiumrate) VALUES('EN60', 13, 19, 8, 'A',800, 1.01);</v>
      </c>
      <c r="I171" s="6" t="str">
        <f t="shared" si="19"/>
        <v>{"age":"13", "year":"19", "couponrate":"8", "benefittype":"A", "benefitrate":"800", "premiumrate":"1.01"}</v>
      </c>
      <c r="J171" s="6" t="str">
        <f t="shared" si="20"/>
        <v>,</v>
      </c>
    </row>
    <row r="172" spans="1:10">
      <c r="A172" s="4" t="str">
        <f>'EN60'!A$3</f>
        <v>EN60</v>
      </c>
      <c r="B172" s="4">
        <f t="shared" si="21"/>
        <v>13</v>
      </c>
      <c r="C172" s="4">
        <f t="shared" si="22"/>
        <v>20</v>
      </c>
      <c r="D172" s="4">
        <f t="shared" si="16"/>
        <v>8</v>
      </c>
      <c r="E172" s="4" t="s">
        <v>27</v>
      </c>
      <c r="F172" s="4">
        <f t="shared" si="17"/>
        <v>800</v>
      </c>
      <c r="G172" s="5">
        <f t="shared" si="23"/>
        <v>1.01</v>
      </c>
      <c r="H172" s="6" t="str">
        <f t="shared" si="18"/>
        <v>INSERT INTO public.coupon (plancode, age, "year", couponrate, benefittype, benefitrate, premiumrate) VALUES('EN60', 13, 20, 8, 'A',800, 1.01);</v>
      </c>
      <c r="I172" s="6" t="str">
        <f t="shared" si="19"/>
        <v>{"age":"13", "year":"20", "couponrate":"8", "benefittype":"A", "benefitrate":"800", "premiumrate":"1.01"}</v>
      </c>
      <c r="J172" s="6" t="str">
        <f t="shared" si="20"/>
        <v>,</v>
      </c>
    </row>
    <row r="173" spans="1:10">
      <c r="A173" s="4" t="str">
        <f>'EN60'!A$3</f>
        <v>EN60</v>
      </c>
      <c r="B173" s="4">
        <f t="shared" si="21"/>
        <v>13</v>
      </c>
      <c r="C173" s="4">
        <f t="shared" si="22"/>
        <v>21</v>
      </c>
      <c r="D173" s="4">
        <f t="shared" si="16"/>
        <v>8</v>
      </c>
      <c r="E173" s="4" t="s">
        <v>27</v>
      </c>
      <c r="F173" s="4">
        <f t="shared" si="17"/>
        <v>800</v>
      </c>
      <c r="G173" s="5">
        <f t="shared" si="23"/>
        <v>1.01</v>
      </c>
      <c r="H173" s="6" t="str">
        <f t="shared" si="18"/>
        <v>INSERT INTO public.coupon (plancode, age, "year", couponrate, benefittype, benefitrate, premiumrate) VALUES('EN60', 13, 21, 8, 'A',800, 1.01);</v>
      </c>
      <c r="I173" s="6" t="str">
        <f t="shared" si="19"/>
        <v>{"age":"13", "year":"21", "couponrate":"8", "benefittype":"A", "benefitrate":"800", "premiumrate":"1.01"}</v>
      </c>
      <c r="J173" s="6" t="str">
        <f t="shared" si="20"/>
        <v>,</v>
      </c>
    </row>
    <row r="174" spans="1:10">
      <c r="A174" s="4" t="str">
        <f>'EN60'!A$3</f>
        <v>EN60</v>
      </c>
      <c r="B174" s="4">
        <f t="shared" si="21"/>
        <v>13</v>
      </c>
      <c r="C174" s="4">
        <f t="shared" si="22"/>
        <v>22</v>
      </c>
      <c r="D174" s="4">
        <f t="shared" si="16"/>
        <v>8</v>
      </c>
      <c r="E174" s="4" t="s">
        <v>27</v>
      </c>
      <c r="F174" s="4">
        <f t="shared" si="17"/>
        <v>800</v>
      </c>
      <c r="G174" s="5">
        <f t="shared" si="23"/>
        <v>1.01</v>
      </c>
      <c r="H174" s="6" t="str">
        <f t="shared" si="18"/>
        <v>INSERT INTO public.coupon (plancode, age, "year", couponrate, benefittype, benefitrate, premiumrate) VALUES('EN60', 13, 22, 8, 'A',800, 1.01);</v>
      </c>
      <c r="I174" s="6" t="str">
        <f t="shared" si="19"/>
        <v>{"age":"13", "year":"22", "couponrate":"8", "benefittype":"A", "benefitrate":"800", "premiumrate":"1.01"}</v>
      </c>
      <c r="J174" s="6" t="str">
        <f t="shared" si="20"/>
        <v>,</v>
      </c>
    </row>
    <row r="175" spans="1:10">
      <c r="A175" s="4" t="str">
        <f>'EN60'!A$3</f>
        <v>EN60</v>
      </c>
      <c r="B175" s="4">
        <f t="shared" si="21"/>
        <v>13</v>
      </c>
      <c r="C175" s="4">
        <f t="shared" si="22"/>
        <v>23</v>
      </c>
      <c r="D175" s="4">
        <f t="shared" si="16"/>
        <v>8</v>
      </c>
      <c r="E175" s="4" t="s">
        <v>27</v>
      </c>
      <c r="F175" s="4">
        <f t="shared" si="17"/>
        <v>800</v>
      </c>
      <c r="G175" s="5">
        <f t="shared" si="23"/>
        <v>1.01</v>
      </c>
      <c r="H175" s="6" t="str">
        <f t="shared" si="18"/>
        <v>INSERT INTO public.coupon (plancode, age, "year", couponrate, benefittype, benefitrate, premiumrate) VALUES('EN60', 13, 23, 8, 'A',800, 1.01);</v>
      </c>
      <c r="I175" s="6" t="str">
        <f t="shared" si="19"/>
        <v>{"age":"13", "year":"23", "couponrate":"8", "benefittype":"A", "benefitrate":"800", "premiumrate":"1.01"}</v>
      </c>
      <c r="J175" s="6" t="str">
        <f t="shared" si="20"/>
        <v>,</v>
      </c>
    </row>
    <row r="176" spans="1:10">
      <c r="A176" s="4" t="str">
        <f>'EN60'!A$3</f>
        <v>EN60</v>
      </c>
      <c r="B176" s="4">
        <f t="shared" si="21"/>
        <v>13</v>
      </c>
      <c r="C176" s="4">
        <f t="shared" si="22"/>
        <v>24</v>
      </c>
      <c r="D176" s="4">
        <f t="shared" si="16"/>
        <v>8</v>
      </c>
      <c r="E176" s="4" t="s">
        <v>27</v>
      </c>
      <c r="F176" s="4">
        <f t="shared" si="17"/>
        <v>800</v>
      </c>
      <c r="G176" s="5">
        <f t="shared" si="23"/>
        <v>1.01</v>
      </c>
      <c r="H176" s="6" t="str">
        <f t="shared" si="18"/>
        <v>INSERT INTO public.coupon (plancode, age, "year", couponrate, benefittype, benefitrate, premiumrate) VALUES('EN60', 13, 24, 8, 'A',800, 1.01);</v>
      </c>
      <c r="I176" s="6" t="str">
        <f t="shared" si="19"/>
        <v>{"age":"13", "year":"24", "couponrate":"8", "benefittype":"A", "benefitrate":"800", "premiumrate":"1.01"}</v>
      </c>
      <c r="J176" s="6" t="str">
        <f t="shared" si="20"/>
        <v>,</v>
      </c>
    </row>
    <row r="177" spans="1:10">
      <c r="A177" s="4" t="str">
        <f>'EN60'!A$3</f>
        <v>EN60</v>
      </c>
      <c r="B177" s="4">
        <f t="shared" si="21"/>
        <v>13</v>
      </c>
      <c r="C177" s="4">
        <f t="shared" si="22"/>
        <v>25</v>
      </c>
      <c r="D177" s="4">
        <f t="shared" si="16"/>
        <v>8</v>
      </c>
      <c r="E177" s="4" t="s">
        <v>27</v>
      </c>
      <c r="F177" s="4">
        <f t="shared" si="17"/>
        <v>800</v>
      </c>
      <c r="G177" s="5">
        <f t="shared" si="23"/>
        <v>1.01</v>
      </c>
      <c r="H177" s="6" t="str">
        <f t="shared" si="18"/>
        <v>INSERT INTO public.coupon (plancode, age, "year", couponrate, benefittype, benefitrate, premiumrate) VALUES('EN60', 13, 25, 8, 'A',800, 1.01);</v>
      </c>
      <c r="I177" s="6" t="str">
        <f t="shared" si="19"/>
        <v>{"age":"13", "year":"25", "couponrate":"8", "benefittype":"A", "benefitrate":"800", "premiumrate":"1.01"}</v>
      </c>
      <c r="J177" s="6" t="str">
        <f t="shared" si="20"/>
        <v>,</v>
      </c>
    </row>
    <row r="178" spans="1:10">
      <c r="A178" s="4" t="str">
        <f>'EN60'!A$3</f>
        <v>EN60</v>
      </c>
      <c r="B178" s="4">
        <f t="shared" si="21"/>
        <v>13</v>
      </c>
      <c r="C178" s="4">
        <f t="shared" si="22"/>
        <v>26</v>
      </c>
      <c r="D178" s="4">
        <f t="shared" si="16"/>
        <v>8</v>
      </c>
      <c r="E178" s="4" t="s">
        <v>27</v>
      </c>
      <c r="F178" s="4">
        <f t="shared" si="17"/>
        <v>800</v>
      </c>
      <c r="G178" s="5">
        <f t="shared" si="23"/>
        <v>1.01</v>
      </c>
      <c r="H178" s="6" t="str">
        <f t="shared" si="18"/>
        <v>INSERT INTO public.coupon (plancode, age, "year", couponrate, benefittype, benefitrate, premiumrate) VALUES('EN60', 13, 26, 8, 'A',800, 1.01);</v>
      </c>
      <c r="I178" s="6" t="str">
        <f t="shared" si="19"/>
        <v>{"age":"13", "year":"26", "couponrate":"8", "benefittype":"A", "benefitrate":"800", "premiumrate":"1.01"}</v>
      </c>
      <c r="J178" s="6" t="str">
        <f t="shared" si="20"/>
        <v>,</v>
      </c>
    </row>
    <row r="179" spans="1:10">
      <c r="A179" s="4" t="str">
        <f>'EN60'!A$3</f>
        <v>EN60</v>
      </c>
      <c r="B179" s="4">
        <f t="shared" si="21"/>
        <v>13</v>
      </c>
      <c r="C179" s="4">
        <f t="shared" si="22"/>
        <v>27</v>
      </c>
      <c r="D179" s="4">
        <f t="shared" si="16"/>
        <v>8</v>
      </c>
      <c r="E179" s="4" t="s">
        <v>27</v>
      </c>
      <c r="F179" s="4">
        <f t="shared" si="17"/>
        <v>800</v>
      </c>
      <c r="G179" s="5">
        <f t="shared" si="23"/>
        <v>1.01</v>
      </c>
      <c r="H179" s="6" t="str">
        <f t="shared" si="18"/>
        <v>INSERT INTO public.coupon (plancode, age, "year", couponrate, benefittype, benefitrate, premiumrate) VALUES('EN60', 13, 27, 8, 'A',800, 1.01);</v>
      </c>
      <c r="I179" s="6" t="str">
        <f t="shared" si="19"/>
        <v>{"age":"13", "year":"27", "couponrate":"8", "benefittype":"A", "benefitrate":"800", "premiumrate":"1.01"}</v>
      </c>
      <c r="J179" s="6" t="str">
        <f t="shared" si="20"/>
        <v>,</v>
      </c>
    </row>
    <row r="180" spans="1:10">
      <c r="A180" s="4" t="str">
        <f>'EN60'!A$3</f>
        <v>EN60</v>
      </c>
      <c r="B180" s="4">
        <f t="shared" si="21"/>
        <v>13</v>
      </c>
      <c r="C180" s="4">
        <f t="shared" si="22"/>
        <v>28</v>
      </c>
      <c r="D180" s="4">
        <f t="shared" si="16"/>
        <v>8</v>
      </c>
      <c r="E180" s="4" t="s">
        <v>27</v>
      </c>
      <c r="F180" s="4">
        <f t="shared" si="17"/>
        <v>800</v>
      </c>
      <c r="G180" s="5">
        <f t="shared" si="23"/>
        <v>1.01</v>
      </c>
      <c r="H180" s="6" t="str">
        <f t="shared" si="18"/>
        <v>INSERT INTO public.coupon (plancode, age, "year", couponrate, benefittype, benefitrate, premiumrate) VALUES('EN60', 13, 28, 8, 'A',800, 1.01);</v>
      </c>
      <c r="I180" s="6" t="str">
        <f t="shared" si="19"/>
        <v>{"age":"13", "year":"28", "couponrate":"8", "benefittype":"A", "benefitrate":"800", "premiumrate":"1.01"}</v>
      </c>
      <c r="J180" s="6" t="str">
        <f t="shared" si="20"/>
        <v>,</v>
      </c>
    </row>
    <row r="181" spans="1:10">
      <c r="A181" s="4" t="str">
        <f>'EN60'!A$3</f>
        <v>EN60</v>
      </c>
      <c r="B181" s="4">
        <f t="shared" si="21"/>
        <v>13</v>
      </c>
      <c r="C181" s="4">
        <f t="shared" si="22"/>
        <v>29</v>
      </c>
      <c r="D181" s="4">
        <f t="shared" si="16"/>
        <v>8</v>
      </c>
      <c r="E181" s="4" t="s">
        <v>27</v>
      </c>
      <c r="F181" s="4">
        <f t="shared" si="17"/>
        <v>800</v>
      </c>
      <c r="G181" s="5">
        <f t="shared" si="23"/>
        <v>1.01</v>
      </c>
      <c r="H181" s="6" t="str">
        <f t="shared" si="18"/>
        <v>INSERT INTO public.coupon (plancode, age, "year", couponrate, benefittype, benefitrate, premiumrate) VALUES('EN60', 13, 29, 8, 'A',800, 1.01);</v>
      </c>
      <c r="I181" s="6" t="str">
        <f t="shared" si="19"/>
        <v>{"age":"13", "year":"29", "couponrate":"8", "benefittype":"A", "benefitrate":"800", "premiumrate":"1.01"}</v>
      </c>
      <c r="J181" s="6" t="str">
        <f t="shared" si="20"/>
        <v>,</v>
      </c>
    </row>
    <row r="182" spans="1:10">
      <c r="A182" s="4" t="str">
        <f>'EN60'!A$3</f>
        <v>EN60</v>
      </c>
      <c r="B182" s="4">
        <f t="shared" si="21"/>
        <v>13</v>
      </c>
      <c r="C182" s="4">
        <f t="shared" si="22"/>
        <v>30</v>
      </c>
      <c r="D182" s="4">
        <f t="shared" si="16"/>
        <v>8</v>
      </c>
      <c r="E182" s="4" t="s">
        <v>27</v>
      </c>
      <c r="F182" s="4">
        <f t="shared" si="17"/>
        <v>800</v>
      </c>
      <c r="G182" s="5">
        <f t="shared" si="23"/>
        <v>1.01</v>
      </c>
      <c r="H182" s="6" t="str">
        <f t="shared" si="18"/>
        <v>INSERT INTO public.coupon (plancode, age, "year", couponrate, benefittype, benefitrate, premiumrate) VALUES('EN60', 13, 30, 8, 'A',800, 1.01);</v>
      </c>
      <c r="I182" s="6" t="str">
        <f t="shared" si="19"/>
        <v>{"age":"13", "year":"30", "couponrate":"8", "benefittype":"A", "benefitrate":"800", "premiumrate":"1.01"}</v>
      </c>
      <c r="J182" s="6" t="str">
        <f t="shared" si="20"/>
        <v>,</v>
      </c>
    </row>
    <row r="183" spans="1:10">
      <c r="A183" s="4" t="str">
        <f>'EN60'!A$3</f>
        <v>EN60</v>
      </c>
      <c r="B183" s="4">
        <f t="shared" si="21"/>
        <v>13</v>
      </c>
      <c r="C183" s="4">
        <f t="shared" si="22"/>
        <v>31</v>
      </c>
      <c r="D183" s="4">
        <f t="shared" si="16"/>
        <v>8</v>
      </c>
      <c r="E183" s="4" t="s">
        <v>27</v>
      </c>
      <c r="F183" s="4">
        <f t="shared" si="17"/>
        <v>800</v>
      </c>
      <c r="G183" s="5">
        <f t="shared" si="23"/>
        <v>1.01</v>
      </c>
      <c r="H183" s="6" t="str">
        <f t="shared" si="18"/>
        <v>INSERT INTO public.coupon (plancode, age, "year", couponrate, benefittype, benefitrate, premiumrate) VALUES('EN60', 13, 31, 8, 'A',800, 1.01);</v>
      </c>
      <c r="I183" s="6" t="str">
        <f t="shared" si="19"/>
        <v>{"age":"13", "year":"31", "couponrate":"8", "benefittype":"A", "benefitrate":"800", "premiumrate":"1.01"}</v>
      </c>
      <c r="J183" s="6" t="str">
        <f t="shared" si="20"/>
        <v>,</v>
      </c>
    </row>
    <row r="184" spans="1:10">
      <c r="A184" s="4" t="str">
        <f>'EN60'!A$3</f>
        <v>EN60</v>
      </c>
      <c r="B184" s="4">
        <f t="shared" si="21"/>
        <v>13</v>
      </c>
      <c r="C184" s="4">
        <f t="shared" si="22"/>
        <v>32</v>
      </c>
      <c r="D184" s="4">
        <f t="shared" si="16"/>
        <v>8</v>
      </c>
      <c r="E184" s="4" t="s">
        <v>27</v>
      </c>
      <c r="F184" s="4">
        <f t="shared" si="17"/>
        <v>800</v>
      </c>
      <c r="G184" s="5">
        <f t="shared" si="23"/>
        <v>1.01</v>
      </c>
      <c r="H184" s="6" t="str">
        <f t="shared" si="18"/>
        <v>INSERT INTO public.coupon (plancode, age, "year", couponrate, benefittype, benefitrate, premiumrate) VALUES('EN60', 13, 32, 8, 'A',800, 1.01);</v>
      </c>
      <c r="I184" s="6" t="str">
        <f t="shared" si="19"/>
        <v>{"age":"13", "year":"32", "couponrate":"8", "benefittype":"A", "benefitrate":"800", "premiumrate":"1.01"}</v>
      </c>
      <c r="J184" s="6" t="str">
        <f t="shared" si="20"/>
        <v>,</v>
      </c>
    </row>
    <row r="185" spans="1:10">
      <c r="A185" s="4" t="str">
        <f>'EN60'!A$3</f>
        <v>EN60</v>
      </c>
      <c r="B185" s="4">
        <f t="shared" si="21"/>
        <v>13</v>
      </c>
      <c r="C185" s="4">
        <f t="shared" si="22"/>
        <v>33</v>
      </c>
      <c r="D185" s="4">
        <f t="shared" si="16"/>
        <v>8</v>
      </c>
      <c r="E185" s="4" t="s">
        <v>27</v>
      </c>
      <c r="F185" s="4">
        <f t="shared" si="17"/>
        <v>800</v>
      </c>
      <c r="G185" s="5">
        <f t="shared" si="23"/>
        <v>1.01</v>
      </c>
      <c r="H185" s="6" t="str">
        <f t="shared" si="18"/>
        <v>INSERT INTO public.coupon (plancode, age, "year", couponrate, benefittype, benefitrate, premiumrate) VALUES('EN60', 13, 33, 8, 'A',800, 1.01);</v>
      </c>
      <c r="I185" s="6" t="str">
        <f t="shared" si="19"/>
        <v>{"age":"13", "year":"33", "couponrate":"8", "benefittype":"A", "benefitrate":"800", "premiumrate":"1.01"}</v>
      </c>
      <c r="J185" s="6" t="str">
        <f t="shared" si="20"/>
        <v>,</v>
      </c>
    </row>
    <row r="186" spans="1:10">
      <c r="A186" s="4" t="str">
        <f>'EN60'!A$3</f>
        <v>EN60</v>
      </c>
      <c r="B186" s="4">
        <f t="shared" si="21"/>
        <v>13</v>
      </c>
      <c r="C186" s="4">
        <f t="shared" si="22"/>
        <v>34</v>
      </c>
      <c r="D186" s="4">
        <f t="shared" si="16"/>
        <v>8</v>
      </c>
      <c r="E186" s="4" t="s">
        <v>27</v>
      </c>
      <c r="F186" s="4">
        <f t="shared" si="17"/>
        <v>800</v>
      </c>
      <c r="G186" s="5">
        <f t="shared" si="23"/>
        <v>1.01</v>
      </c>
      <c r="H186" s="6" t="str">
        <f t="shared" si="18"/>
        <v>INSERT INTO public.coupon (plancode, age, "year", couponrate, benefittype, benefitrate, premiumrate) VALUES('EN60', 13, 34, 8, 'A',800, 1.01);</v>
      </c>
      <c r="I186" s="6" t="str">
        <f t="shared" si="19"/>
        <v>{"age":"13", "year":"34", "couponrate":"8", "benefittype":"A", "benefitrate":"800", "premiumrate":"1.01"}</v>
      </c>
      <c r="J186" s="6" t="str">
        <f t="shared" si="20"/>
        <v>,</v>
      </c>
    </row>
    <row r="187" spans="1:10">
      <c r="A187" s="4" t="str">
        <f>'EN60'!A$3</f>
        <v>EN60</v>
      </c>
      <c r="B187" s="4">
        <f t="shared" si="21"/>
        <v>13</v>
      </c>
      <c r="C187" s="4">
        <f t="shared" si="22"/>
        <v>35</v>
      </c>
      <c r="D187" s="4">
        <f t="shared" si="16"/>
        <v>8</v>
      </c>
      <c r="E187" s="4" t="s">
        <v>27</v>
      </c>
      <c r="F187" s="4">
        <f t="shared" si="17"/>
        <v>800</v>
      </c>
      <c r="G187" s="5">
        <f t="shared" si="23"/>
        <v>1.01</v>
      </c>
      <c r="H187" s="6" t="str">
        <f t="shared" si="18"/>
        <v>INSERT INTO public.coupon (plancode, age, "year", couponrate, benefittype, benefitrate, premiumrate) VALUES('EN60', 13, 35, 8, 'A',800, 1.01);</v>
      </c>
      <c r="I187" s="6" t="str">
        <f t="shared" si="19"/>
        <v>{"age":"13", "year":"35", "couponrate":"8", "benefittype":"A", "benefitrate":"800", "premiumrate":"1.01"}</v>
      </c>
      <c r="J187" s="6" t="str">
        <f t="shared" si="20"/>
        <v>,</v>
      </c>
    </row>
    <row r="188" spans="1:10">
      <c r="A188" s="4" t="str">
        <f>'EN60'!A$3</f>
        <v>EN60</v>
      </c>
      <c r="B188" s="4">
        <f t="shared" si="21"/>
        <v>13</v>
      </c>
      <c r="C188" s="4">
        <f t="shared" si="22"/>
        <v>36</v>
      </c>
      <c r="D188" s="4">
        <f t="shared" si="16"/>
        <v>8</v>
      </c>
      <c r="E188" s="4" t="s">
        <v>27</v>
      </c>
      <c r="F188" s="4">
        <f t="shared" si="17"/>
        <v>800</v>
      </c>
      <c r="G188" s="5">
        <f t="shared" si="23"/>
        <v>1.01</v>
      </c>
      <c r="H188" s="6" t="str">
        <f t="shared" si="18"/>
        <v>INSERT INTO public.coupon (plancode, age, "year", couponrate, benefittype, benefitrate, premiumrate) VALUES('EN60', 13, 36, 8, 'A',800, 1.01);</v>
      </c>
      <c r="I188" s="6" t="str">
        <f t="shared" si="19"/>
        <v>{"age":"13", "year":"36", "couponrate":"8", "benefittype":"A", "benefitrate":"800", "premiumrate":"1.01"}</v>
      </c>
      <c r="J188" s="6" t="str">
        <f t="shared" si="20"/>
        <v>,</v>
      </c>
    </row>
    <row r="189" spans="1:10">
      <c r="A189" s="4" t="str">
        <f>'EN60'!A$3</f>
        <v>EN60</v>
      </c>
      <c r="B189" s="4">
        <f t="shared" si="21"/>
        <v>13</v>
      </c>
      <c r="C189" s="4">
        <f t="shared" si="22"/>
        <v>37</v>
      </c>
      <c r="D189" s="4">
        <f t="shared" si="16"/>
        <v>8</v>
      </c>
      <c r="E189" s="4" t="s">
        <v>27</v>
      </c>
      <c r="F189" s="4">
        <f t="shared" si="17"/>
        <v>800</v>
      </c>
      <c r="G189" s="5">
        <f t="shared" si="23"/>
        <v>1.01</v>
      </c>
      <c r="H189" s="6" t="str">
        <f t="shared" si="18"/>
        <v>INSERT INTO public.coupon (plancode, age, "year", couponrate, benefittype, benefitrate, premiumrate) VALUES('EN60', 13, 37, 8, 'A',800, 1.01);</v>
      </c>
      <c r="I189" s="6" t="str">
        <f t="shared" si="19"/>
        <v>{"age":"13", "year":"37", "couponrate":"8", "benefittype":"A", "benefitrate":"800", "premiumrate":"1.01"}</v>
      </c>
      <c r="J189" s="6" t="str">
        <f t="shared" si="20"/>
        <v>,</v>
      </c>
    </row>
    <row r="190" spans="1:10">
      <c r="A190" s="4" t="str">
        <f>'EN60'!A$3</f>
        <v>EN60</v>
      </c>
      <c r="B190" s="4">
        <f t="shared" si="21"/>
        <v>13</v>
      </c>
      <c r="C190" s="4">
        <f t="shared" si="22"/>
        <v>38</v>
      </c>
      <c r="D190" s="4">
        <f t="shared" si="16"/>
        <v>8</v>
      </c>
      <c r="E190" s="4" t="s">
        <v>27</v>
      </c>
      <c r="F190" s="4">
        <f t="shared" si="17"/>
        <v>800</v>
      </c>
      <c r="G190" s="5">
        <f t="shared" si="23"/>
        <v>1.01</v>
      </c>
      <c r="H190" s="6" t="str">
        <f t="shared" si="18"/>
        <v>INSERT INTO public.coupon (plancode, age, "year", couponrate, benefittype, benefitrate, premiumrate) VALUES('EN60', 13, 38, 8, 'A',800, 1.01);</v>
      </c>
      <c r="I190" s="6" t="str">
        <f t="shared" si="19"/>
        <v>{"age":"13", "year":"38", "couponrate":"8", "benefittype":"A", "benefitrate":"800", "premiumrate":"1.01"}</v>
      </c>
      <c r="J190" s="6" t="str">
        <f t="shared" si="20"/>
        <v>,</v>
      </c>
    </row>
    <row r="191" spans="1:10">
      <c r="A191" s="4" t="str">
        <f>'EN60'!A$3</f>
        <v>EN60</v>
      </c>
      <c r="B191" s="4">
        <f t="shared" si="21"/>
        <v>13</v>
      </c>
      <c r="C191" s="4">
        <f t="shared" si="22"/>
        <v>39</v>
      </c>
      <c r="D191" s="4">
        <f t="shared" si="16"/>
        <v>8</v>
      </c>
      <c r="E191" s="4" t="s">
        <v>27</v>
      </c>
      <c r="F191" s="4">
        <f t="shared" si="17"/>
        <v>800</v>
      </c>
      <c r="G191" s="5">
        <f t="shared" si="23"/>
        <v>1.01</v>
      </c>
      <c r="H191" s="6" t="str">
        <f t="shared" si="18"/>
        <v>INSERT INTO public.coupon (plancode, age, "year", couponrate, benefittype, benefitrate, premiumrate) VALUES('EN60', 13, 39, 8, 'A',800, 1.01);</v>
      </c>
      <c r="I191" s="6" t="str">
        <f t="shared" si="19"/>
        <v>{"age":"13", "year":"39", "couponrate":"8", "benefittype":"A", "benefitrate":"800", "premiumrate":"1.01"}</v>
      </c>
      <c r="J191" s="6" t="str">
        <f t="shared" si="20"/>
        <v>,</v>
      </c>
    </row>
    <row r="192" spans="1:10">
      <c r="A192" s="4" t="str">
        <f>'EN60'!A$3</f>
        <v>EN60</v>
      </c>
      <c r="B192" s="4">
        <f t="shared" si="21"/>
        <v>13</v>
      </c>
      <c r="C192" s="4">
        <f t="shared" si="22"/>
        <v>40</v>
      </c>
      <c r="D192" s="4">
        <f t="shared" si="16"/>
        <v>8</v>
      </c>
      <c r="E192" s="4" t="s">
        <v>27</v>
      </c>
      <c r="F192" s="4">
        <f t="shared" si="17"/>
        <v>800</v>
      </c>
      <c r="G192" s="5">
        <f t="shared" si="23"/>
        <v>1.01</v>
      </c>
      <c r="H192" s="6" t="str">
        <f t="shared" si="18"/>
        <v>INSERT INTO public.coupon (plancode, age, "year", couponrate, benefittype, benefitrate, premiumrate) VALUES('EN60', 13, 40, 8, 'A',800, 1.01);</v>
      </c>
      <c r="I192" s="6" t="str">
        <f t="shared" si="19"/>
        <v>{"age":"13", "year":"40", "couponrate":"8", "benefittype":"A", "benefitrate":"800", "premiumrate":"1.01"}</v>
      </c>
      <c r="J192" s="6" t="str">
        <f t="shared" si="20"/>
        <v>,</v>
      </c>
    </row>
    <row r="193" spans="1:10">
      <c r="A193" s="4" t="str">
        <f>'EN60'!A$3</f>
        <v>EN60</v>
      </c>
      <c r="B193" s="4">
        <f t="shared" si="21"/>
        <v>13</v>
      </c>
      <c r="C193" s="4">
        <f t="shared" si="22"/>
        <v>41</v>
      </c>
      <c r="D193" s="4">
        <f t="shared" si="16"/>
        <v>8</v>
      </c>
      <c r="E193" s="4" t="s">
        <v>27</v>
      </c>
      <c r="F193" s="4">
        <f t="shared" si="17"/>
        <v>800</v>
      </c>
      <c r="G193" s="5">
        <f t="shared" si="23"/>
        <v>1.01</v>
      </c>
      <c r="H193" s="6" t="str">
        <f t="shared" si="18"/>
        <v>INSERT INTO public.coupon (plancode, age, "year", couponrate, benefittype, benefitrate, premiumrate) VALUES('EN60', 13, 41, 8, 'A',800, 1.01);</v>
      </c>
      <c r="I193" s="6" t="str">
        <f t="shared" si="19"/>
        <v>{"age":"13", "year":"41", "couponrate":"8", "benefittype":"A", "benefitrate":"800", "premiumrate":"1.01"}</v>
      </c>
      <c r="J193" s="6" t="str">
        <f t="shared" si="20"/>
        <v>,</v>
      </c>
    </row>
    <row r="194" spans="1:10">
      <c r="A194" s="4" t="str">
        <f>'EN60'!A$3</f>
        <v>EN60</v>
      </c>
      <c r="B194" s="4">
        <f t="shared" si="21"/>
        <v>13</v>
      </c>
      <c r="C194" s="4">
        <f t="shared" si="22"/>
        <v>42</v>
      </c>
      <c r="D194" s="4">
        <f t="shared" si="16"/>
        <v>8</v>
      </c>
      <c r="E194" s="4" t="s">
        <v>27</v>
      </c>
      <c r="F194" s="4">
        <f t="shared" si="17"/>
        <v>800</v>
      </c>
      <c r="G194" s="5">
        <f t="shared" si="23"/>
        <v>1.01</v>
      </c>
      <c r="H194" s="6" t="str">
        <f t="shared" si="18"/>
        <v>INSERT INTO public.coupon (plancode, age, "year", couponrate, benefittype, benefitrate, premiumrate) VALUES('EN60', 13, 42, 8, 'A',800, 1.01);</v>
      </c>
      <c r="I194" s="6" t="str">
        <f t="shared" si="19"/>
        <v>{"age":"13", "year":"42", "couponrate":"8", "benefittype":"A", "benefitrate":"800", "premiumrate":"1.01"}</v>
      </c>
      <c r="J194" s="6" t="str">
        <f t="shared" si="20"/>
        <v>,</v>
      </c>
    </row>
    <row r="195" spans="1:10">
      <c r="A195" s="4" t="str">
        <f>'EN60'!A$3</f>
        <v>EN60</v>
      </c>
      <c r="B195" s="4">
        <f t="shared" si="21"/>
        <v>13</v>
      </c>
      <c r="C195" s="4">
        <f t="shared" si="22"/>
        <v>43</v>
      </c>
      <c r="D195" s="4">
        <f t="shared" si="16"/>
        <v>8</v>
      </c>
      <c r="E195" s="4" t="s">
        <v>27</v>
      </c>
      <c r="F195" s="4">
        <f t="shared" si="17"/>
        <v>800</v>
      </c>
      <c r="G195" s="5">
        <f t="shared" si="23"/>
        <v>1.01</v>
      </c>
      <c r="H195" s="6" t="str">
        <f t="shared" si="18"/>
        <v>INSERT INTO public.coupon (plancode, age, "year", couponrate, benefittype, benefitrate, premiumrate) VALUES('EN60', 13, 43, 8, 'A',800, 1.01);</v>
      </c>
      <c r="I195" s="6" t="str">
        <f t="shared" si="19"/>
        <v>{"age":"13", "year":"43", "couponrate":"8", "benefittype":"A", "benefitrate":"800", "premiumrate":"1.01"}</v>
      </c>
      <c r="J195" s="6" t="str">
        <f t="shared" si="20"/>
        <v>,</v>
      </c>
    </row>
    <row r="196" spans="1:10">
      <c r="A196" s="4" t="str">
        <f>'EN60'!A$3</f>
        <v>EN60</v>
      </c>
      <c r="B196" s="4">
        <f t="shared" si="21"/>
        <v>13</v>
      </c>
      <c r="C196" s="4">
        <f t="shared" si="22"/>
        <v>44</v>
      </c>
      <c r="D196" s="4">
        <f t="shared" si="16"/>
        <v>8</v>
      </c>
      <c r="E196" s="4" t="s">
        <v>27</v>
      </c>
      <c r="F196" s="4">
        <f t="shared" si="17"/>
        <v>800</v>
      </c>
      <c r="G196" s="5">
        <f t="shared" si="23"/>
        <v>1.01</v>
      </c>
      <c r="H196" s="6" t="str">
        <f t="shared" si="18"/>
        <v>INSERT INTO public.coupon (plancode, age, "year", couponrate, benefittype, benefitrate, premiumrate) VALUES('EN60', 13, 44, 8, 'A',800, 1.01);</v>
      </c>
      <c r="I196" s="6" t="str">
        <f t="shared" si="19"/>
        <v>{"age":"13", "year":"44", "couponrate":"8", "benefittype":"A", "benefitrate":"800", "premiumrate":"1.01"}</v>
      </c>
      <c r="J196" s="6" t="str">
        <f t="shared" si="20"/>
        <v>,</v>
      </c>
    </row>
    <row r="197" spans="1:10">
      <c r="A197" s="4" t="str">
        <f>'EN60'!A$3</f>
        <v>EN60</v>
      </c>
      <c r="B197" s="4">
        <f t="shared" si="21"/>
        <v>13</v>
      </c>
      <c r="C197" s="4">
        <f t="shared" si="22"/>
        <v>45</v>
      </c>
      <c r="D197" s="4">
        <f t="shared" si="16"/>
        <v>8</v>
      </c>
      <c r="E197" s="4" t="s">
        <v>27</v>
      </c>
      <c r="F197" s="4">
        <f t="shared" si="17"/>
        <v>800</v>
      </c>
      <c r="G197" s="5">
        <f t="shared" si="23"/>
        <v>1.01</v>
      </c>
      <c r="H197" s="6" t="str">
        <f t="shared" si="18"/>
        <v>INSERT INTO public.coupon (plancode, age, "year", couponrate, benefittype, benefitrate, premiumrate) VALUES('EN60', 13, 45, 8, 'A',800, 1.01);</v>
      </c>
      <c r="I197" s="6" t="str">
        <f t="shared" si="19"/>
        <v>{"age":"13", "year":"45", "couponrate":"8", "benefittype":"A", "benefitrate":"800", "premiumrate":"1.01"}</v>
      </c>
      <c r="J197" s="6" t="str">
        <f t="shared" si="20"/>
        <v>,</v>
      </c>
    </row>
    <row r="198" spans="1:10">
      <c r="A198" s="4" t="str">
        <f>'EN60'!A$3</f>
        <v>EN60</v>
      </c>
      <c r="B198" s="4">
        <f t="shared" si="21"/>
        <v>13</v>
      </c>
      <c r="C198" s="4">
        <f t="shared" si="22"/>
        <v>46</v>
      </c>
      <c r="D198" s="4">
        <f t="shared" si="16"/>
        <v>8</v>
      </c>
      <c r="E198" s="4" t="s">
        <v>27</v>
      </c>
      <c r="F198" s="4">
        <f t="shared" si="17"/>
        <v>800</v>
      </c>
      <c r="G198" s="5">
        <f t="shared" si="23"/>
        <v>1.01</v>
      </c>
      <c r="H198" s="6" t="str">
        <f t="shared" si="18"/>
        <v>INSERT INTO public.coupon (plancode, age, "year", couponrate, benefittype, benefitrate, premiumrate) VALUES('EN60', 13, 46, 8, 'A',800, 1.01);</v>
      </c>
      <c r="I198" s="6" t="str">
        <f t="shared" si="19"/>
        <v>{"age":"13", "year":"46", "couponrate":"8", "benefittype":"A", "benefitrate":"800", "premiumrate":"1.01"}</v>
      </c>
      <c r="J198" s="6" t="str">
        <f t="shared" si="20"/>
        <v>,</v>
      </c>
    </row>
    <row r="199" spans="1:10">
      <c r="A199" s="4" t="str">
        <f>'EN60'!A$3</f>
        <v>EN60</v>
      </c>
      <c r="B199" s="4">
        <f t="shared" si="21"/>
        <v>13</v>
      </c>
      <c r="C199" s="4">
        <f t="shared" si="22"/>
        <v>47</v>
      </c>
      <c r="D199" s="4">
        <f t="shared" si="16"/>
        <v>8</v>
      </c>
      <c r="E199" s="4" t="s">
        <v>27</v>
      </c>
      <c r="F199" s="4">
        <f t="shared" si="17"/>
        <v>800</v>
      </c>
      <c r="G199" s="5">
        <f t="shared" si="23"/>
        <v>1.01</v>
      </c>
      <c r="H199" s="6" t="str">
        <f t="shared" si="18"/>
        <v>INSERT INTO public.coupon (plancode, age, "year", couponrate, benefittype, benefitrate, premiumrate) VALUES('EN60', 13, 47, 8, 'A',800, 1.01);</v>
      </c>
      <c r="I199" s="6" t="str">
        <f t="shared" si="19"/>
        <v>{"age":"13", "year":"47", "couponrate":"8", "benefittype":"A", "benefitrate":"800", "premiumrate":"1.01"}</v>
      </c>
      <c r="J199" s="6" t="str">
        <f t="shared" si="20"/>
        <v>,</v>
      </c>
    </row>
    <row r="200" spans="1:10">
      <c r="A200" s="4" t="str">
        <f>'EN60'!A$3</f>
        <v>EN60</v>
      </c>
      <c r="B200" s="4">
        <f t="shared" si="21"/>
        <v>13</v>
      </c>
      <c r="C200" s="4">
        <f t="shared" si="22"/>
        <v>48</v>
      </c>
      <c r="D200" s="4">
        <f t="shared" si="16"/>
        <v>8</v>
      </c>
      <c r="E200" s="4" t="s">
        <v>27</v>
      </c>
      <c r="F200" s="4">
        <f t="shared" si="17"/>
        <v>800</v>
      </c>
      <c r="G200" s="5">
        <f t="shared" si="23"/>
        <v>1.01</v>
      </c>
      <c r="H200" s="6" t="str">
        <f t="shared" si="18"/>
        <v>INSERT INTO public.coupon (plancode, age, "year", couponrate, benefittype, benefitrate, premiumrate) VALUES('EN60', 13, 48, 8, 'A',800, 1.01);</v>
      </c>
      <c r="I200" s="6" t="str">
        <f t="shared" si="19"/>
        <v>{"age":"13", "year":"48", "couponrate":"8", "benefittype":"A", "benefitrate":"800", "premiumrate":"1.01"}</v>
      </c>
      <c r="J200" s="6" t="str">
        <f t="shared" si="20"/>
        <v>,</v>
      </c>
    </row>
    <row r="201" spans="1:10">
      <c r="A201" s="4" t="str">
        <f>'EN60'!A$3</f>
        <v>EN60</v>
      </c>
      <c r="B201" s="4">
        <f t="shared" si="21"/>
        <v>13</v>
      </c>
      <c r="C201" s="4">
        <f t="shared" si="22"/>
        <v>49</v>
      </c>
      <c r="D201" s="4">
        <f t="shared" si="16"/>
        <v>8</v>
      </c>
      <c r="E201" s="4" t="s">
        <v>27</v>
      </c>
      <c r="F201" s="4">
        <f t="shared" si="17"/>
        <v>800</v>
      </c>
      <c r="G201" s="5">
        <f t="shared" si="23"/>
        <v>1.01</v>
      </c>
      <c r="H201" s="6" t="str">
        <f t="shared" si="18"/>
        <v>INSERT INTO public.coupon (plancode, age, "year", couponrate, benefittype, benefitrate, premiumrate) VALUES('EN60', 13, 49, 8, 'A',800, 1.01);</v>
      </c>
      <c r="I201" s="6" t="str">
        <f t="shared" si="19"/>
        <v>{"age":"13", "year":"49", "couponrate":"8", "benefittype":"A", "benefitrate":"800", "premiumrate":"1.01"}</v>
      </c>
      <c r="J201" s="6" t="str">
        <f t="shared" si="20"/>
        <v>,</v>
      </c>
    </row>
    <row r="202" spans="1:10">
      <c r="A202" s="4" t="str">
        <f>'EN60'!A$3</f>
        <v>EN60</v>
      </c>
      <c r="B202" s="4">
        <f t="shared" si="21"/>
        <v>13</v>
      </c>
      <c r="C202" s="4">
        <f t="shared" si="22"/>
        <v>50</v>
      </c>
      <c r="D202" s="4">
        <f t="shared" si="16"/>
        <v>8</v>
      </c>
      <c r="E202" s="4" t="s">
        <v>27</v>
      </c>
      <c r="F202" s="4">
        <f t="shared" si="17"/>
        <v>800</v>
      </c>
      <c r="G202" s="5">
        <f t="shared" si="23"/>
        <v>1.01</v>
      </c>
      <c r="H202" s="6" t="str">
        <f t="shared" si="18"/>
        <v>INSERT INTO public.coupon (plancode, age, "year", couponrate, benefittype, benefitrate, premiumrate) VALUES('EN60', 13, 50, 8, 'A',800, 1.01);</v>
      </c>
      <c r="I202" s="6" t="str">
        <f t="shared" si="19"/>
        <v>{"age":"13", "year":"50", "couponrate":"8", "benefittype":"A", "benefitrate":"800", "premiumrate":"1.01"}</v>
      </c>
      <c r="J202" s="6" t="str">
        <f t="shared" si="20"/>
        <v>,</v>
      </c>
    </row>
    <row r="203" spans="1:10">
      <c r="A203" s="4" t="str">
        <f>'EN60'!A$3</f>
        <v>EN60</v>
      </c>
      <c r="B203" s="4">
        <f t="shared" si="21"/>
        <v>13</v>
      </c>
      <c r="C203" s="4">
        <f t="shared" si="22"/>
        <v>51</v>
      </c>
      <c r="D203" s="4">
        <f t="shared" si="16"/>
        <v>8</v>
      </c>
      <c r="E203" s="4" t="s">
        <v>27</v>
      </c>
      <c r="F203" s="4">
        <f t="shared" si="17"/>
        <v>800</v>
      </c>
      <c r="G203" s="5">
        <f t="shared" si="23"/>
        <v>1.01</v>
      </c>
      <c r="H203" s="6" t="str">
        <f t="shared" si="18"/>
        <v>INSERT INTO public.coupon (plancode, age, "year", couponrate, benefittype, benefitrate, premiumrate) VALUES('EN60', 13, 51, 8, 'A',800, 1.01);</v>
      </c>
      <c r="I203" s="6" t="str">
        <f t="shared" si="19"/>
        <v>{"age":"13", "year":"51", "couponrate":"8", "benefittype":"A", "benefitrate":"800", "premiumrate":"1.01"}</v>
      </c>
      <c r="J203" s="6" t="str">
        <f t="shared" si="20"/>
        <v>,</v>
      </c>
    </row>
    <row r="204" spans="1:10">
      <c r="A204" s="4" t="str">
        <f>'EN60'!A$3</f>
        <v>EN60</v>
      </c>
      <c r="B204" s="4">
        <f t="shared" si="21"/>
        <v>13</v>
      </c>
      <c r="C204" s="4">
        <f t="shared" si="22"/>
        <v>52</v>
      </c>
      <c r="D204" s="4">
        <f t="shared" si="16"/>
        <v>8</v>
      </c>
      <c r="E204" s="4" t="s">
        <v>27</v>
      </c>
      <c r="F204" s="4">
        <f t="shared" si="17"/>
        <v>800</v>
      </c>
      <c r="G204" s="5">
        <f t="shared" si="23"/>
        <v>1.01</v>
      </c>
      <c r="H204" s="6" t="str">
        <f t="shared" si="18"/>
        <v>INSERT INTO public.coupon (plancode, age, "year", couponrate, benefittype, benefitrate, premiumrate) VALUES('EN60', 13, 52, 8, 'A',800, 1.01);</v>
      </c>
      <c r="I204" s="6" t="str">
        <f t="shared" si="19"/>
        <v>{"age":"13", "year":"52", "couponrate":"8", "benefittype":"A", "benefitrate":"800", "premiumrate":"1.01"}</v>
      </c>
      <c r="J204" s="6" t="str">
        <f t="shared" si="20"/>
        <v>,</v>
      </c>
    </row>
    <row r="205" spans="1:10">
      <c r="A205" s="4" t="str">
        <f>'EN60'!A$3</f>
        <v>EN60</v>
      </c>
      <c r="B205" s="4">
        <f t="shared" si="21"/>
        <v>13</v>
      </c>
      <c r="C205" s="4">
        <f t="shared" si="22"/>
        <v>53</v>
      </c>
      <c r="D205" s="4">
        <f t="shared" si="16"/>
        <v>8</v>
      </c>
      <c r="E205" s="4" t="s">
        <v>27</v>
      </c>
      <c r="F205" s="4">
        <f t="shared" si="17"/>
        <v>800</v>
      </c>
      <c r="G205" s="5">
        <f t="shared" si="23"/>
        <v>1.01</v>
      </c>
      <c r="H205" s="6" t="str">
        <f t="shared" si="18"/>
        <v>INSERT INTO public.coupon (plancode, age, "year", couponrate, benefittype, benefitrate, premiumrate) VALUES('EN60', 13, 53, 8, 'A',800, 1.01);</v>
      </c>
      <c r="I205" s="6" t="str">
        <f t="shared" si="19"/>
        <v>{"age":"13", "year":"53", "couponrate":"8", "benefittype":"A", "benefitrate":"800", "premiumrate":"1.01"}</v>
      </c>
      <c r="J205" s="6" t="str">
        <f t="shared" si="20"/>
        <v>,</v>
      </c>
    </row>
    <row r="206" spans="1:10">
      <c r="A206" s="4" t="str">
        <f>'EN60'!A$3</f>
        <v>EN60</v>
      </c>
      <c r="B206" s="4">
        <f t="shared" si="21"/>
        <v>13</v>
      </c>
      <c r="C206" s="4">
        <f t="shared" si="22"/>
        <v>54</v>
      </c>
      <c r="D206" s="4">
        <f t="shared" si="16"/>
        <v>8</v>
      </c>
      <c r="E206" s="4" t="s">
        <v>27</v>
      </c>
      <c r="F206" s="4">
        <f t="shared" si="17"/>
        <v>800</v>
      </c>
      <c r="G206" s="5">
        <f t="shared" si="23"/>
        <v>1.01</v>
      </c>
      <c r="H206" s="6" t="str">
        <f t="shared" si="18"/>
        <v>INSERT INTO public.coupon (plancode, age, "year", couponrate, benefittype, benefitrate, premiumrate) VALUES('EN60', 13, 54, 8, 'A',800, 1.01);</v>
      </c>
      <c r="I206" s="6" t="str">
        <f t="shared" si="19"/>
        <v>{"age":"13", "year":"54", "couponrate":"8", "benefittype":"A", "benefitrate":"800", "premiumrate":"1.01"}</v>
      </c>
      <c r="J206" s="6" t="str">
        <f t="shared" si="20"/>
        <v>,</v>
      </c>
    </row>
    <row r="207" spans="1:10">
      <c r="A207" s="4" t="str">
        <f>'EN60'!A$3</f>
        <v>EN60</v>
      </c>
      <c r="B207" s="4">
        <f t="shared" si="21"/>
        <v>13</v>
      </c>
      <c r="C207" s="4">
        <f t="shared" si="22"/>
        <v>55</v>
      </c>
      <c r="D207" s="4">
        <f t="shared" si="16"/>
        <v>8</v>
      </c>
      <c r="E207" s="4" t="s">
        <v>27</v>
      </c>
      <c r="F207" s="4">
        <f t="shared" si="17"/>
        <v>800</v>
      </c>
      <c r="G207" s="5">
        <f t="shared" si="23"/>
        <v>1.01</v>
      </c>
      <c r="H207" s="6" t="str">
        <f t="shared" si="18"/>
        <v>INSERT INTO public.coupon (plancode, age, "year", couponrate, benefittype, benefitrate, premiumrate) VALUES('EN60', 13, 55, 8, 'A',800, 1.01);</v>
      </c>
      <c r="I207" s="6" t="str">
        <f t="shared" si="19"/>
        <v>{"age":"13", "year":"55", "couponrate":"8", "benefittype":"A", "benefitrate":"800", "premiumrate":"1.01"}</v>
      </c>
      <c r="J207" s="6" t="str">
        <f t="shared" si="20"/>
        <v>,</v>
      </c>
    </row>
    <row r="208" spans="1:10">
      <c r="A208" s="4" t="str">
        <f>'EN60'!A$3</f>
        <v>EN60</v>
      </c>
      <c r="B208" s="4">
        <f t="shared" si="21"/>
        <v>13</v>
      </c>
      <c r="C208" s="4">
        <f t="shared" si="22"/>
        <v>56</v>
      </c>
      <c r="D208" s="4">
        <f t="shared" si="16"/>
        <v>8</v>
      </c>
      <c r="E208" s="4" t="s">
        <v>27</v>
      </c>
      <c r="F208" s="4">
        <f t="shared" si="17"/>
        <v>800</v>
      </c>
      <c r="G208" s="5">
        <f t="shared" si="23"/>
        <v>1.01</v>
      </c>
      <c r="H208" s="6" t="str">
        <f t="shared" si="18"/>
        <v>INSERT INTO public.coupon (plancode, age, "year", couponrate, benefittype, benefitrate, premiumrate) VALUES('EN60', 13, 56, 8, 'A',800, 1.01);</v>
      </c>
      <c r="I208" s="6" t="str">
        <f t="shared" si="19"/>
        <v>{"age":"13", "year":"56", "couponrate":"8", "benefittype":"A", "benefitrate":"800", "premiumrate":"1.01"}</v>
      </c>
      <c r="J208" s="6" t="str">
        <f t="shared" si="20"/>
        <v>,</v>
      </c>
    </row>
    <row r="209" spans="1:10">
      <c r="A209" s="4" t="str">
        <f>'EN60'!A$3</f>
        <v>EN60</v>
      </c>
      <c r="B209" s="4">
        <f t="shared" si="21"/>
        <v>13</v>
      </c>
      <c r="C209" s="4">
        <f t="shared" si="22"/>
        <v>57</v>
      </c>
      <c r="D209" s="4">
        <f t="shared" si="16"/>
        <v>8</v>
      </c>
      <c r="E209" s="4" t="s">
        <v>27</v>
      </c>
      <c r="F209" s="4">
        <f t="shared" si="17"/>
        <v>800</v>
      </c>
      <c r="G209" s="5">
        <f t="shared" si="23"/>
        <v>1.01</v>
      </c>
      <c r="H209" s="6" t="str">
        <f t="shared" si="18"/>
        <v>INSERT INTO public.coupon (plancode, age, "year", couponrate, benefittype, benefitrate, premiumrate) VALUES('EN60', 13, 57, 8, 'A',800, 1.01);</v>
      </c>
      <c r="I209" s="6" t="str">
        <f t="shared" si="19"/>
        <v>{"age":"13", "year":"57", "couponrate":"8", "benefittype":"A", "benefitrate":"800", "premiumrate":"1.01"}</v>
      </c>
      <c r="J209" s="6" t="str">
        <f t="shared" si="20"/>
        <v>,</v>
      </c>
    </row>
    <row r="210" spans="1:10">
      <c r="A210" s="4" t="str">
        <f>'EN60'!A$3</f>
        <v>EN60</v>
      </c>
      <c r="B210" s="4">
        <f t="shared" si="21"/>
        <v>13</v>
      </c>
      <c r="C210" s="4">
        <f t="shared" si="22"/>
        <v>58</v>
      </c>
      <c r="D210" s="4">
        <f t="shared" si="16"/>
        <v>8</v>
      </c>
      <c r="E210" s="4" t="s">
        <v>27</v>
      </c>
      <c r="F210" s="4">
        <f t="shared" si="17"/>
        <v>800</v>
      </c>
      <c r="G210" s="5">
        <f t="shared" si="23"/>
        <v>1.01</v>
      </c>
      <c r="H210" s="6" t="str">
        <f t="shared" si="18"/>
        <v>INSERT INTO public.coupon (plancode, age, "year", couponrate, benefittype, benefitrate, premiumrate) VALUES('EN60', 13, 58, 8, 'A',800, 1.01);</v>
      </c>
      <c r="I210" s="6" t="str">
        <f t="shared" si="19"/>
        <v>{"age":"13", "year":"58", "couponrate":"8", "benefittype":"A", "benefitrate":"800", "premiumrate":"1.01"}</v>
      </c>
      <c r="J210" s="6" t="str">
        <f t="shared" si="20"/>
        <v>,</v>
      </c>
    </row>
    <row r="211" spans="1:10">
      <c r="A211" s="4" t="str">
        <f>'EN60'!A$3</f>
        <v>EN60</v>
      </c>
      <c r="B211" s="4">
        <f t="shared" si="21"/>
        <v>13</v>
      </c>
      <c r="C211" s="4">
        <f t="shared" si="22"/>
        <v>59</v>
      </c>
      <c r="D211" s="4">
        <f t="shared" si="16"/>
        <v>8</v>
      </c>
      <c r="E211" s="4" t="s">
        <v>27</v>
      </c>
      <c r="F211" s="4">
        <f t="shared" si="17"/>
        <v>800</v>
      </c>
      <c r="G211" s="5">
        <f t="shared" si="23"/>
        <v>1.01</v>
      </c>
      <c r="H211" s="6" t="str">
        <f t="shared" si="18"/>
        <v>INSERT INTO public.coupon (plancode, age, "year", couponrate, benefittype, benefitrate, premiumrate) VALUES('EN60', 13, 59, 8, 'A',800, 1.01);</v>
      </c>
      <c r="I211" s="6" t="str">
        <f t="shared" si="19"/>
        <v>{"age":"13", "year":"59", "couponrate":"8", "benefittype":"A", "benefitrate":"800", "premiumrate":"1.01"}</v>
      </c>
      <c r="J211" s="6" t="str">
        <f t="shared" si="20"/>
        <v>,</v>
      </c>
    </row>
    <row r="212" spans="1:10">
      <c r="A212" s="4" t="str">
        <f>'EN60'!A$3</f>
        <v>EN60</v>
      </c>
      <c r="B212" s="4">
        <f t="shared" si="21"/>
        <v>13</v>
      </c>
      <c r="C212" s="4">
        <f t="shared" si="22"/>
        <v>60</v>
      </c>
      <c r="D212" s="4">
        <f t="shared" si="16"/>
        <v>8</v>
      </c>
      <c r="E212" s="4" t="s">
        <v>27</v>
      </c>
      <c r="F212" s="4">
        <f t="shared" si="17"/>
        <v>800</v>
      </c>
      <c r="G212" s="5">
        <f t="shared" si="23"/>
        <v>1.01</v>
      </c>
      <c r="H212" s="6" t="str">
        <f t="shared" si="18"/>
        <v>INSERT INTO public.coupon (plancode, age, "year", couponrate, benefittype, benefitrate, premiumrate) VALUES('EN60', 13, 60, 8, 'A',800, 1.01);</v>
      </c>
      <c r="I212" s="6" t="str">
        <f t="shared" si="19"/>
        <v>{"age":"13", "year":"60", "couponrate":"8", "benefittype":"A", "benefitrate":"800", "premiumrate":"1.01"}</v>
      </c>
      <c r="J212" s="6" t="str">
        <f t="shared" si="20"/>
        <v>,</v>
      </c>
    </row>
    <row r="213" spans="1:10">
      <c r="A213" s="4" t="str">
        <f>'EN60'!A$3</f>
        <v>EN60</v>
      </c>
      <c r="B213" s="4">
        <f t="shared" si="21"/>
        <v>13</v>
      </c>
      <c r="C213" s="4">
        <f t="shared" si="22"/>
        <v>61</v>
      </c>
      <c r="D213" s="4">
        <f t="shared" si="16"/>
        <v>8</v>
      </c>
      <c r="E213" s="4" t="s">
        <v>27</v>
      </c>
      <c r="F213" s="4">
        <f t="shared" si="17"/>
        <v>800</v>
      </c>
      <c r="G213" s="5">
        <f t="shared" si="23"/>
        <v>1.01</v>
      </c>
      <c r="H213" s="6" t="str">
        <f t="shared" si="18"/>
        <v>INSERT INTO public.coupon (plancode, age, "year", couponrate, benefittype, benefitrate, premiumrate) VALUES('EN60', 13, 61, 8, 'A',800, 1.01);</v>
      </c>
      <c r="I213" s="6" t="str">
        <f t="shared" si="19"/>
        <v>{"age":"13", "year":"61", "couponrate":"8", "benefittype":"A", "benefitrate":"800", "premiumrate":"1.01"}</v>
      </c>
      <c r="J213" s="6" t="str">
        <f t="shared" si="20"/>
        <v>,</v>
      </c>
    </row>
    <row r="214" spans="1:10">
      <c r="A214" s="4" t="str">
        <f>'EN60'!A$3</f>
        <v>EN60</v>
      </c>
      <c r="B214" s="4">
        <f t="shared" si="21"/>
        <v>13</v>
      </c>
      <c r="C214" s="4">
        <f t="shared" si="22"/>
        <v>62</v>
      </c>
      <c r="D214" s="4">
        <f t="shared" si="16"/>
        <v>8</v>
      </c>
      <c r="E214" s="4" t="s">
        <v>27</v>
      </c>
      <c r="F214" s="4">
        <f t="shared" si="17"/>
        <v>800</v>
      </c>
      <c r="G214" s="5">
        <f t="shared" si="23"/>
        <v>1.01</v>
      </c>
      <c r="H214" s="6" t="str">
        <f t="shared" si="18"/>
        <v>INSERT INTO public.coupon (plancode, age, "year", couponrate, benefittype, benefitrate, premiumrate) VALUES('EN60', 13, 62, 8, 'A',800, 1.01);</v>
      </c>
      <c r="I214" s="6" t="str">
        <f t="shared" si="19"/>
        <v>{"age":"13", "year":"62", "couponrate":"8", "benefittype":"A", "benefitrate":"800", "premiumrate":"1.01"}</v>
      </c>
      <c r="J214" s="6" t="str">
        <f t="shared" si="20"/>
        <v>,</v>
      </c>
    </row>
    <row r="215" spans="1:10">
      <c r="A215" s="4" t="str">
        <f>'EN60'!A$3</f>
        <v>EN60</v>
      </c>
      <c r="B215" s="4">
        <f t="shared" si="21"/>
        <v>13</v>
      </c>
      <c r="C215" s="4">
        <f t="shared" si="22"/>
        <v>63</v>
      </c>
      <c r="D215" s="4">
        <f t="shared" si="16"/>
        <v>8</v>
      </c>
      <c r="E215" s="4" t="s">
        <v>27</v>
      </c>
      <c r="F215" s="4">
        <f t="shared" si="17"/>
        <v>800</v>
      </c>
      <c r="G215" s="5">
        <f t="shared" si="23"/>
        <v>1.01</v>
      </c>
      <c r="H215" s="6" t="str">
        <f t="shared" si="18"/>
        <v>INSERT INTO public.coupon (plancode, age, "year", couponrate, benefittype, benefitrate, premiumrate) VALUES('EN60', 13, 63, 8, 'A',800, 1.01);</v>
      </c>
      <c r="I215" s="6" t="str">
        <f t="shared" si="19"/>
        <v>{"age":"13", "year":"63", "couponrate":"8", "benefittype":"A", "benefitrate":"800", "premiumrate":"1.01"}</v>
      </c>
      <c r="J215" s="6" t="str">
        <f t="shared" si="20"/>
        <v>,</v>
      </c>
    </row>
    <row r="216" spans="1:10">
      <c r="A216" s="4" t="str">
        <f>'EN60'!A$3</f>
        <v>EN60</v>
      </c>
      <c r="B216" s="4">
        <f t="shared" si="21"/>
        <v>13</v>
      </c>
      <c r="C216" s="4">
        <f t="shared" si="22"/>
        <v>64</v>
      </c>
      <c r="D216" s="4">
        <f t="shared" si="16"/>
        <v>8</v>
      </c>
      <c r="E216" s="4" t="s">
        <v>27</v>
      </c>
      <c r="F216" s="4">
        <f t="shared" si="17"/>
        <v>800</v>
      </c>
      <c r="G216" s="5">
        <f t="shared" si="23"/>
        <v>1.01</v>
      </c>
      <c r="H216" s="6" t="str">
        <f t="shared" si="18"/>
        <v>INSERT INTO public.coupon (plancode, age, "year", couponrate, benefittype, benefitrate, premiumrate) VALUES('EN60', 13, 64, 8, 'A',800, 1.01);</v>
      </c>
      <c r="I216" s="6" t="str">
        <f t="shared" si="19"/>
        <v>{"age":"13", "year":"64", "couponrate":"8", "benefittype":"A", "benefitrate":"800", "premiumrate":"1.01"}</v>
      </c>
      <c r="J216" s="6" t="str">
        <f t="shared" si="20"/>
        <v>,</v>
      </c>
    </row>
    <row r="217" spans="1:10">
      <c r="A217" s="4" t="str">
        <f>'EN60'!A$3</f>
        <v>EN60</v>
      </c>
      <c r="B217" s="4">
        <f t="shared" si="21"/>
        <v>13</v>
      </c>
      <c r="C217" s="4">
        <f t="shared" si="22"/>
        <v>65</v>
      </c>
      <c r="D217" s="4">
        <f t="shared" si="16"/>
        <v>8</v>
      </c>
      <c r="E217" s="4" t="s">
        <v>27</v>
      </c>
      <c r="F217" s="4">
        <f t="shared" si="17"/>
        <v>800</v>
      </c>
      <c r="G217" s="5">
        <f t="shared" si="23"/>
        <v>1.01</v>
      </c>
      <c r="H217" s="6" t="str">
        <f t="shared" si="18"/>
        <v>INSERT INTO public.coupon (plancode, age, "year", couponrate, benefittype, benefitrate, premiumrate) VALUES('EN60', 13, 65, 8, 'A',800, 1.01);</v>
      </c>
      <c r="I217" s="6" t="str">
        <f t="shared" si="19"/>
        <v>{"age":"13", "year":"65", "couponrate":"8", "benefittype":"A", "benefitrate":"800", "premiumrate":"1.01"}</v>
      </c>
      <c r="J217" s="6" t="str">
        <f t="shared" si="20"/>
        <v>,</v>
      </c>
    </row>
    <row r="218" spans="1:10">
      <c r="A218" s="4" t="str">
        <f>'EN60'!A$3</f>
        <v>EN60</v>
      </c>
      <c r="B218" s="4">
        <f t="shared" si="21"/>
        <v>13</v>
      </c>
      <c r="C218" s="4">
        <f t="shared" si="22"/>
        <v>66</v>
      </c>
      <c r="D218" s="4">
        <f t="shared" si="16"/>
        <v>8</v>
      </c>
      <c r="E218" s="4" t="s">
        <v>27</v>
      </c>
      <c r="F218" s="4">
        <f t="shared" si="17"/>
        <v>800</v>
      </c>
      <c r="G218" s="5">
        <f t="shared" si="23"/>
        <v>1.01</v>
      </c>
      <c r="H218" s="6" t="str">
        <f t="shared" si="18"/>
        <v>INSERT INTO public.coupon (plancode, age, "year", couponrate, benefittype, benefitrate, premiumrate) VALUES('EN60', 13, 66, 8, 'A',800, 1.01);</v>
      </c>
      <c r="I218" s="6" t="str">
        <f t="shared" si="19"/>
        <v>{"age":"13", "year":"66", "couponrate":"8", "benefittype":"A", "benefitrate":"800", "premiumrate":"1.01"}</v>
      </c>
      <c r="J218" s="6" t="str">
        <f t="shared" si="20"/>
        <v>,</v>
      </c>
    </row>
    <row r="219" spans="1:10">
      <c r="A219" s="4" t="str">
        <f>'EN60'!A$3</f>
        <v>EN60</v>
      </c>
      <c r="B219" s="4">
        <f t="shared" si="21"/>
        <v>13</v>
      </c>
      <c r="C219" s="4">
        <f t="shared" si="22"/>
        <v>67</v>
      </c>
      <c r="D219" s="4">
        <f t="shared" si="16"/>
        <v>0</v>
      </c>
      <c r="E219" s="4" t="s">
        <v>27</v>
      </c>
      <c r="F219" s="4">
        <f t="shared" si="17"/>
        <v>800</v>
      </c>
      <c r="G219" s="5">
        <f t="shared" si="23"/>
        <v>1.01</v>
      </c>
      <c r="H219" s="6" t="str">
        <f t="shared" si="18"/>
        <v>INSERT INTO public.coupon (plancode, age, "year", couponrate, benefittype, benefitrate, premiumrate) VALUES('EN60', 13, 67, 0, 'A',800, 1.01);</v>
      </c>
      <c r="I219" s="6" t="str">
        <f t="shared" si="19"/>
        <v>{"age":"13", "year":"67", "couponrate":"0", "benefittype":"A", "benefitrate":"800", "premiumrate":"1.01"}</v>
      </c>
    </row>
    <row r="220" spans="1:10">
      <c r="C220" s="6"/>
      <c r="I220" s="6" t="s">
        <v>28</v>
      </c>
    </row>
    <row r="221" spans="1:10">
      <c r="A221" s="3" t="s">
        <v>2</v>
      </c>
      <c r="B221" s="3" t="s">
        <v>23</v>
      </c>
      <c r="C221" s="3" t="s">
        <v>24</v>
      </c>
      <c r="D221" s="3" t="s">
        <v>25</v>
      </c>
      <c r="E221" s="3" t="s">
        <v>8</v>
      </c>
      <c r="F221" s="3" t="s">
        <v>26</v>
      </c>
      <c r="G221" s="3" t="s">
        <v>4</v>
      </c>
      <c r="I221" s="6" t="str">
        <f>"[{""plancode"":"""&amp;A222&amp;""",""returncash"":"""&amp;B$7&amp;""",""ytable"":"""&amp;C$7&amp;""",""maturerate"":"""&amp;B$3&amp;""",""maturepmrate"":"""&amp;C$3&amp;""",""coupon"":["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222" spans="1:10">
      <c r="A222" s="4" t="str">
        <f>'EN60'!A$3</f>
        <v>EN60</v>
      </c>
      <c r="B222" s="8">
        <v>14</v>
      </c>
      <c r="C222" s="4">
        <v>1</v>
      </c>
      <c r="D222" s="4">
        <f t="shared" ref="D222:D287" si="24">IF(C222+B222=80,0,8)</f>
        <v>8</v>
      </c>
      <c r="E222" s="4" t="s">
        <v>27</v>
      </c>
      <c r="F222" s="4">
        <f t="shared" ref="F222:F287" si="25">IF(C222&gt;7, 800, C222*100)</f>
        <v>100</v>
      </c>
      <c r="G222" s="5">
        <f>'EN60'!C$3</f>
        <v>1.01</v>
      </c>
      <c r="H222" s="6" t="str">
        <f t="shared" ref="H222:H287" si="26">"INSERT INTO public.coupon ("&amp;A$11&amp;", "&amp;B$11&amp;", """&amp;C$11&amp;""", "&amp;D$11&amp;", "&amp;E$11&amp;", "&amp;F$11&amp;", "&amp;G$11&amp;") VALUES('"&amp;A222&amp;"', "&amp;B222&amp;", "&amp;C222&amp;", "&amp;D222&amp;", '"&amp;E222&amp;"',"&amp;F222&amp;", "&amp;G222&amp;");"</f>
        <v>INSERT INTO public.coupon (plancode, age, "year", couponrate, benefittype, benefitrate, premiumrate) VALUES('EN60', 14, 1, 8, 'A',100, 1.01);</v>
      </c>
      <c r="I222" s="6" t="str">
        <f t="shared" ref="I222:I287" si="27">"{""age"":"""&amp;B222&amp;""", ""year"":"""&amp;C222&amp;""", ""couponrate"":"""&amp;D222&amp;""", ""benefittype"":"""&amp;E222&amp;""", ""benefitrate"":"""&amp;F222&amp;""", """&amp;G$11&amp;""":"""&amp;G222&amp;"""}"</f>
        <v>{"age":"14", "year":"1", "couponrate":"8", "benefittype":"A", "benefitrate":"100", "premiumrate":"1.01"}</v>
      </c>
      <c r="J222" s="6" t="str">
        <f t="shared" ref="J222:J286" si="28">IF(OR(I223="]", I222="[", I222="]"), "", ",")</f>
        <v>,</v>
      </c>
    </row>
    <row r="223" spans="1:10">
      <c r="A223" s="4" t="str">
        <f>'EN60'!A$3</f>
        <v>EN60</v>
      </c>
      <c r="B223" s="4">
        <f t="shared" ref="B223:B287" si="29">B222</f>
        <v>14</v>
      </c>
      <c r="C223" s="4">
        <f t="shared" ref="C223:C287" si="30">C222+1</f>
        <v>2</v>
      </c>
      <c r="D223" s="4">
        <f t="shared" si="24"/>
        <v>8</v>
      </c>
      <c r="E223" s="4" t="s">
        <v>27</v>
      </c>
      <c r="F223" s="4">
        <f t="shared" si="25"/>
        <v>200</v>
      </c>
      <c r="G223" s="5">
        <f t="shared" ref="G223:G287" si="31">G222</f>
        <v>1.01</v>
      </c>
      <c r="H223" s="6" t="str">
        <f t="shared" si="26"/>
        <v>INSERT INTO public.coupon (plancode, age, "year", couponrate, benefittype, benefitrate, premiumrate) VALUES('EN60', 14, 2, 8, 'A',200, 1.01);</v>
      </c>
      <c r="I223" s="6" t="str">
        <f t="shared" si="27"/>
        <v>{"age":"14", "year":"2", "couponrate":"8", "benefittype":"A", "benefitrate":"200", "premiumrate":"1.01"}</v>
      </c>
      <c r="J223" s="6" t="str">
        <f t="shared" si="28"/>
        <v>,</v>
      </c>
    </row>
    <row r="224" spans="1:10">
      <c r="A224" s="4" t="str">
        <f>'EN60'!A$3</f>
        <v>EN60</v>
      </c>
      <c r="B224" s="4">
        <f t="shared" si="29"/>
        <v>14</v>
      </c>
      <c r="C224" s="4">
        <f t="shared" si="30"/>
        <v>3</v>
      </c>
      <c r="D224" s="4">
        <f t="shared" si="24"/>
        <v>8</v>
      </c>
      <c r="E224" s="4" t="s">
        <v>27</v>
      </c>
      <c r="F224" s="4">
        <f t="shared" si="25"/>
        <v>300</v>
      </c>
      <c r="G224" s="5">
        <f t="shared" si="31"/>
        <v>1.01</v>
      </c>
      <c r="H224" s="6" t="str">
        <f t="shared" si="26"/>
        <v>INSERT INTO public.coupon (plancode, age, "year", couponrate, benefittype, benefitrate, premiumrate) VALUES('EN60', 14, 3, 8, 'A',300, 1.01);</v>
      </c>
      <c r="I224" s="6" t="str">
        <f t="shared" si="27"/>
        <v>{"age":"14", "year":"3", "couponrate":"8", "benefittype":"A", "benefitrate":"300", "premiumrate":"1.01"}</v>
      </c>
      <c r="J224" s="6" t="str">
        <f t="shared" si="28"/>
        <v>,</v>
      </c>
    </row>
    <row r="225" spans="1:10">
      <c r="A225" s="4" t="str">
        <f>'EN60'!A$3</f>
        <v>EN60</v>
      </c>
      <c r="B225" s="4">
        <f t="shared" si="29"/>
        <v>14</v>
      </c>
      <c r="C225" s="4">
        <f t="shared" si="30"/>
        <v>4</v>
      </c>
      <c r="D225" s="4">
        <f t="shared" si="24"/>
        <v>8</v>
      </c>
      <c r="E225" s="4" t="s">
        <v>27</v>
      </c>
      <c r="F225" s="4">
        <f t="shared" si="25"/>
        <v>400</v>
      </c>
      <c r="G225" s="5">
        <f t="shared" si="31"/>
        <v>1.01</v>
      </c>
      <c r="H225" s="6" t="str">
        <f t="shared" si="26"/>
        <v>INSERT INTO public.coupon (plancode, age, "year", couponrate, benefittype, benefitrate, premiumrate) VALUES('EN60', 14, 4, 8, 'A',400, 1.01);</v>
      </c>
      <c r="I225" s="6" t="str">
        <f t="shared" si="27"/>
        <v>{"age":"14", "year":"4", "couponrate":"8", "benefittype":"A", "benefitrate":"400", "premiumrate":"1.01"}</v>
      </c>
      <c r="J225" s="6" t="str">
        <f t="shared" si="28"/>
        <v>,</v>
      </c>
    </row>
    <row r="226" spans="1:10">
      <c r="A226" s="4" t="str">
        <f>'EN60'!A$3</f>
        <v>EN60</v>
      </c>
      <c r="B226" s="4">
        <f t="shared" si="29"/>
        <v>14</v>
      </c>
      <c r="C226" s="4">
        <f t="shared" si="30"/>
        <v>5</v>
      </c>
      <c r="D226" s="4">
        <f t="shared" si="24"/>
        <v>8</v>
      </c>
      <c r="E226" s="4" t="s">
        <v>27</v>
      </c>
      <c r="F226" s="4">
        <f t="shared" si="25"/>
        <v>500</v>
      </c>
      <c r="G226" s="5">
        <f t="shared" si="31"/>
        <v>1.01</v>
      </c>
      <c r="H226" s="6" t="str">
        <f t="shared" si="26"/>
        <v>INSERT INTO public.coupon (plancode, age, "year", couponrate, benefittype, benefitrate, premiumrate) VALUES('EN60', 14, 5, 8, 'A',500, 1.01);</v>
      </c>
      <c r="I226" s="6" t="str">
        <f t="shared" si="27"/>
        <v>{"age":"14", "year":"5", "couponrate":"8", "benefittype":"A", "benefitrate":"500", "premiumrate":"1.01"}</v>
      </c>
      <c r="J226" s="6" t="str">
        <f t="shared" si="28"/>
        <v>,</v>
      </c>
    </row>
    <row r="227" spans="1:10">
      <c r="A227" s="4" t="str">
        <f>'EN60'!A$3</f>
        <v>EN60</v>
      </c>
      <c r="B227" s="4">
        <f t="shared" si="29"/>
        <v>14</v>
      </c>
      <c r="C227" s="4">
        <f t="shared" si="30"/>
        <v>6</v>
      </c>
      <c r="D227" s="4">
        <f t="shared" si="24"/>
        <v>8</v>
      </c>
      <c r="E227" s="4" t="s">
        <v>27</v>
      </c>
      <c r="F227" s="4">
        <f t="shared" si="25"/>
        <v>600</v>
      </c>
      <c r="G227" s="5">
        <f t="shared" si="31"/>
        <v>1.01</v>
      </c>
      <c r="H227" s="6" t="str">
        <f t="shared" si="26"/>
        <v>INSERT INTO public.coupon (plancode, age, "year", couponrate, benefittype, benefitrate, premiumrate) VALUES('EN60', 14, 6, 8, 'A',600, 1.01);</v>
      </c>
      <c r="I227" s="6" t="str">
        <f t="shared" si="27"/>
        <v>{"age":"14", "year":"6", "couponrate":"8", "benefittype":"A", "benefitrate":"600", "premiumrate":"1.01"}</v>
      </c>
      <c r="J227" s="6" t="str">
        <f t="shared" si="28"/>
        <v>,</v>
      </c>
    </row>
    <row r="228" spans="1:10">
      <c r="A228" s="4" t="str">
        <f>'EN60'!A$3</f>
        <v>EN60</v>
      </c>
      <c r="B228" s="4">
        <f t="shared" si="29"/>
        <v>14</v>
      </c>
      <c r="C228" s="4">
        <f t="shared" si="30"/>
        <v>7</v>
      </c>
      <c r="D228" s="4">
        <f t="shared" si="24"/>
        <v>8</v>
      </c>
      <c r="E228" s="4" t="s">
        <v>27</v>
      </c>
      <c r="F228" s="4">
        <f t="shared" si="25"/>
        <v>700</v>
      </c>
      <c r="G228" s="5">
        <f t="shared" si="31"/>
        <v>1.01</v>
      </c>
      <c r="H228" s="6" t="str">
        <f t="shared" si="26"/>
        <v>INSERT INTO public.coupon (plancode, age, "year", couponrate, benefittype, benefitrate, premiumrate) VALUES('EN60', 14, 7, 8, 'A',700, 1.01);</v>
      </c>
      <c r="I228" s="6" t="str">
        <f t="shared" si="27"/>
        <v>{"age":"14", "year":"7", "couponrate":"8", "benefittype":"A", "benefitrate":"700", "premiumrate":"1.01"}</v>
      </c>
      <c r="J228" s="6" t="str">
        <f t="shared" si="28"/>
        <v>,</v>
      </c>
    </row>
    <row r="229" spans="1:10">
      <c r="A229" s="4" t="str">
        <f>'EN60'!A$3</f>
        <v>EN60</v>
      </c>
      <c r="B229" s="4">
        <f t="shared" si="29"/>
        <v>14</v>
      </c>
      <c r="C229" s="4">
        <f t="shared" si="30"/>
        <v>8</v>
      </c>
      <c r="D229" s="4">
        <f t="shared" si="24"/>
        <v>8</v>
      </c>
      <c r="E229" s="4" t="s">
        <v>27</v>
      </c>
      <c r="F229" s="4">
        <f t="shared" si="25"/>
        <v>800</v>
      </c>
      <c r="G229" s="5">
        <f t="shared" si="31"/>
        <v>1.01</v>
      </c>
      <c r="H229" s="6" t="str">
        <f t="shared" si="26"/>
        <v>INSERT INTO public.coupon (plancode, age, "year", couponrate, benefittype, benefitrate, premiumrate) VALUES('EN60', 14, 8, 8, 'A',800, 1.01);</v>
      </c>
      <c r="I229" s="6" t="str">
        <f t="shared" si="27"/>
        <v>{"age":"14", "year":"8", "couponrate":"8", "benefittype":"A", "benefitrate":"800", "premiumrate":"1.01"}</v>
      </c>
      <c r="J229" s="6" t="str">
        <f t="shared" si="28"/>
        <v>,</v>
      </c>
    </row>
    <row r="230" spans="1:10">
      <c r="A230" s="4" t="str">
        <f>'EN60'!A$3</f>
        <v>EN60</v>
      </c>
      <c r="B230" s="4">
        <f t="shared" si="29"/>
        <v>14</v>
      </c>
      <c r="C230" s="4">
        <f t="shared" si="30"/>
        <v>9</v>
      </c>
      <c r="D230" s="4">
        <f t="shared" si="24"/>
        <v>8</v>
      </c>
      <c r="E230" s="4" t="s">
        <v>27</v>
      </c>
      <c r="F230" s="4">
        <f t="shared" si="25"/>
        <v>800</v>
      </c>
      <c r="G230" s="5">
        <f t="shared" si="31"/>
        <v>1.01</v>
      </c>
      <c r="H230" s="6" t="str">
        <f t="shared" si="26"/>
        <v>INSERT INTO public.coupon (plancode, age, "year", couponrate, benefittype, benefitrate, premiumrate) VALUES('EN60', 14, 9, 8, 'A',800, 1.01);</v>
      </c>
      <c r="I230" s="6" t="str">
        <f t="shared" si="27"/>
        <v>{"age":"14", "year":"9", "couponrate":"8", "benefittype":"A", "benefitrate":"800", "premiumrate":"1.01"}</v>
      </c>
      <c r="J230" s="6" t="str">
        <f t="shared" si="28"/>
        <v>,</v>
      </c>
    </row>
    <row r="231" spans="1:10">
      <c r="A231" s="4" t="str">
        <f>'EN60'!A$3</f>
        <v>EN60</v>
      </c>
      <c r="B231" s="4">
        <f t="shared" si="29"/>
        <v>14</v>
      </c>
      <c r="C231" s="4">
        <f t="shared" si="30"/>
        <v>10</v>
      </c>
      <c r="D231" s="4">
        <f t="shared" si="24"/>
        <v>8</v>
      </c>
      <c r="E231" s="4" t="s">
        <v>27</v>
      </c>
      <c r="F231" s="4">
        <f t="shared" si="25"/>
        <v>800</v>
      </c>
      <c r="G231" s="5">
        <f t="shared" si="31"/>
        <v>1.01</v>
      </c>
      <c r="H231" s="6" t="str">
        <f t="shared" si="26"/>
        <v>INSERT INTO public.coupon (plancode, age, "year", couponrate, benefittype, benefitrate, premiumrate) VALUES('EN60', 14, 10, 8, 'A',800, 1.01);</v>
      </c>
      <c r="I231" s="6" t="str">
        <f t="shared" si="27"/>
        <v>{"age":"14", "year":"10", "couponrate":"8", "benefittype":"A", "benefitrate":"800", "premiumrate":"1.01"}</v>
      </c>
      <c r="J231" s="6" t="str">
        <f t="shared" si="28"/>
        <v>,</v>
      </c>
    </row>
    <row r="232" spans="1:10">
      <c r="A232" s="4" t="str">
        <f>'EN60'!A$3</f>
        <v>EN60</v>
      </c>
      <c r="B232" s="4">
        <f t="shared" si="29"/>
        <v>14</v>
      </c>
      <c r="C232" s="4">
        <f t="shared" si="30"/>
        <v>11</v>
      </c>
      <c r="D232" s="4">
        <f t="shared" si="24"/>
        <v>8</v>
      </c>
      <c r="E232" s="4" t="s">
        <v>27</v>
      </c>
      <c r="F232" s="4">
        <f t="shared" si="25"/>
        <v>800</v>
      </c>
      <c r="G232" s="5">
        <f t="shared" si="31"/>
        <v>1.01</v>
      </c>
      <c r="H232" s="6" t="str">
        <f t="shared" si="26"/>
        <v>INSERT INTO public.coupon (plancode, age, "year", couponrate, benefittype, benefitrate, premiumrate) VALUES('EN60', 14, 11, 8, 'A',800, 1.01);</v>
      </c>
      <c r="I232" s="6" t="str">
        <f t="shared" si="27"/>
        <v>{"age":"14", "year":"11", "couponrate":"8", "benefittype":"A", "benefitrate":"800", "premiumrate":"1.01"}</v>
      </c>
      <c r="J232" s="6" t="str">
        <f t="shared" si="28"/>
        <v>,</v>
      </c>
    </row>
    <row r="233" spans="1:10">
      <c r="A233" s="4" t="str">
        <f>'EN60'!A$3</f>
        <v>EN60</v>
      </c>
      <c r="B233" s="4">
        <f t="shared" si="29"/>
        <v>14</v>
      </c>
      <c r="C233" s="4">
        <f t="shared" si="30"/>
        <v>12</v>
      </c>
      <c r="D233" s="4">
        <f t="shared" si="24"/>
        <v>8</v>
      </c>
      <c r="E233" s="4" t="s">
        <v>27</v>
      </c>
      <c r="F233" s="4">
        <f t="shared" si="25"/>
        <v>800</v>
      </c>
      <c r="G233" s="5">
        <f t="shared" si="31"/>
        <v>1.01</v>
      </c>
      <c r="H233" s="6" t="str">
        <f t="shared" si="26"/>
        <v>INSERT INTO public.coupon (plancode, age, "year", couponrate, benefittype, benefitrate, premiumrate) VALUES('EN60', 14, 12, 8, 'A',800, 1.01);</v>
      </c>
      <c r="I233" s="6" t="str">
        <f t="shared" si="27"/>
        <v>{"age":"14", "year":"12", "couponrate":"8", "benefittype":"A", "benefitrate":"800", "premiumrate":"1.01"}</v>
      </c>
      <c r="J233" s="6" t="str">
        <f t="shared" si="28"/>
        <v>,</v>
      </c>
    </row>
    <row r="234" spans="1:10">
      <c r="A234" s="4" t="str">
        <f>'EN60'!A$3</f>
        <v>EN60</v>
      </c>
      <c r="B234" s="4">
        <f t="shared" si="29"/>
        <v>14</v>
      </c>
      <c r="C234" s="4">
        <f t="shared" si="30"/>
        <v>13</v>
      </c>
      <c r="D234" s="4">
        <f t="shared" si="24"/>
        <v>8</v>
      </c>
      <c r="E234" s="4" t="s">
        <v>27</v>
      </c>
      <c r="F234" s="4">
        <f t="shared" si="25"/>
        <v>800</v>
      </c>
      <c r="G234" s="5">
        <f t="shared" si="31"/>
        <v>1.01</v>
      </c>
      <c r="H234" s="6" t="str">
        <f t="shared" si="26"/>
        <v>INSERT INTO public.coupon (plancode, age, "year", couponrate, benefittype, benefitrate, premiumrate) VALUES('EN60', 14, 13, 8, 'A',800, 1.01);</v>
      </c>
      <c r="I234" s="6" t="str">
        <f t="shared" si="27"/>
        <v>{"age":"14", "year":"13", "couponrate":"8", "benefittype":"A", "benefitrate":"800", "premiumrate":"1.01"}</v>
      </c>
      <c r="J234" s="6" t="str">
        <f t="shared" si="28"/>
        <v>,</v>
      </c>
    </row>
    <row r="235" spans="1:10">
      <c r="A235" s="4" t="str">
        <f>'EN60'!A$3</f>
        <v>EN60</v>
      </c>
      <c r="B235" s="4">
        <f t="shared" si="29"/>
        <v>14</v>
      </c>
      <c r="C235" s="4">
        <f t="shared" si="30"/>
        <v>14</v>
      </c>
      <c r="D235" s="4">
        <f t="shared" si="24"/>
        <v>8</v>
      </c>
      <c r="E235" s="4" t="s">
        <v>27</v>
      </c>
      <c r="F235" s="4">
        <f t="shared" si="25"/>
        <v>800</v>
      </c>
      <c r="G235" s="5">
        <f t="shared" si="31"/>
        <v>1.01</v>
      </c>
      <c r="H235" s="6" t="str">
        <f t="shared" si="26"/>
        <v>INSERT INTO public.coupon (plancode, age, "year", couponrate, benefittype, benefitrate, premiumrate) VALUES('EN60', 14, 14, 8, 'A',800, 1.01);</v>
      </c>
      <c r="I235" s="6" t="str">
        <f t="shared" si="27"/>
        <v>{"age":"14", "year":"14", "couponrate":"8", "benefittype":"A", "benefitrate":"800", "premiumrate":"1.01"}</v>
      </c>
      <c r="J235" s="6" t="str">
        <f t="shared" si="28"/>
        <v>,</v>
      </c>
    </row>
    <row r="236" spans="1:10">
      <c r="A236" s="4" t="str">
        <f>'EN60'!A$3</f>
        <v>EN60</v>
      </c>
      <c r="B236" s="4">
        <f t="shared" si="29"/>
        <v>14</v>
      </c>
      <c r="C236" s="4">
        <f t="shared" si="30"/>
        <v>15</v>
      </c>
      <c r="D236" s="4">
        <f t="shared" si="24"/>
        <v>8</v>
      </c>
      <c r="E236" s="4" t="s">
        <v>27</v>
      </c>
      <c r="F236" s="4">
        <f t="shared" si="25"/>
        <v>800</v>
      </c>
      <c r="G236" s="5">
        <f t="shared" si="31"/>
        <v>1.01</v>
      </c>
      <c r="H236" s="6" t="str">
        <f t="shared" si="26"/>
        <v>INSERT INTO public.coupon (plancode, age, "year", couponrate, benefittype, benefitrate, premiumrate) VALUES('EN60', 14, 15, 8, 'A',800, 1.01);</v>
      </c>
      <c r="I236" s="6" t="str">
        <f t="shared" si="27"/>
        <v>{"age":"14", "year":"15", "couponrate":"8", "benefittype":"A", "benefitrate":"800", "premiumrate":"1.01"}</v>
      </c>
      <c r="J236" s="6" t="str">
        <f t="shared" si="28"/>
        <v>,</v>
      </c>
    </row>
    <row r="237" spans="1:10">
      <c r="A237" s="4" t="str">
        <f>'EN60'!A$3</f>
        <v>EN60</v>
      </c>
      <c r="B237" s="4">
        <f t="shared" si="29"/>
        <v>14</v>
      </c>
      <c r="C237" s="4">
        <f t="shared" si="30"/>
        <v>16</v>
      </c>
      <c r="D237" s="4">
        <f t="shared" si="24"/>
        <v>8</v>
      </c>
      <c r="E237" s="4" t="s">
        <v>27</v>
      </c>
      <c r="F237" s="4">
        <f t="shared" si="25"/>
        <v>800</v>
      </c>
      <c r="G237" s="5">
        <f t="shared" si="31"/>
        <v>1.01</v>
      </c>
      <c r="H237" s="6" t="str">
        <f t="shared" si="26"/>
        <v>INSERT INTO public.coupon (plancode, age, "year", couponrate, benefittype, benefitrate, premiumrate) VALUES('EN60', 14, 16, 8, 'A',800, 1.01);</v>
      </c>
      <c r="I237" s="6" t="str">
        <f t="shared" si="27"/>
        <v>{"age":"14", "year":"16", "couponrate":"8", "benefittype":"A", "benefitrate":"800", "premiumrate":"1.01"}</v>
      </c>
      <c r="J237" s="6" t="str">
        <f t="shared" si="28"/>
        <v>,</v>
      </c>
    </row>
    <row r="238" spans="1:10">
      <c r="A238" s="4" t="str">
        <f>'EN60'!A$3</f>
        <v>EN60</v>
      </c>
      <c r="B238" s="4">
        <f t="shared" si="29"/>
        <v>14</v>
      </c>
      <c r="C238" s="4">
        <f t="shared" si="30"/>
        <v>17</v>
      </c>
      <c r="D238" s="4">
        <f t="shared" si="24"/>
        <v>8</v>
      </c>
      <c r="E238" s="4" t="s">
        <v>27</v>
      </c>
      <c r="F238" s="4">
        <f t="shared" si="25"/>
        <v>800</v>
      </c>
      <c r="G238" s="5">
        <f t="shared" si="31"/>
        <v>1.01</v>
      </c>
      <c r="H238" s="6" t="str">
        <f t="shared" si="26"/>
        <v>INSERT INTO public.coupon (plancode, age, "year", couponrate, benefittype, benefitrate, premiumrate) VALUES('EN60', 14, 17, 8, 'A',800, 1.01);</v>
      </c>
      <c r="I238" s="6" t="str">
        <f t="shared" si="27"/>
        <v>{"age":"14", "year":"17", "couponrate":"8", "benefittype":"A", "benefitrate":"800", "premiumrate":"1.01"}</v>
      </c>
      <c r="J238" s="6" t="str">
        <f t="shared" si="28"/>
        <v>,</v>
      </c>
    </row>
    <row r="239" spans="1:10">
      <c r="A239" s="4" t="str">
        <f>'EN60'!A$3</f>
        <v>EN60</v>
      </c>
      <c r="B239" s="4">
        <f t="shared" si="29"/>
        <v>14</v>
      </c>
      <c r="C239" s="4">
        <f t="shared" si="30"/>
        <v>18</v>
      </c>
      <c r="D239" s="4">
        <f t="shared" si="24"/>
        <v>8</v>
      </c>
      <c r="E239" s="4" t="s">
        <v>27</v>
      </c>
      <c r="F239" s="4">
        <f t="shared" si="25"/>
        <v>800</v>
      </c>
      <c r="G239" s="5">
        <f t="shared" si="31"/>
        <v>1.01</v>
      </c>
      <c r="H239" s="6" t="str">
        <f t="shared" si="26"/>
        <v>INSERT INTO public.coupon (plancode, age, "year", couponrate, benefittype, benefitrate, premiumrate) VALUES('EN60', 14, 18, 8, 'A',800, 1.01);</v>
      </c>
      <c r="I239" s="6" t="str">
        <f t="shared" si="27"/>
        <v>{"age":"14", "year":"18", "couponrate":"8", "benefittype":"A", "benefitrate":"800", "premiumrate":"1.01"}</v>
      </c>
      <c r="J239" s="6" t="str">
        <f t="shared" si="28"/>
        <v>,</v>
      </c>
    </row>
    <row r="240" spans="1:10">
      <c r="A240" s="4" t="str">
        <f>'EN60'!A$3</f>
        <v>EN60</v>
      </c>
      <c r="B240" s="4">
        <f t="shared" si="29"/>
        <v>14</v>
      </c>
      <c r="C240" s="4">
        <f t="shared" si="30"/>
        <v>19</v>
      </c>
      <c r="D240" s="4">
        <f t="shared" si="24"/>
        <v>8</v>
      </c>
      <c r="E240" s="4" t="s">
        <v>27</v>
      </c>
      <c r="F240" s="4">
        <f t="shared" si="25"/>
        <v>800</v>
      </c>
      <c r="G240" s="5">
        <f t="shared" si="31"/>
        <v>1.01</v>
      </c>
      <c r="H240" s="6" t="str">
        <f t="shared" si="26"/>
        <v>INSERT INTO public.coupon (plancode, age, "year", couponrate, benefittype, benefitrate, premiumrate) VALUES('EN60', 14, 19, 8, 'A',800, 1.01);</v>
      </c>
      <c r="I240" s="6" t="str">
        <f t="shared" si="27"/>
        <v>{"age":"14", "year":"19", "couponrate":"8", "benefittype":"A", "benefitrate":"800", "premiumrate":"1.01"}</v>
      </c>
      <c r="J240" s="6" t="str">
        <f t="shared" si="28"/>
        <v>,</v>
      </c>
    </row>
    <row r="241" spans="1:10">
      <c r="A241" s="4" t="str">
        <f>'EN60'!A$3</f>
        <v>EN60</v>
      </c>
      <c r="B241" s="4">
        <f t="shared" si="29"/>
        <v>14</v>
      </c>
      <c r="C241" s="4">
        <f t="shared" si="30"/>
        <v>20</v>
      </c>
      <c r="D241" s="4">
        <f t="shared" si="24"/>
        <v>8</v>
      </c>
      <c r="E241" s="4" t="s">
        <v>27</v>
      </c>
      <c r="F241" s="4">
        <f t="shared" si="25"/>
        <v>800</v>
      </c>
      <c r="G241" s="5">
        <f t="shared" si="31"/>
        <v>1.01</v>
      </c>
      <c r="H241" s="6" t="str">
        <f t="shared" si="26"/>
        <v>INSERT INTO public.coupon (plancode, age, "year", couponrate, benefittype, benefitrate, premiumrate) VALUES('EN60', 14, 20, 8, 'A',800, 1.01);</v>
      </c>
      <c r="I241" s="6" t="str">
        <f t="shared" si="27"/>
        <v>{"age":"14", "year":"20", "couponrate":"8", "benefittype":"A", "benefitrate":"800", "premiumrate":"1.01"}</v>
      </c>
      <c r="J241" s="6" t="str">
        <f t="shared" si="28"/>
        <v>,</v>
      </c>
    </row>
    <row r="242" spans="1:10">
      <c r="A242" s="4" t="str">
        <f>'EN60'!A$3</f>
        <v>EN60</v>
      </c>
      <c r="B242" s="4">
        <f t="shared" si="29"/>
        <v>14</v>
      </c>
      <c r="C242" s="4">
        <f t="shared" si="30"/>
        <v>21</v>
      </c>
      <c r="D242" s="4">
        <f t="shared" si="24"/>
        <v>8</v>
      </c>
      <c r="E242" s="4" t="s">
        <v>27</v>
      </c>
      <c r="F242" s="4">
        <f t="shared" si="25"/>
        <v>800</v>
      </c>
      <c r="G242" s="5">
        <f t="shared" si="31"/>
        <v>1.01</v>
      </c>
      <c r="H242" s="6" t="str">
        <f t="shared" si="26"/>
        <v>INSERT INTO public.coupon (plancode, age, "year", couponrate, benefittype, benefitrate, premiumrate) VALUES('EN60', 14, 21, 8, 'A',800, 1.01);</v>
      </c>
      <c r="I242" s="6" t="str">
        <f t="shared" si="27"/>
        <v>{"age":"14", "year":"21", "couponrate":"8", "benefittype":"A", "benefitrate":"800", "premiumrate":"1.01"}</v>
      </c>
      <c r="J242" s="6" t="str">
        <f t="shared" si="28"/>
        <v>,</v>
      </c>
    </row>
    <row r="243" spans="1:10">
      <c r="A243" s="4" t="str">
        <f>'EN60'!A$3</f>
        <v>EN60</v>
      </c>
      <c r="B243" s="4">
        <f t="shared" si="29"/>
        <v>14</v>
      </c>
      <c r="C243" s="4">
        <f t="shared" si="30"/>
        <v>22</v>
      </c>
      <c r="D243" s="4">
        <f t="shared" si="24"/>
        <v>8</v>
      </c>
      <c r="E243" s="4" t="s">
        <v>27</v>
      </c>
      <c r="F243" s="4">
        <f t="shared" si="25"/>
        <v>800</v>
      </c>
      <c r="G243" s="5">
        <f t="shared" si="31"/>
        <v>1.01</v>
      </c>
      <c r="H243" s="6" t="str">
        <f t="shared" si="26"/>
        <v>INSERT INTO public.coupon (plancode, age, "year", couponrate, benefittype, benefitrate, premiumrate) VALUES('EN60', 14, 22, 8, 'A',800, 1.01);</v>
      </c>
      <c r="I243" s="6" t="str">
        <f t="shared" si="27"/>
        <v>{"age":"14", "year":"22", "couponrate":"8", "benefittype":"A", "benefitrate":"800", "premiumrate":"1.01"}</v>
      </c>
      <c r="J243" s="6" t="str">
        <f t="shared" si="28"/>
        <v>,</v>
      </c>
    </row>
    <row r="244" spans="1:10">
      <c r="A244" s="4" t="str">
        <f>'EN60'!A$3</f>
        <v>EN60</v>
      </c>
      <c r="B244" s="4">
        <f t="shared" si="29"/>
        <v>14</v>
      </c>
      <c r="C244" s="4">
        <f t="shared" si="30"/>
        <v>23</v>
      </c>
      <c r="D244" s="4">
        <f t="shared" si="24"/>
        <v>8</v>
      </c>
      <c r="E244" s="4" t="s">
        <v>27</v>
      </c>
      <c r="F244" s="4">
        <f t="shared" si="25"/>
        <v>800</v>
      </c>
      <c r="G244" s="5">
        <f t="shared" si="31"/>
        <v>1.01</v>
      </c>
      <c r="H244" s="6" t="str">
        <f t="shared" si="26"/>
        <v>INSERT INTO public.coupon (plancode, age, "year", couponrate, benefittype, benefitrate, premiumrate) VALUES('EN60', 14, 23, 8, 'A',800, 1.01);</v>
      </c>
      <c r="I244" s="6" t="str">
        <f t="shared" si="27"/>
        <v>{"age":"14", "year":"23", "couponrate":"8", "benefittype":"A", "benefitrate":"800", "premiumrate":"1.01"}</v>
      </c>
      <c r="J244" s="6" t="str">
        <f t="shared" si="28"/>
        <v>,</v>
      </c>
    </row>
    <row r="245" spans="1:10">
      <c r="A245" s="4" t="str">
        <f>'EN60'!A$3</f>
        <v>EN60</v>
      </c>
      <c r="B245" s="4">
        <f t="shared" si="29"/>
        <v>14</v>
      </c>
      <c r="C245" s="4">
        <f t="shared" si="30"/>
        <v>24</v>
      </c>
      <c r="D245" s="4">
        <f t="shared" si="24"/>
        <v>8</v>
      </c>
      <c r="E245" s="4" t="s">
        <v>27</v>
      </c>
      <c r="F245" s="4">
        <f t="shared" si="25"/>
        <v>800</v>
      </c>
      <c r="G245" s="5">
        <f t="shared" si="31"/>
        <v>1.01</v>
      </c>
      <c r="H245" s="6" t="str">
        <f t="shared" si="26"/>
        <v>INSERT INTO public.coupon (plancode, age, "year", couponrate, benefittype, benefitrate, premiumrate) VALUES('EN60', 14, 24, 8, 'A',800, 1.01);</v>
      </c>
      <c r="I245" s="6" t="str">
        <f t="shared" si="27"/>
        <v>{"age":"14", "year":"24", "couponrate":"8", "benefittype":"A", "benefitrate":"800", "premiumrate":"1.01"}</v>
      </c>
      <c r="J245" s="6" t="str">
        <f t="shared" si="28"/>
        <v>,</v>
      </c>
    </row>
    <row r="246" spans="1:10">
      <c r="A246" s="4" t="str">
        <f>'EN60'!A$3</f>
        <v>EN60</v>
      </c>
      <c r="B246" s="4">
        <f t="shared" si="29"/>
        <v>14</v>
      </c>
      <c r="C246" s="4">
        <f t="shared" si="30"/>
        <v>25</v>
      </c>
      <c r="D246" s="4">
        <f t="shared" si="24"/>
        <v>8</v>
      </c>
      <c r="E246" s="4" t="s">
        <v>27</v>
      </c>
      <c r="F246" s="4">
        <f t="shared" si="25"/>
        <v>800</v>
      </c>
      <c r="G246" s="5">
        <f t="shared" si="31"/>
        <v>1.01</v>
      </c>
      <c r="H246" s="6" t="str">
        <f t="shared" si="26"/>
        <v>INSERT INTO public.coupon (plancode, age, "year", couponrate, benefittype, benefitrate, premiumrate) VALUES('EN60', 14, 25, 8, 'A',800, 1.01);</v>
      </c>
      <c r="I246" s="6" t="str">
        <f t="shared" si="27"/>
        <v>{"age":"14", "year":"25", "couponrate":"8", "benefittype":"A", "benefitrate":"800", "premiumrate":"1.01"}</v>
      </c>
      <c r="J246" s="6" t="str">
        <f t="shared" si="28"/>
        <v>,</v>
      </c>
    </row>
    <row r="247" spans="1:10">
      <c r="A247" s="4" t="str">
        <f>'EN60'!A$3</f>
        <v>EN60</v>
      </c>
      <c r="B247" s="4">
        <f t="shared" si="29"/>
        <v>14</v>
      </c>
      <c r="C247" s="4">
        <f t="shared" si="30"/>
        <v>26</v>
      </c>
      <c r="D247" s="4">
        <f t="shared" si="24"/>
        <v>8</v>
      </c>
      <c r="E247" s="4" t="s">
        <v>27</v>
      </c>
      <c r="F247" s="4">
        <f t="shared" si="25"/>
        <v>800</v>
      </c>
      <c r="G247" s="5">
        <f t="shared" si="31"/>
        <v>1.01</v>
      </c>
      <c r="H247" s="6" t="str">
        <f t="shared" si="26"/>
        <v>INSERT INTO public.coupon (plancode, age, "year", couponrate, benefittype, benefitrate, premiumrate) VALUES('EN60', 14, 26, 8, 'A',800, 1.01);</v>
      </c>
      <c r="I247" s="6" t="str">
        <f t="shared" si="27"/>
        <v>{"age":"14", "year":"26", "couponrate":"8", "benefittype":"A", "benefitrate":"800", "premiumrate":"1.01"}</v>
      </c>
      <c r="J247" s="6" t="str">
        <f t="shared" si="28"/>
        <v>,</v>
      </c>
    </row>
    <row r="248" spans="1:10">
      <c r="A248" s="4" t="str">
        <f>'EN60'!A$3</f>
        <v>EN60</v>
      </c>
      <c r="B248" s="4">
        <f t="shared" si="29"/>
        <v>14</v>
      </c>
      <c r="C248" s="4">
        <f t="shared" si="30"/>
        <v>27</v>
      </c>
      <c r="D248" s="4">
        <f t="shared" si="24"/>
        <v>8</v>
      </c>
      <c r="E248" s="4" t="s">
        <v>27</v>
      </c>
      <c r="F248" s="4">
        <f t="shared" si="25"/>
        <v>800</v>
      </c>
      <c r="G248" s="5">
        <f t="shared" si="31"/>
        <v>1.01</v>
      </c>
      <c r="H248" s="6" t="str">
        <f t="shared" si="26"/>
        <v>INSERT INTO public.coupon (plancode, age, "year", couponrate, benefittype, benefitrate, premiumrate) VALUES('EN60', 14, 27, 8, 'A',800, 1.01);</v>
      </c>
      <c r="I248" s="6" t="str">
        <f t="shared" si="27"/>
        <v>{"age":"14", "year":"27", "couponrate":"8", "benefittype":"A", "benefitrate":"800", "premiumrate":"1.01"}</v>
      </c>
      <c r="J248" s="6" t="str">
        <f t="shared" si="28"/>
        <v>,</v>
      </c>
    </row>
    <row r="249" spans="1:10">
      <c r="A249" s="4" t="str">
        <f>'EN60'!A$3</f>
        <v>EN60</v>
      </c>
      <c r="B249" s="4">
        <f t="shared" si="29"/>
        <v>14</v>
      </c>
      <c r="C249" s="4">
        <f t="shared" si="30"/>
        <v>28</v>
      </c>
      <c r="D249" s="4">
        <f t="shared" si="24"/>
        <v>8</v>
      </c>
      <c r="E249" s="4" t="s">
        <v>27</v>
      </c>
      <c r="F249" s="4">
        <f t="shared" si="25"/>
        <v>800</v>
      </c>
      <c r="G249" s="5">
        <f t="shared" si="31"/>
        <v>1.01</v>
      </c>
      <c r="H249" s="6" t="str">
        <f t="shared" si="26"/>
        <v>INSERT INTO public.coupon (plancode, age, "year", couponrate, benefittype, benefitrate, premiumrate) VALUES('EN60', 14, 28, 8, 'A',800, 1.01);</v>
      </c>
      <c r="I249" s="6" t="str">
        <f t="shared" si="27"/>
        <v>{"age":"14", "year":"28", "couponrate":"8", "benefittype":"A", "benefitrate":"800", "premiumrate":"1.01"}</v>
      </c>
      <c r="J249" s="6" t="str">
        <f t="shared" si="28"/>
        <v>,</v>
      </c>
    </row>
    <row r="250" spans="1:10">
      <c r="A250" s="4" t="str">
        <f>'EN60'!A$3</f>
        <v>EN60</v>
      </c>
      <c r="B250" s="4">
        <f t="shared" si="29"/>
        <v>14</v>
      </c>
      <c r="C250" s="4">
        <f t="shared" si="30"/>
        <v>29</v>
      </c>
      <c r="D250" s="4">
        <f t="shared" si="24"/>
        <v>8</v>
      </c>
      <c r="E250" s="4" t="s">
        <v>27</v>
      </c>
      <c r="F250" s="4">
        <f t="shared" si="25"/>
        <v>800</v>
      </c>
      <c r="G250" s="5">
        <f t="shared" si="31"/>
        <v>1.01</v>
      </c>
      <c r="H250" s="6" t="str">
        <f t="shared" si="26"/>
        <v>INSERT INTO public.coupon (plancode, age, "year", couponrate, benefittype, benefitrate, premiumrate) VALUES('EN60', 14, 29, 8, 'A',800, 1.01);</v>
      </c>
      <c r="I250" s="6" t="str">
        <f t="shared" si="27"/>
        <v>{"age":"14", "year":"29", "couponrate":"8", "benefittype":"A", "benefitrate":"800", "premiumrate":"1.01"}</v>
      </c>
      <c r="J250" s="6" t="str">
        <f t="shared" si="28"/>
        <v>,</v>
      </c>
    </row>
    <row r="251" spans="1:10">
      <c r="A251" s="4" t="str">
        <f>'EN60'!A$3</f>
        <v>EN60</v>
      </c>
      <c r="B251" s="4">
        <f t="shared" si="29"/>
        <v>14</v>
      </c>
      <c r="C251" s="4">
        <f t="shared" si="30"/>
        <v>30</v>
      </c>
      <c r="D251" s="4">
        <f t="shared" si="24"/>
        <v>8</v>
      </c>
      <c r="E251" s="4" t="s">
        <v>27</v>
      </c>
      <c r="F251" s="4">
        <f t="shared" si="25"/>
        <v>800</v>
      </c>
      <c r="G251" s="5">
        <f t="shared" si="31"/>
        <v>1.01</v>
      </c>
      <c r="H251" s="6" t="str">
        <f t="shared" si="26"/>
        <v>INSERT INTO public.coupon (plancode, age, "year", couponrate, benefittype, benefitrate, premiumrate) VALUES('EN60', 14, 30, 8, 'A',800, 1.01);</v>
      </c>
      <c r="I251" s="6" t="str">
        <f t="shared" si="27"/>
        <v>{"age":"14", "year":"30", "couponrate":"8", "benefittype":"A", "benefitrate":"800", "premiumrate":"1.01"}</v>
      </c>
      <c r="J251" s="6" t="str">
        <f t="shared" si="28"/>
        <v>,</v>
      </c>
    </row>
    <row r="252" spans="1:10">
      <c r="A252" s="4" t="str">
        <f>'EN60'!A$3</f>
        <v>EN60</v>
      </c>
      <c r="B252" s="4">
        <f t="shared" si="29"/>
        <v>14</v>
      </c>
      <c r="C252" s="4">
        <f t="shared" si="30"/>
        <v>31</v>
      </c>
      <c r="D252" s="4">
        <f t="shared" si="24"/>
        <v>8</v>
      </c>
      <c r="E252" s="4" t="s">
        <v>27</v>
      </c>
      <c r="F252" s="4">
        <f t="shared" si="25"/>
        <v>800</v>
      </c>
      <c r="G252" s="5">
        <f t="shared" si="31"/>
        <v>1.01</v>
      </c>
      <c r="H252" s="6" t="str">
        <f t="shared" si="26"/>
        <v>INSERT INTO public.coupon (plancode, age, "year", couponrate, benefittype, benefitrate, premiumrate) VALUES('EN60', 14, 31, 8, 'A',800, 1.01);</v>
      </c>
      <c r="I252" s="6" t="str">
        <f t="shared" si="27"/>
        <v>{"age":"14", "year":"31", "couponrate":"8", "benefittype":"A", "benefitrate":"800", "premiumrate":"1.01"}</v>
      </c>
      <c r="J252" s="6" t="str">
        <f t="shared" si="28"/>
        <v>,</v>
      </c>
    </row>
    <row r="253" spans="1:10">
      <c r="A253" s="4" t="str">
        <f>'EN60'!A$3</f>
        <v>EN60</v>
      </c>
      <c r="B253" s="4">
        <f t="shared" si="29"/>
        <v>14</v>
      </c>
      <c r="C253" s="4">
        <f t="shared" si="30"/>
        <v>32</v>
      </c>
      <c r="D253" s="4">
        <f t="shared" si="24"/>
        <v>8</v>
      </c>
      <c r="E253" s="4" t="s">
        <v>27</v>
      </c>
      <c r="F253" s="4">
        <f t="shared" si="25"/>
        <v>800</v>
      </c>
      <c r="G253" s="5">
        <f t="shared" si="31"/>
        <v>1.01</v>
      </c>
      <c r="H253" s="6" t="str">
        <f t="shared" si="26"/>
        <v>INSERT INTO public.coupon (plancode, age, "year", couponrate, benefittype, benefitrate, premiumrate) VALUES('EN60', 14, 32, 8, 'A',800, 1.01);</v>
      </c>
      <c r="I253" s="6" t="str">
        <f t="shared" si="27"/>
        <v>{"age":"14", "year":"32", "couponrate":"8", "benefittype":"A", "benefitrate":"800", "premiumrate":"1.01"}</v>
      </c>
      <c r="J253" s="6" t="str">
        <f t="shared" si="28"/>
        <v>,</v>
      </c>
    </row>
    <row r="254" spans="1:10">
      <c r="A254" s="4" t="str">
        <f>'EN60'!A$3</f>
        <v>EN60</v>
      </c>
      <c r="B254" s="4">
        <f t="shared" si="29"/>
        <v>14</v>
      </c>
      <c r="C254" s="4">
        <f t="shared" si="30"/>
        <v>33</v>
      </c>
      <c r="D254" s="4">
        <f t="shared" si="24"/>
        <v>8</v>
      </c>
      <c r="E254" s="4" t="s">
        <v>27</v>
      </c>
      <c r="F254" s="4">
        <f t="shared" si="25"/>
        <v>800</v>
      </c>
      <c r="G254" s="5">
        <f t="shared" si="31"/>
        <v>1.01</v>
      </c>
      <c r="H254" s="6" t="str">
        <f t="shared" si="26"/>
        <v>INSERT INTO public.coupon (plancode, age, "year", couponrate, benefittype, benefitrate, premiumrate) VALUES('EN60', 14, 33, 8, 'A',800, 1.01);</v>
      </c>
      <c r="I254" s="6" t="str">
        <f t="shared" si="27"/>
        <v>{"age":"14", "year":"33", "couponrate":"8", "benefittype":"A", "benefitrate":"800", "premiumrate":"1.01"}</v>
      </c>
      <c r="J254" s="6" t="str">
        <f t="shared" si="28"/>
        <v>,</v>
      </c>
    </row>
    <row r="255" spans="1:10">
      <c r="A255" s="4" t="str">
        <f>'EN60'!A$3</f>
        <v>EN60</v>
      </c>
      <c r="B255" s="4">
        <f t="shared" si="29"/>
        <v>14</v>
      </c>
      <c r="C255" s="4">
        <f t="shared" si="30"/>
        <v>34</v>
      </c>
      <c r="D255" s="4">
        <f t="shared" si="24"/>
        <v>8</v>
      </c>
      <c r="E255" s="4" t="s">
        <v>27</v>
      </c>
      <c r="F255" s="4">
        <f t="shared" si="25"/>
        <v>800</v>
      </c>
      <c r="G255" s="5">
        <f t="shared" si="31"/>
        <v>1.01</v>
      </c>
      <c r="H255" s="6" t="str">
        <f t="shared" si="26"/>
        <v>INSERT INTO public.coupon (plancode, age, "year", couponrate, benefittype, benefitrate, premiumrate) VALUES('EN60', 14, 34, 8, 'A',800, 1.01);</v>
      </c>
      <c r="I255" s="6" t="str">
        <f t="shared" si="27"/>
        <v>{"age":"14", "year":"34", "couponrate":"8", "benefittype":"A", "benefitrate":"800", "premiumrate":"1.01"}</v>
      </c>
      <c r="J255" s="6" t="str">
        <f t="shared" si="28"/>
        <v>,</v>
      </c>
    </row>
    <row r="256" spans="1:10">
      <c r="A256" s="4" t="str">
        <f>'EN60'!A$3</f>
        <v>EN60</v>
      </c>
      <c r="B256" s="4">
        <f t="shared" si="29"/>
        <v>14</v>
      </c>
      <c r="C256" s="4">
        <f t="shared" si="30"/>
        <v>35</v>
      </c>
      <c r="D256" s="4">
        <f t="shared" si="24"/>
        <v>8</v>
      </c>
      <c r="E256" s="4" t="s">
        <v>27</v>
      </c>
      <c r="F256" s="4">
        <f t="shared" si="25"/>
        <v>800</v>
      </c>
      <c r="G256" s="5">
        <f t="shared" si="31"/>
        <v>1.01</v>
      </c>
      <c r="H256" s="6" t="str">
        <f t="shared" si="26"/>
        <v>INSERT INTO public.coupon (plancode, age, "year", couponrate, benefittype, benefitrate, premiumrate) VALUES('EN60', 14, 35, 8, 'A',800, 1.01);</v>
      </c>
      <c r="I256" s="6" t="str">
        <f t="shared" si="27"/>
        <v>{"age":"14", "year":"35", "couponrate":"8", "benefittype":"A", "benefitrate":"800", "premiumrate":"1.01"}</v>
      </c>
      <c r="J256" s="6" t="str">
        <f t="shared" si="28"/>
        <v>,</v>
      </c>
    </row>
    <row r="257" spans="1:10">
      <c r="A257" s="4" t="str">
        <f>'EN60'!A$3</f>
        <v>EN60</v>
      </c>
      <c r="B257" s="4">
        <f t="shared" si="29"/>
        <v>14</v>
      </c>
      <c r="C257" s="4">
        <f t="shared" si="30"/>
        <v>36</v>
      </c>
      <c r="D257" s="4">
        <f t="shared" si="24"/>
        <v>8</v>
      </c>
      <c r="E257" s="4" t="s">
        <v>27</v>
      </c>
      <c r="F257" s="4">
        <f t="shared" si="25"/>
        <v>800</v>
      </c>
      <c r="G257" s="5">
        <f t="shared" si="31"/>
        <v>1.01</v>
      </c>
      <c r="H257" s="6" t="str">
        <f t="shared" si="26"/>
        <v>INSERT INTO public.coupon (plancode, age, "year", couponrate, benefittype, benefitrate, premiumrate) VALUES('EN60', 14, 36, 8, 'A',800, 1.01);</v>
      </c>
      <c r="I257" s="6" t="str">
        <f t="shared" si="27"/>
        <v>{"age":"14", "year":"36", "couponrate":"8", "benefittype":"A", "benefitrate":"800", "premiumrate":"1.01"}</v>
      </c>
      <c r="J257" s="6" t="str">
        <f t="shared" si="28"/>
        <v>,</v>
      </c>
    </row>
    <row r="258" spans="1:10">
      <c r="A258" s="4" t="str">
        <f>'EN60'!A$3</f>
        <v>EN60</v>
      </c>
      <c r="B258" s="4">
        <f t="shared" si="29"/>
        <v>14</v>
      </c>
      <c r="C258" s="4">
        <f t="shared" si="30"/>
        <v>37</v>
      </c>
      <c r="D258" s="4">
        <f t="shared" si="24"/>
        <v>8</v>
      </c>
      <c r="E258" s="4" t="s">
        <v>27</v>
      </c>
      <c r="F258" s="4">
        <f t="shared" si="25"/>
        <v>800</v>
      </c>
      <c r="G258" s="5">
        <f t="shared" si="31"/>
        <v>1.01</v>
      </c>
      <c r="H258" s="6" t="str">
        <f t="shared" si="26"/>
        <v>INSERT INTO public.coupon (plancode, age, "year", couponrate, benefittype, benefitrate, premiumrate) VALUES('EN60', 14, 37, 8, 'A',800, 1.01);</v>
      </c>
      <c r="I258" s="6" t="str">
        <f t="shared" si="27"/>
        <v>{"age":"14", "year":"37", "couponrate":"8", "benefittype":"A", "benefitrate":"800", "premiumrate":"1.01"}</v>
      </c>
      <c r="J258" s="6" t="str">
        <f t="shared" si="28"/>
        <v>,</v>
      </c>
    </row>
    <row r="259" spans="1:10">
      <c r="A259" s="4" t="str">
        <f>'EN60'!A$3</f>
        <v>EN60</v>
      </c>
      <c r="B259" s="4">
        <f t="shared" si="29"/>
        <v>14</v>
      </c>
      <c r="C259" s="4">
        <f t="shared" si="30"/>
        <v>38</v>
      </c>
      <c r="D259" s="4">
        <f t="shared" si="24"/>
        <v>8</v>
      </c>
      <c r="E259" s="4" t="s">
        <v>27</v>
      </c>
      <c r="F259" s="4">
        <f t="shared" si="25"/>
        <v>800</v>
      </c>
      <c r="G259" s="5">
        <f t="shared" si="31"/>
        <v>1.01</v>
      </c>
      <c r="H259" s="6" t="str">
        <f t="shared" si="26"/>
        <v>INSERT INTO public.coupon (plancode, age, "year", couponrate, benefittype, benefitrate, premiumrate) VALUES('EN60', 14, 38, 8, 'A',800, 1.01);</v>
      </c>
      <c r="I259" s="6" t="str">
        <f t="shared" si="27"/>
        <v>{"age":"14", "year":"38", "couponrate":"8", "benefittype":"A", "benefitrate":"800", "premiumrate":"1.01"}</v>
      </c>
      <c r="J259" s="6" t="str">
        <f t="shared" si="28"/>
        <v>,</v>
      </c>
    </row>
    <row r="260" spans="1:10">
      <c r="A260" s="4" t="str">
        <f>'EN60'!A$3</f>
        <v>EN60</v>
      </c>
      <c r="B260" s="4">
        <f t="shared" si="29"/>
        <v>14</v>
      </c>
      <c r="C260" s="4">
        <f t="shared" si="30"/>
        <v>39</v>
      </c>
      <c r="D260" s="4">
        <f t="shared" si="24"/>
        <v>8</v>
      </c>
      <c r="E260" s="4" t="s">
        <v>27</v>
      </c>
      <c r="F260" s="4">
        <f t="shared" si="25"/>
        <v>800</v>
      </c>
      <c r="G260" s="5">
        <f t="shared" si="31"/>
        <v>1.01</v>
      </c>
      <c r="H260" s="6" t="str">
        <f t="shared" si="26"/>
        <v>INSERT INTO public.coupon (plancode, age, "year", couponrate, benefittype, benefitrate, premiumrate) VALUES('EN60', 14, 39, 8, 'A',800, 1.01);</v>
      </c>
      <c r="I260" s="6" t="str">
        <f t="shared" si="27"/>
        <v>{"age":"14", "year":"39", "couponrate":"8", "benefittype":"A", "benefitrate":"800", "premiumrate":"1.01"}</v>
      </c>
      <c r="J260" s="6" t="str">
        <f t="shared" si="28"/>
        <v>,</v>
      </c>
    </row>
    <row r="261" spans="1:10">
      <c r="A261" s="4" t="str">
        <f>'EN60'!A$3</f>
        <v>EN60</v>
      </c>
      <c r="B261" s="4">
        <f t="shared" si="29"/>
        <v>14</v>
      </c>
      <c r="C261" s="4">
        <f t="shared" si="30"/>
        <v>40</v>
      </c>
      <c r="D261" s="4">
        <f t="shared" si="24"/>
        <v>8</v>
      </c>
      <c r="E261" s="4" t="s">
        <v>27</v>
      </c>
      <c r="F261" s="4">
        <f t="shared" si="25"/>
        <v>800</v>
      </c>
      <c r="G261" s="5">
        <f t="shared" si="31"/>
        <v>1.01</v>
      </c>
      <c r="H261" s="6" t="str">
        <f t="shared" si="26"/>
        <v>INSERT INTO public.coupon (plancode, age, "year", couponrate, benefittype, benefitrate, premiumrate) VALUES('EN60', 14, 40, 8, 'A',800, 1.01);</v>
      </c>
      <c r="I261" s="6" t="str">
        <f t="shared" si="27"/>
        <v>{"age":"14", "year":"40", "couponrate":"8", "benefittype":"A", "benefitrate":"800", "premiumrate":"1.01"}</v>
      </c>
      <c r="J261" s="6" t="str">
        <f t="shared" si="28"/>
        <v>,</v>
      </c>
    </row>
    <row r="262" spans="1:10">
      <c r="A262" s="4" t="str">
        <f>'EN60'!A$3</f>
        <v>EN60</v>
      </c>
      <c r="B262" s="4">
        <f t="shared" si="29"/>
        <v>14</v>
      </c>
      <c r="C262" s="4">
        <f t="shared" si="30"/>
        <v>41</v>
      </c>
      <c r="D262" s="4">
        <f t="shared" si="24"/>
        <v>8</v>
      </c>
      <c r="E262" s="4" t="s">
        <v>27</v>
      </c>
      <c r="F262" s="4">
        <f t="shared" si="25"/>
        <v>800</v>
      </c>
      <c r="G262" s="5">
        <f t="shared" si="31"/>
        <v>1.01</v>
      </c>
      <c r="H262" s="6" t="str">
        <f t="shared" si="26"/>
        <v>INSERT INTO public.coupon (plancode, age, "year", couponrate, benefittype, benefitrate, premiumrate) VALUES('EN60', 14, 41, 8, 'A',800, 1.01);</v>
      </c>
      <c r="I262" s="6" t="str">
        <f t="shared" si="27"/>
        <v>{"age":"14", "year":"41", "couponrate":"8", "benefittype":"A", "benefitrate":"800", "premiumrate":"1.01"}</v>
      </c>
      <c r="J262" s="6" t="str">
        <f t="shared" si="28"/>
        <v>,</v>
      </c>
    </row>
    <row r="263" spans="1:10">
      <c r="A263" s="4" t="str">
        <f>'EN60'!A$3</f>
        <v>EN60</v>
      </c>
      <c r="B263" s="4">
        <f t="shared" si="29"/>
        <v>14</v>
      </c>
      <c r="C263" s="4">
        <f t="shared" si="30"/>
        <v>42</v>
      </c>
      <c r="D263" s="4">
        <f t="shared" si="24"/>
        <v>8</v>
      </c>
      <c r="E263" s="4" t="s">
        <v>27</v>
      </c>
      <c r="F263" s="4">
        <f t="shared" si="25"/>
        <v>800</v>
      </c>
      <c r="G263" s="5">
        <f t="shared" si="31"/>
        <v>1.01</v>
      </c>
      <c r="H263" s="6" t="str">
        <f t="shared" si="26"/>
        <v>INSERT INTO public.coupon (plancode, age, "year", couponrate, benefittype, benefitrate, premiumrate) VALUES('EN60', 14, 42, 8, 'A',800, 1.01);</v>
      </c>
      <c r="I263" s="6" t="str">
        <f t="shared" si="27"/>
        <v>{"age":"14", "year":"42", "couponrate":"8", "benefittype":"A", "benefitrate":"800", "premiumrate":"1.01"}</v>
      </c>
      <c r="J263" s="6" t="str">
        <f t="shared" si="28"/>
        <v>,</v>
      </c>
    </row>
    <row r="264" spans="1:10">
      <c r="A264" s="4" t="str">
        <f>'EN60'!A$3</f>
        <v>EN60</v>
      </c>
      <c r="B264" s="4">
        <f t="shared" si="29"/>
        <v>14</v>
      </c>
      <c r="C264" s="4">
        <f t="shared" si="30"/>
        <v>43</v>
      </c>
      <c r="D264" s="4">
        <f t="shared" si="24"/>
        <v>8</v>
      </c>
      <c r="E264" s="4" t="s">
        <v>27</v>
      </c>
      <c r="F264" s="4">
        <f t="shared" si="25"/>
        <v>800</v>
      </c>
      <c r="G264" s="5">
        <f t="shared" si="31"/>
        <v>1.01</v>
      </c>
      <c r="H264" s="6" t="str">
        <f t="shared" si="26"/>
        <v>INSERT INTO public.coupon (plancode, age, "year", couponrate, benefittype, benefitrate, premiumrate) VALUES('EN60', 14, 43, 8, 'A',800, 1.01);</v>
      </c>
      <c r="I264" s="6" t="str">
        <f t="shared" si="27"/>
        <v>{"age":"14", "year":"43", "couponrate":"8", "benefittype":"A", "benefitrate":"800", "premiumrate":"1.01"}</v>
      </c>
      <c r="J264" s="6" t="str">
        <f t="shared" si="28"/>
        <v>,</v>
      </c>
    </row>
    <row r="265" spans="1:10">
      <c r="A265" s="4" t="str">
        <f>'EN60'!A$3</f>
        <v>EN60</v>
      </c>
      <c r="B265" s="4">
        <f t="shared" si="29"/>
        <v>14</v>
      </c>
      <c r="C265" s="4">
        <f t="shared" si="30"/>
        <v>44</v>
      </c>
      <c r="D265" s="4">
        <f t="shared" si="24"/>
        <v>8</v>
      </c>
      <c r="E265" s="4" t="s">
        <v>27</v>
      </c>
      <c r="F265" s="4">
        <f t="shared" si="25"/>
        <v>800</v>
      </c>
      <c r="G265" s="5">
        <f t="shared" si="31"/>
        <v>1.01</v>
      </c>
      <c r="H265" s="6" t="str">
        <f t="shared" si="26"/>
        <v>INSERT INTO public.coupon (plancode, age, "year", couponrate, benefittype, benefitrate, premiumrate) VALUES('EN60', 14, 44, 8, 'A',800, 1.01);</v>
      </c>
      <c r="I265" s="6" t="str">
        <f t="shared" si="27"/>
        <v>{"age":"14", "year":"44", "couponrate":"8", "benefittype":"A", "benefitrate":"800", "premiumrate":"1.01"}</v>
      </c>
      <c r="J265" s="6" t="str">
        <f t="shared" si="28"/>
        <v>,</v>
      </c>
    </row>
    <row r="266" spans="1:10">
      <c r="A266" s="4" t="str">
        <f>'EN60'!A$3</f>
        <v>EN60</v>
      </c>
      <c r="B266" s="4">
        <f t="shared" si="29"/>
        <v>14</v>
      </c>
      <c r="C266" s="4">
        <f t="shared" si="30"/>
        <v>45</v>
      </c>
      <c r="D266" s="4">
        <f t="shared" si="24"/>
        <v>8</v>
      </c>
      <c r="E266" s="4" t="s">
        <v>27</v>
      </c>
      <c r="F266" s="4">
        <f t="shared" si="25"/>
        <v>800</v>
      </c>
      <c r="G266" s="5">
        <f t="shared" si="31"/>
        <v>1.01</v>
      </c>
      <c r="H266" s="6" t="str">
        <f t="shared" si="26"/>
        <v>INSERT INTO public.coupon (plancode, age, "year", couponrate, benefittype, benefitrate, premiumrate) VALUES('EN60', 14, 45, 8, 'A',800, 1.01);</v>
      </c>
      <c r="I266" s="6" t="str">
        <f t="shared" si="27"/>
        <v>{"age":"14", "year":"45", "couponrate":"8", "benefittype":"A", "benefitrate":"800", "premiumrate":"1.01"}</v>
      </c>
      <c r="J266" s="6" t="str">
        <f t="shared" si="28"/>
        <v>,</v>
      </c>
    </row>
    <row r="267" spans="1:10">
      <c r="A267" s="4" t="str">
        <f>'EN60'!A$3</f>
        <v>EN60</v>
      </c>
      <c r="B267" s="4">
        <f t="shared" si="29"/>
        <v>14</v>
      </c>
      <c r="C267" s="4">
        <f t="shared" si="30"/>
        <v>46</v>
      </c>
      <c r="D267" s="4">
        <f t="shared" si="24"/>
        <v>8</v>
      </c>
      <c r="E267" s="4" t="s">
        <v>27</v>
      </c>
      <c r="F267" s="4">
        <f t="shared" si="25"/>
        <v>800</v>
      </c>
      <c r="G267" s="5">
        <f t="shared" si="31"/>
        <v>1.01</v>
      </c>
      <c r="H267" s="6" t="str">
        <f t="shared" si="26"/>
        <v>INSERT INTO public.coupon (plancode, age, "year", couponrate, benefittype, benefitrate, premiumrate) VALUES('EN60', 14, 46, 8, 'A',800, 1.01);</v>
      </c>
      <c r="I267" s="6" t="str">
        <f t="shared" si="27"/>
        <v>{"age":"14", "year":"46", "couponrate":"8", "benefittype":"A", "benefitrate":"800", "premiumrate":"1.01"}</v>
      </c>
      <c r="J267" s="6" t="str">
        <f t="shared" si="28"/>
        <v>,</v>
      </c>
    </row>
    <row r="268" spans="1:10">
      <c r="A268" s="4" t="str">
        <f>'EN60'!A$3</f>
        <v>EN60</v>
      </c>
      <c r="B268" s="4">
        <f t="shared" si="29"/>
        <v>14</v>
      </c>
      <c r="C268" s="4">
        <f t="shared" si="30"/>
        <v>47</v>
      </c>
      <c r="D268" s="4">
        <f t="shared" si="24"/>
        <v>8</v>
      </c>
      <c r="E268" s="4" t="s">
        <v>27</v>
      </c>
      <c r="F268" s="4">
        <f t="shared" si="25"/>
        <v>800</v>
      </c>
      <c r="G268" s="5">
        <f t="shared" si="31"/>
        <v>1.01</v>
      </c>
      <c r="H268" s="6" t="str">
        <f t="shared" si="26"/>
        <v>INSERT INTO public.coupon (plancode, age, "year", couponrate, benefittype, benefitrate, premiumrate) VALUES('EN60', 14, 47, 8, 'A',800, 1.01);</v>
      </c>
      <c r="I268" s="6" t="str">
        <f t="shared" si="27"/>
        <v>{"age":"14", "year":"47", "couponrate":"8", "benefittype":"A", "benefitrate":"800", "premiumrate":"1.01"}</v>
      </c>
      <c r="J268" s="6" t="str">
        <f t="shared" si="28"/>
        <v>,</v>
      </c>
    </row>
    <row r="269" spans="1:10">
      <c r="A269" s="4" t="str">
        <f>'EN60'!A$3</f>
        <v>EN60</v>
      </c>
      <c r="B269" s="4">
        <f t="shared" si="29"/>
        <v>14</v>
      </c>
      <c r="C269" s="4">
        <f t="shared" si="30"/>
        <v>48</v>
      </c>
      <c r="D269" s="4">
        <f t="shared" si="24"/>
        <v>8</v>
      </c>
      <c r="E269" s="4" t="s">
        <v>27</v>
      </c>
      <c r="F269" s="4">
        <f t="shared" si="25"/>
        <v>800</v>
      </c>
      <c r="G269" s="5">
        <f t="shared" si="31"/>
        <v>1.01</v>
      </c>
      <c r="H269" s="6" t="str">
        <f t="shared" si="26"/>
        <v>INSERT INTO public.coupon (plancode, age, "year", couponrate, benefittype, benefitrate, premiumrate) VALUES('EN60', 14, 48, 8, 'A',800, 1.01);</v>
      </c>
      <c r="I269" s="6" t="str">
        <f t="shared" si="27"/>
        <v>{"age":"14", "year":"48", "couponrate":"8", "benefittype":"A", "benefitrate":"800", "premiumrate":"1.01"}</v>
      </c>
      <c r="J269" s="6" t="str">
        <f t="shared" si="28"/>
        <v>,</v>
      </c>
    </row>
    <row r="270" spans="1:10">
      <c r="A270" s="4" t="str">
        <f>'EN60'!A$3</f>
        <v>EN60</v>
      </c>
      <c r="B270" s="4">
        <f t="shared" si="29"/>
        <v>14</v>
      </c>
      <c r="C270" s="4">
        <f t="shared" si="30"/>
        <v>49</v>
      </c>
      <c r="D270" s="4">
        <f t="shared" si="24"/>
        <v>8</v>
      </c>
      <c r="E270" s="4" t="s">
        <v>27</v>
      </c>
      <c r="F270" s="4">
        <f t="shared" si="25"/>
        <v>800</v>
      </c>
      <c r="G270" s="5">
        <f t="shared" si="31"/>
        <v>1.01</v>
      </c>
      <c r="H270" s="6" t="str">
        <f t="shared" si="26"/>
        <v>INSERT INTO public.coupon (plancode, age, "year", couponrate, benefittype, benefitrate, premiumrate) VALUES('EN60', 14, 49, 8, 'A',800, 1.01);</v>
      </c>
      <c r="I270" s="6" t="str">
        <f t="shared" si="27"/>
        <v>{"age":"14", "year":"49", "couponrate":"8", "benefittype":"A", "benefitrate":"800", "premiumrate":"1.01"}</v>
      </c>
      <c r="J270" s="6" t="str">
        <f t="shared" si="28"/>
        <v>,</v>
      </c>
    </row>
    <row r="271" spans="1:10">
      <c r="A271" s="4" t="str">
        <f>'EN60'!A$3</f>
        <v>EN60</v>
      </c>
      <c r="B271" s="4">
        <f t="shared" si="29"/>
        <v>14</v>
      </c>
      <c r="C271" s="4">
        <f t="shared" si="30"/>
        <v>50</v>
      </c>
      <c r="D271" s="4">
        <f t="shared" si="24"/>
        <v>8</v>
      </c>
      <c r="E271" s="4" t="s">
        <v>27</v>
      </c>
      <c r="F271" s="4">
        <f t="shared" si="25"/>
        <v>800</v>
      </c>
      <c r="G271" s="5">
        <f t="shared" si="31"/>
        <v>1.01</v>
      </c>
      <c r="H271" s="6" t="str">
        <f t="shared" si="26"/>
        <v>INSERT INTO public.coupon (plancode, age, "year", couponrate, benefittype, benefitrate, premiumrate) VALUES('EN60', 14, 50, 8, 'A',800, 1.01);</v>
      </c>
      <c r="I271" s="6" t="str">
        <f t="shared" si="27"/>
        <v>{"age":"14", "year":"50", "couponrate":"8", "benefittype":"A", "benefitrate":"800", "premiumrate":"1.01"}</v>
      </c>
      <c r="J271" s="6" t="str">
        <f t="shared" si="28"/>
        <v>,</v>
      </c>
    </row>
    <row r="272" spans="1:10">
      <c r="A272" s="4" t="str">
        <f>'EN60'!A$3</f>
        <v>EN60</v>
      </c>
      <c r="B272" s="4">
        <f t="shared" si="29"/>
        <v>14</v>
      </c>
      <c r="C272" s="4">
        <f t="shared" si="30"/>
        <v>51</v>
      </c>
      <c r="D272" s="4">
        <f t="shared" si="24"/>
        <v>8</v>
      </c>
      <c r="E272" s="4" t="s">
        <v>27</v>
      </c>
      <c r="F272" s="4">
        <f t="shared" si="25"/>
        <v>800</v>
      </c>
      <c r="G272" s="5">
        <f t="shared" si="31"/>
        <v>1.01</v>
      </c>
      <c r="H272" s="6" t="str">
        <f t="shared" si="26"/>
        <v>INSERT INTO public.coupon (plancode, age, "year", couponrate, benefittype, benefitrate, premiumrate) VALUES('EN60', 14, 51, 8, 'A',800, 1.01);</v>
      </c>
      <c r="I272" s="6" t="str">
        <f t="shared" si="27"/>
        <v>{"age":"14", "year":"51", "couponrate":"8", "benefittype":"A", "benefitrate":"800", "premiumrate":"1.01"}</v>
      </c>
      <c r="J272" s="6" t="str">
        <f t="shared" si="28"/>
        <v>,</v>
      </c>
    </row>
    <row r="273" spans="1:10">
      <c r="A273" s="4" t="str">
        <f>'EN60'!A$3</f>
        <v>EN60</v>
      </c>
      <c r="B273" s="4">
        <f t="shared" si="29"/>
        <v>14</v>
      </c>
      <c r="C273" s="4">
        <f t="shared" si="30"/>
        <v>52</v>
      </c>
      <c r="D273" s="4">
        <f t="shared" si="24"/>
        <v>8</v>
      </c>
      <c r="E273" s="4" t="s">
        <v>27</v>
      </c>
      <c r="F273" s="4">
        <f t="shared" si="25"/>
        <v>800</v>
      </c>
      <c r="G273" s="5">
        <f t="shared" si="31"/>
        <v>1.01</v>
      </c>
      <c r="H273" s="6" t="str">
        <f t="shared" si="26"/>
        <v>INSERT INTO public.coupon (plancode, age, "year", couponrate, benefittype, benefitrate, premiumrate) VALUES('EN60', 14, 52, 8, 'A',800, 1.01);</v>
      </c>
      <c r="I273" s="6" t="str">
        <f t="shared" si="27"/>
        <v>{"age":"14", "year":"52", "couponrate":"8", "benefittype":"A", "benefitrate":"800", "premiumrate":"1.01"}</v>
      </c>
      <c r="J273" s="6" t="str">
        <f t="shared" si="28"/>
        <v>,</v>
      </c>
    </row>
    <row r="274" spans="1:10">
      <c r="A274" s="4" t="str">
        <f>'EN60'!A$3</f>
        <v>EN60</v>
      </c>
      <c r="B274" s="4">
        <f t="shared" si="29"/>
        <v>14</v>
      </c>
      <c r="C274" s="4">
        <f t="shared" si="30"/>
        <v>53</v>
      </c>
      <c r="D274" s="4">
        <f t="shared" si="24"/>
        <v>8</v>
      </c>
      <c r="E274" s="4" t="s">
        <v>27</v>
      </c>
      <c r="F274" s="4">
        <f t="shared" si="25"/>
        <v>800</v>
      </c>
      <c r="G274" s="5">
        <f t="shared" si="31"/>
        <v>1.01</v>
      </c>
      <c r="H274" s="6" t="str">
        <f t="shared" si="26"/>
        <v>INSERT INTO public.coupon (plancode, age, "year", couponrate, benefittype, benefitrate, premiumrate) VALUES('EN60', 14, 53, 8, 'A',800, 1.01);</v>
      </c>
      <c r="I274" s="6" t="str">
        <f t="shared" si="27"/>
        <v>{"age":"14", "year":"53", "couponrate":"8", "benefittype":"A", "benefitrate":"800", "premiumrate":"1.01"}</v>
      </c>
      <c r="J274" s="6" t="str">
        <f t="shared" si="28"/>
        <v>,</v>
      </c>
    </row>
    <row r="275" spans="1:10">
      <c r="A275" s="4" t="str">
        <f>'EN60'!A$3</f>
        <v>EN60</v>
      </c>
      <c r="B275" s="4">
        <f t="shared" si="29"/>
        <v>14</v>
      </c>
      <c r="C275" s="4">
        <f t="shared" si="30"/>
        <v>54</v>
      </c>
      <c r="D275" s="4">
        <f t="shared" si="24"/>
        <v>8</v>
      </c>
      <c r="E275" s="4" t="s">
        <v>27</v>
      </c>
      <c r="F275" s="4">
        <f t="shared" si="25"/>
        <v>800</v>
      </c>
      <c r="G275" s="5">
        <f t="shared" si="31"/>
        <v>1.01</v>
      </c>
      <c r="H275" s="6" t="str">
        <f t="shared" si="26"/>
        <v>INSERT INTO public.coupon (plancode, age, "year", couponrate, benefittype, benefitrate, premiumrate) VALUES('EN60', 14, 54, 8, 'A',800, 1.01);</v>
      </c>
      <c r="I275" s="6" t="str">
        <f t="shared" si="27"/>
        <v>{"age":"14", "year":"54", "couponrate":"8", "benefittype":"A", "benefitrate":"800", "premiumrate":"1.01"}</v>
      </c>
      <c r="J275" s="6" t="str">
        <f t="shared" si="28"/>
        <v>,</v>
      </c>
    </row>
    <row r="276" spans="1:10">
      <c r="A276" s="4" t="str">
        <f>'EN60'!A$3</f>
        <v>EN60</v>
      </c>
      <c r="B276" s="4">
        <f t="shared" si="29"/>
        <v>14</v>
      </c>
      <c r="C276" s="4">
        <f t="shared" si="30"/>
        <v>55</v>
      </c>
      <c r="D276" s="4">
        <f t="shared" si="24"/>
        <v>8</v>
      </c>
      <c r="E276" s="4" t="s">
        <v>27</v>
      </c>
      <c r="F276" s="4">
        <f t="shared" si="25"/>
        <v>800</v>
      </c>
      <c r="G276" s="5">
        <f t="shared" si="31"/>
        <v>1.01</v>
      </c>
      <c r="H276" s="6" t="str">
        <f t="shared" si="26"/>
        <v>INSERT INTO public.coupon (plancode, age, "year", couponrate, benefittype, benefitrate, premiumrate) VALUES('EN60', 14, 55, 8, 'A',800, 1.01);</v>
      </c>
      <c r="I276" s="6" t="str">
        <f t="shared" si="27"/>
        <v>{"age":"14", "year":"55", "couponrate":"8", "benefittype":"A", "benefitrate":"800", "premiumrate":"1.01"}</v>
      </c>
      <c r="J276" s="6" t="str">
        <f t="shared" si="28"/>
        <v>,</v>
      </c>
    </row>
    <row r="277" spans="1:10">
      <c r="A277" s="4" t="str">
        <f>'EN60'!A$3</f>
        <v>EN60</v>
      </c>
      <c r="B277" s="4">
        <f t="shared" si="29"/>
        <v>14</v>
      </c>
      <c r="C277" s="4">
        <f t="shared" si="30"/>
        <v>56</v>
      </c>
      <c r="D277" s="4">
        <f t="shared" si="24"/>
        <v>8</v>
      </c>
      <c r="E277" s="4" t="s">
        <v>27</v>
      </c>
      <c r="F277" s="4">
        <f t="shared" si="25"/>
        <v>800</v>
      </c>
      <c r="G277" s="5">
        <f t="shared" si="31"/>
        <v>1.01</v>
      </c>
      <c r="H277" s="6" t="str">
        <f t="shared" si="26"/>
        <v>INSERT INTO public.coupon (plancode, age, "year", couponrate, benefittype, benefitrate, premiumrate) VALUES('EN60', 14, 56, 8, 'A',800, 1.01);</v>
      </c>
      <c r="I277" s="6" t="str">
        <f t="shared" si="27"/>
        <v>{"age":"14", "year":"56", "couponrate":"8", "benefittype":"A", "benefitrate":"800", "premiumrate":"1.01"}</v>
      </c>
      <c r="J277" s="6" t="str">
        <f t="shared" si="28"/>
        <v>,</v>
      </c>
    </row>
    <row r="278" spans="1:10">
      <c r="A278" s="4" t="str">
        <f>'EN60'!A$3</f>
        <v>EN60</v>
      </c>
      <c r="B278" s="4">
        <f t="shared" si="29"/>
        <v>14</v>
      </c>
      <c r="C278" s="4">
        <f t="shared" si="30"/>
        <v>57</v>
      </c>
      <c r="D278" s="4">
        <f t="shared" si="24"/>
        <v>8</v>
      </c>
      <c r="E278" s="4" t="s">
        <v>27</v>
      </c>
      <c r="F278" s="4">
        <f t="shared" si="25"/>
        <v>800</v>
      </c>
      <c r="G278" s="5">
        <f t="shared" si="31"/>
        <v>1.01</v>
      </c>
      <c r="H278" s="6" t="str">
        <f t="shared" si="26"/>
        <v>INSERT INTO public.coupon (plancode, age, "year", couponrate, benefittype, benefitrate, premiumrate) VALUES('EN60', 14, 57, 8, 'A',800, 1.01);</v>
      </c>
      <c r="I278" s="6" t="str">
        <f t="shared" si="27"/>
        <v>{"age":"14", "year":"57", "couponrate":"8", "benefittype":"A", "benefitrate":"800", "premiumrate":"1.01"}</v>
      </c>
      <c r="J278" s="6" t="str">
        <f t="shared" si="28"/>
        <v>,</v>
      </c>
    </row>
    <row r="279" spans="1:10">
      <c r="A279" s="4" t="str">
        <f>'EN60'!A$3</f>
        <v>EN60</v>
      </c>
      <c r="B279" s="4">
        <f t="shared" si="29"/>
        <v>14</v>
      </c>
      <c r="C279" s="4">
        <f t="shared" si="30"/>
        <v>58</v>
      </c>
      <c r="D279" s="4">
        <f t="shared" si="24"/>
        <v>8</v>
      </c>
      <c r="E279" s="4" t="s">
        <v>27</v>
      </c>
      <c r="F279" s="4">
        <f t="shared" si="25"/>
        <v>800</v>
      </c>
      <c r="G279" s="5">
        <f t="shared" si="31"/>
        <v>1.01</v>
      </c>
      <c r="H279" s="6" t="str">
        <f t="shared" si="26"/>
        <v>INSERT INTO public.coupon (plancode, age, "year", couponrate, benefittype, benefitrate, premiumrate) VALUES('EN60', 14, 58, 8, 'A',800, 1.01);</v>
      </c>
      <c r="I279" s="6" t="str">
        <f t="shared" si="27"/>
        <v>{"age":"14", "year":"58", "couponrate":"8", "benefittype":"A", "benefitrate":"800", "premiumrate":"1.01"}</v>
      </c>
      <c r="J279" s="6" t="str">
        <f t="shared" si="28"/>
        <v>,</v>
      </c>
    </row>
    <row r="280" spans="1:10">
      <c r="A280" s="4" t="str">
        <f>'EN60'!A$3</f>
        <v>EN60</v>
      </c>
      <c r="B280" s="4">
        <f t="shared" si="29"/>
        <v>14</v>
      </c>
      <c r="C280" s="4">
        <f t="shared" si="30"/>
        <v>59</v>
      </c>
      <c r="D280" s="4">
        <f t="shared" si="24"/>
        <v>8</v>
      </c>
      <c r="E280" s="4" t="s">
        <v>27</v>
      </c>
      <c r="F280" s="4">
        <f t="shared" si="25"/>
        <v>800</v>
      </c>
      <c r="G280" s="5">
        <f t="shared" si="31"/>
        <v>1.01</v>
      </c>
      <c r="H280" s="6" t="str">
        <f t="shared" si="26"/>
        <v>INSERT INTO public.coupon (plancode, age, "year", couponrate, benefittype, benefitrate, premiumrate) VALUES('EN60', 14, 59, 8, 'A',800, 1.01);</v>
      </c>
      <c r="I280" s="6" t="str">
        <f t="shared" si="27"/>
        <v>{"age":"14", "year":"59", "couponrate":"8", "benefittype":"A", "benefitrate":"800", "premiumrate":"1.01"}</v>
      </c>
      <c r="J280" s="6" t="str">
        <f t="shared" si="28"/>
        <v>,</v>
      </c>
    </row>
    <row r="281" spans="1:10">
      <c r="A281" s="4" t="str">
        <f>'EN60'!A$3</f>
        <v>EN60</v>
      </c>
      <c r="B281" s="4">
        <f t="shared" si="29"/>
        <v>14</v>
      </c>
      <c r="C281" s="4">
        <f t="shared" si="30"/>
        <v>60</v>
      </c>
      <c r="D281" s="4">
        <f t="shared" si="24"/>
        <v>8</v>
      </c>
      <c r="E281" s="4" t="s">
        <v>27</v>
      </c>
      <c r="F281" s="4">
        <f t="shared" si="25"/>
        <v>800</v>
      </c>
      <c r="G281" s="5">
        <f t="shared" si="31"/>
        <v>1.01</v>
      </c>
      <c r="H281" s="6" t="str">
        <f t="shared" si="26"/>
        <v>INSERT INTO public.coupon (plancode, age, "year", couponrate, benefittype, benefitrate, premiumrate) VALUES('EN60', 14, 60, 8, 'A',800, 1.01);</v>
      </c>
      <c r="I281" s="6" t="str">
        <f t="shared" si="27"/>
        <v>{"age":"14", "year":"60", "couponrate":"8", "benefittype":"A", "benefitrate":"800", "premiumrate":"1.01"}</v>
      </c>
      <c r="J281" s="6" t="str">
        <f t="shared" si="28"/>
        <v>,</v>
      </c>
    </row>
    <row r="282" spans="1:10">
      <c r="A282" s="4" t="str">
        <f>'EN60'!A$3</f>
        <v>EN60</v>
      </c>
      <c r="B282" s="4">
        <f t="shared" si="29"/>
        <v>14</v>
      </c>
      <c r="C282" s="4">
        <f t="shared" si="30"/>
        <v>61</v>
      </c>
      <c r="D282" s="4">
        <f t="shared" si="24"/>
        <v>8</v>
      </c>
      <c r="E282" s="4" t="s">
        <v>27</v>
      </c>
      <c r="F282" s="4">
        <f t="shared" si="25"/>
        <v>800</v>
      </c>
      <c r="G282" s="5">
        <f t="shared" si="31"/>
        <v>1.01</v>
      </c>
      <c r="H282" s="6" t="str">
        <f t="shared" si="26"/>
        <v>INSERT INTO public.coupon (plancode, age, "year", couponrate, benefittype, benefitrate, premiumrate) VALUES('EN60', 14, 61, 8, 'A',800, 1.01);</v>
      </c>
      <c r="I282" s="6" t="str">
        <f t="shared" si="27"/>
        <v>{"age":"14", "year":"61", "couponrate":"8", "benefittype":"A", "benefitrate":"800", "premiumrate":"1.01"}</v>
      </c>
      <c r="J282" s="6" t="str">
        <f t="shared" si="28"/>
        <v>,</v>
      </c>
    </row>
    <row r="283" spans="1:10">
      <c r="A283" s="4" t="str">
        <f>'EN60'!A$3</f>
        <v>EN60</v>
      </c>
      <c r="B283" s="4">
        <f t="shared" si="29"/>
        <v>14</v>
      </c>
      <c r="C283" s="4">
        <f t="shared" si="30"/>
        <v>62</v>
      </c>
      <c r="D283" s="4">
        <f t="shared" si="24"/>
        <v>8</v>
      </c>
      <c r="E283" s="4" t="s">
        <v>27</v>
      </c>
      <c r="F283" s="4">
        <f t="shared" si="25"/>
        <v>800</v>
      </c>
      <c r="G283" s="5">
        <f t="shared" si="31"/>
        <v>1.01</v>
      </c>
      <c r="H283" s="6" t="str">
        <f t="shared" si="26"/>
        <v>INSERT INTO public.coupon (plancode, age, "year", couponrate, benefittype, benefitrate, premiumrate) VALUES('EN60', 14, 62, 8, 'A',800, 1.01);</v>
      </c>
      <c r="I283" s="6" t="str">
        <f t="shared" si="27"/>
        <v>{"age":"14", "year":"62", "couponrate":"8", "benefittype":"A", "benefitrate":"800", "premiumrate":"1.01"}</v>
      </c>
      <c r="J283" s="6" t="str">
        <f t="shared" si="28"/>
        <v>,</v>
      </c>
    </row>
    <row r="284" spans="1:10">
      <c r="A284" s="4" t="str">
        <f>'EN60'!A$3</f>
        <v>EN60</v>
      </c>
      <c r="B284" s="4">
        <f t="shared" si="29"/>
        <v>14</v>
      </c>
      <c r="C284" s="4">
        <f t="shared" si="30"/>
        <v>63</v>
      </c>
      <c r="D284" s="4">
        <f t="shared" si="24"/>
        <v>8</v>
      </c>
      <c r="E284" s="4" t="s">
        <v>27</v>
      </c>
      <c r="F284" s="4">
        <f t="shared" si="25"/>
        <v>800</v>
      </c>
      <c r="G284" s="5">
        <f t="shared" si="31"/>
        <v>1.01</v>
      </c>
      <c r="H284" s="6" t="str">
        <f t="shared" si="26"/>
        <v>INSERT INTO public.coupon (plancode, age, "year", couponrate, benefittype, benefitrate, premiumrate) VALUES('EN60', 14, 63, 8, 'A',800, 1.01);</v>
      </c>
      <c r="I284" s="6" t="str">
        <f t="shared" si="27"/>
        <v>{"age":"14", "year":"63", "couponrate":"8", "benefittype":"A", "benefitrate":"800", "premiumrate":"1.01"}</v>
      </c>
      <c r="J284" s="6" t="str">
        <f t="shared" si="28"/>
        <v>,</v>
      </c>
    </row>
    <row r="285" spans="1:10">
      <c r="A285" s="4" t="str">
        <f>'EN60'!A$3</f>
        <v>EN60</v>
      </c>
      <c r="B285" s="4">
        <f t="shared" si="29"/>
        <v>14</v>
      </c>
      <c r="C285" s="4">
        <f t="shared" si="30"/>
        <v>64</v>
      </c>
      <c r="D285" s="4">
        <f t="shared" si="24"/>
        <v>8</v>
      </c>
      <c r="E285" s="4" t="s">
        <v>27</v>
      </c>
      <c r="F285" s="4">
        <f t="shared" si="25"/>
        <v>800</v>
      </c>
      <c r="G285" s="5">
        <f t="shared" si="31"/>
        <v>1.01</v>
      </c>
      <c r="H285" s="6" t="str">
        <f t="shared" si="26"/>
        <v>INSERT INTO public.coupon (plancode, age, "year", couponrate, benefittype, benefitrate, premiumrate) VALUES('EN60', 14, 64, 8, 'A',800, 1.01);</v>
      </c>
      <c r="I285" s="6" t="str">
        <f t="shared" si="27"/>
        <v>{"age":"14", "year":"64", "couponrate":"8", "benefittype":"A", "benefitrate":"800", "premiumrate":"1.01"}</v>
      </c>
      <c r="J285" s="6" t="str">
        <f t="shared" si="28"/>
        <v>,</v>
      </c>
    </row>
    <row r="286" spans="1:10">
      <c r="A286" s="4" t="str">
        <f>'EN60'!A$3</f>
        <v>EN60</v>
      </c>
      <c r="B286" s="4">
        <f t="shared" si="29"/>
        <v>14</v>
      </c>
      <c r="C286" s="4">
        <f t="shared" si="30"/>
        <v>65</v>
      </c>
      <c r="D286" s="4">
        <f t="shared" si="24"/>
        <v>8</v>
      </c>
      <c r="E286" s="4" t="s">
        <v>27</v>
      </c>
      <c r="F286" s="4">
        <f t="shared" si="25"/>
        <v>800</v>
      </c>
      <c r="G286" s="5">
        <f t="shared" si="31"/>
        <v>1.01</v>
      </c>
      <c r="H286" s="6" t="str">
        <f t="shared" si="26"/>
        <v>INSERT INTO public.coupon (plancode, age, "year", couponrate, benefittype, benefitrate, premiumrate) VALUES('EN60', 14, 65, 8, 'A',800, 1.01);</v>
      </c>
      <c r="I286" s="6" t="str">
        <f t="shared" si="27"/>
        <v>{"age":"14", "year":"65", "couponrate":"8", "benefittype":"A", "benefitrate":"800", "premiumrate":"1.01"}</v>
      </c>
      <c r="J286" s="6" t="str">
        <f t="shared" si="28"/>
        <v>,</v>
      </c>
    </row>
    <row r="287" spans="1:10">
      <c r="A287" s="4" t="str">
        <f>'EN60'!A$3</f>
        <v>EN60</v>
      </c>
      <c r="B287" s="4">
        <f t="shared" si="29"/>
        <v>14</v>
      </c>
      <c r="C287" s="4">
        <f t="shared" si="30"/>
        <v>66</v>
      </c>
      <c r="D287" s="4">
        <f t="shared" si="24"/>
        <v>0</v>
      </c>
      <c r="E287" s="4" t="s">
        <v>27</v>
      </c>
      <c r="F287" s="4">
        <f t="shared" si="25"/>
        <v>800</v>
      </c>
      <c r="G287" s="5">
        <f t="shared" si="31"/>
        <v>1.01</v>
      </c>
      <c r="H287" s="6" t="str">
        <f t="shared" si="26"/>
        <v>INSERT INTO public.coupon (plancode, age, "year", couponrate, benefittype, benefitrate, premiumrate) VALUES('EN60', 14, 66, 0, 'A',800, 1.01);</v>
      </c>
      <c r="I287" s="6" t="str">
        <f t="shared" si="27"/>
        <v>{"age":"14", "year":"66", "couponrate":"0", "benefittype":"A", "benefitrate":"800", "premiumrate":"1.01"}</v>
      </c>
    </row>
    <row r="288" spans="1:10">
      <c r="C288" s="6"/>
      <c r="I288" s="6" t="s">
        <v>28</v>
      </c>
    </row>
    <row r="289" spans="1:10">
      <c r="A289" s="3" t="s">
        <v>2</v>
      </c>
      <c r="B289" s="3" t="s">
        <v>23</v>
      </c>
      <c r="C289" s="3" t="s">
        <v>24</v>
      </c>
      <c r="D289" s="3" t="s">
        <v>25</v>
      </c>
      <c r="E289" s="3" t="s">
        <v>8</v>
      </c>
      <c r="F289" s="3" t="s">
        <v>26</v>
      </c>
      <c r="G289" s="3" t="s">
        <v>4</v>
      </c>
      <c r="I289" s="6" t="str">
        <f>"[{""plancode"":"""&amp;A290&amp;""",""returncash"":"""&amp;B$7&amp;""",""ytable"":"""&amp;C$7&amp;""",""maturerate"":"""&amp;B$3&amp;""",""maturepmrate"":"""&amp;C$3&amp;""",""coupon"":["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290" spans="1:10">
      <c r="A290" s="4" t="str">
        <f>'EN60'!A$3</f>
        <v>EN60</v>
      </c>
      <c r="B290" s="8">
        <v>15</v>
      </c>
      <c r="C290" s="4">
        <v>1</v>
      </c>
      <c r="D290" s="4">
        <f t="shared" ref="D290:D354" si="32">IF(C290+B290=80,0,8)</f>
        <v>8</v>
      </c>
      <c r="E290" s="4" t="s">
        <v>27</v>
      </c>
      <c r="F290" s="4">
        <f t="shared" ref="F290:F354" si="33">IF(C290&gt;7, 800, C290*100)</f>
        <v>100</v>
      </c>
      <c r="G290" s="5">
        <f>'EN60'!C$3</f>
        <v>1.01</v>
      </c>
      <c r="H290" s="6" t="str">
        <f t="shared" ref="H290:H354" si="34">"INSERT INTO public.coupon ("&amp;A$11&amp;", "&amp;B$11&amp;", """&amp;C$11&amp;""", "&amp;D$11&amp;", "&amp;E$11&amp;", "&amp;F$11&amp;", "&amp;G$11&amp;") VALUES('"&amp;A290&amp;"', "&amp;B290&amp;", "&amp;C290&amp;", "&amp;D290&amp;", '"&amp;E290&amp;"',"&amp;F290&amp;", "&amp;G290&amp;");"</f>
        <v>INSERT INTO public.coupon (plancode, age, "year", couponrate, benefittype, benefitrate, premiumrate) VALUES('EN60', 15, 1, 8, 'A',100, 1.01);</v>
      </c>
      <c r="I290" s="6" t="str">
        <f t="shared" ref="I290:I354" si="35">"{""age"":"""&amp;B290&amp;""", ""year"":"""&amp;C290&amp;""", ""couponrate"":"""&amp;D290&amp;""", ""benefittype"":"""&amp;E290&amp;""", ""benefitrate"":"""&amp;F290&amp;""", """&amp;G$11&amp;""":"""&amp;G290&amp;"""}"</f>
        <v>{"age":"15", "year":"1", "couponrate":"8", "benefittype":"A", "benefitrate":"100", "premiumrate":"1.01"}</v>
      </c>
      <c r="J290" s="6" t="str">
        <f t="shared" ref="J290:J353" si="36">IF(OR(I291="]", I290="[", I290="]"), "", ",")</f>
        <v>,</v>
      </c>
    </row>
    <row r="291" spans="1:10">
      <c r="A291" s="4" t="str">
        <f>'EN60'!A$3</f>
        <v>EN60</v>
      </c>
      <c r="B291" s="4">
        <f t="shared" ref="B291:B354" si="37">B290</f>
        <v>15</v>
      </c>
      <c r="C291" s="4">
        <f t="shared" ref="C291:C354" si="38">C290+1</f>
        <v>2</v>
      </c>
      <c r="D291" s="4">
        <f t="shared" si="32"/>
        <v>8</v>
      </c>
      <c r="E291" s="4" t="s">
        <v>27</v>
      </c>
      <c r="F291" s="4">
        <f t="shared" si="33"/>
        <v>200</v>
      </c>
      <c r="G291" s="5">
        <f t="shared" ref="G291:G354" si="39">G290</f>
        <v>1.01</v>
      </c>
      <c r="H291" s="6" t="str">
        <f t="shared" si="34"/>
        <v>INSERT INTO public.coupon (plancode, age, "year", couponrate, benefittype, benefitrate, premiumrate) VALUES('EN60', 15, 2, 8, 'A',200, 1.01);</v>
      </c>
      <c r="I291" s="6" t="str">
        <f t="shared" si="35"/>
        <v>{"age":"15", "year":"2", "couponrate":"8", "benefittype":"A", "benefitrate":"200", "premiumrate":"1.01"}</v>
      </c>
      <c r="J291" s="6" t="str">
        <f t="shared" si="36"/>
        <v>,</v>
      </c>
    </row>
    <row r="292" spans="1:10">
      <c r="A292" s="4" t="str">
        <f>'EN60'!A$3</f>
        <v>EN60</v>
      </c>
      <c r="B292" s="4">
        <f t="shared" si="37"/>
        <v>15</v>
      </c>
      <c r="C292" s="4">
        <f t="shared" si="38"/>
        <v>3</v>
      </c>
      <c r="D292" s="4">
        <f t="shared" si="32"/>
        <v>8</v>
      </c>
      <c r="E292" s="4" t="s">
        <v>27</v>
      </c>
      <c r="F292" s="4">
        <f t="shared" si="33"/>
        <v>300</v>
      </c>
      <c r="G292" s="5">
        <f t="shared" si="39"/>
        <v>1.01</v>
      </c>
      <c r="H292" s="6" t="str">
        <f t="shared" si="34"/>
        <v>INSERT INTO public.coupon (plancode, age, "year", couponrate, benefittype, benefitrate, premiumrate) VALUES('EN60', 15, 3, 8, 'A',300, 1.01);</v>
      </c>
      <c r="I292" s="6" t="str">
        <f t="shared" si="35"/>
        <v>{"age":"15", "year":"3", "couponrate":"8", "benefittype":"A", "benefitrate":"300", "premiumrate":"1.01"}</v>
      </c>
      <c r="J292" s="6" t="str">
        <f t="shared" si="36"/>
        <v>,</v>
      </c>
    </row>
    <row r="293" spans="1:10">
      <c r="A293" s="4" t="str">
        <f>'EN60'!A$3</f>
        <v>EN60</v>
      </c>
      <c r="B293" s="4">
        <f t="shared" si="37"/>
        <v>15</v>
      </c>
      <c r="C293" s="4">
        <f t="shared" si="38"/>
        <v>4</v>
      </c>
      <c r="D293" s="4">
        <f t="shared" si="32"/>
        <v>8</v>
      </c>
      <c r="E293" s="4" t="s">
        <v>27</v>
      </c>
      <c r="F293" s="4">
        <f t="shared" si="33"/>
        <v>400</v>
      </c>
      <c r="G293" s="5">
        <f t="shared" si="39"/>
        <v>1.01</v>
      </c>
      <c r="H293" s="6" t="str">
        <f t="shared" si="34"/>
        <v>INSERT INTO public.coupon (plancode, age, "year", couponrate, benefittype, benefitrate, premiumrate) VALUES('EN60', 15, 4, 8, 'A',400, 1.01);</v>
      </c>
      <c r="I293" s="6" t="str">
        <f t="shared" si="35"/>
        <v>{"age":"15", "year":"4", "couponrate":"8", "benefittype":"A", "benefitrate":"400", "premiumrate":"1.01"}</v>
      </c>
      <c r="J293" s="6" t="str">
        <f t="shared" si="36"/>
        <v>,</v>
      </c>
    </row>
    <row r="294" spans="1:10">
      <c r="A294" s="4" t="str">
        <f>'EN60'!A$3</f>
        <v>EN60</v>
      </c>
      <c r="B294" s="4">
        <f t="shared" si="37"/>
        <v>15</v>
      </c>
      <c r="C294" s="4">
        <f t="shared" si="38"/>
        <v>5</v>
      </c>
      <c r="D294" s="4">
        <f t="shared" si="32"/>
        <v>8</v>
      </c>
      <c r="E294" s="4" t="s">
        <v>27</v>
      </c>
      <c r="F294" s="4">
        <f t="shared" si="33"/>
        <v>500</v>
      </c>
      <c r="G294" s="5">
        <f t="shared" si="39"/>
        <v>1.01</v>
      </c>
      <c r="H294" s="6" t="str">
        <f t="shared" si="34"/>
        <v>INSERT INTO public.coupon (plancode, age, "year", couponrate, benefittype, benefitrate, premiumrate) VALUES('EN60', 15, 5, 8, 'A',500, 1.01);</v>
      </c>
      <c r="I294" s="6" t="str">
        <f t="shared" si="35"/>
        <v>{"age":"15", "year":"5", "couponrate":"8", "benefittype":"A", "benefitrate":"500", "premiumrate":"1.01"}</v>
      </c>
      <c r="J294" s="6" t="str">
        <f t="shared" si="36"/>
        <v>,</v>
      </c>
    </row>
    <row r="295" spans="1:10">
      <c r="A295" s="4" t="str">
        <f>'EN60'!A$3</f>
        <v>EN60</v>
      </c>
      <c r="B295" s="4">
        <f t="shared" si="37"/>
        <v>15</v>
      </c>
      <c r="C295" s="4">
        <f t="shared" si="38"/>
        <v>6</v>
      </c>
      <c r="D295" s="4">
        <f t="shared" si="32"/>
        <v>8</v>
      </c>
      <c r="E295" s="4" t="s">
        <v>27</v>
      </c>
      <c r="F295" s="4">
        <f t="shared" si="33"/>
        <v>600</v>
      </c>
      <c r="G295" s="5">
        <f t="shared" si="39"/>
        <v>1.01</v>
      </c>
      <c r="H295" s="6" t="str">
        <f t="shared" si="34"/>
        <v>INSERT INTO public.coupon (plancode, age, "year", couponrate, benefittype, benefitrate, premiumrate) VALUES('EN60', 15, 6, 8, 'A',600, 1.01);</v>
      </c>
      <c r="I295" s="6" t="str">
        <f t="shared" si="35"/>
        <v>{"age":"15", "year":"6", "couponrate":"8", "benefittype":"A", "benefitrate":"600", "premiumrate":"1.01"}</v>
      </c>
      <c r="J295" s="6" t="str">
        <f t="shared" si="36"/>
        <v>,</v>
      </c>
    </row>
    <row r="296" spans="1:10">
      <c r="A296" s="4" t="str">
        <f>'EN60'!A$3</f>
        <v>EN60</v>
      </c>
      <c r="B296" s="4">
        <f t="shared" si="37"/>
        <v>15</v>
      </c>
      <c r="C296" s="4">
        <f t="shared" si="38"/>
        <v>7</v>
      </c>
      <c r="D296" s="4">
        <f t="shared" si="32"/>
        <v>8</v>
      </c>
      <c r="E296" s="4" t="s">
        <v>27</v>
      </c>
      <c r="F296" s="4">
        <f t="shared" si="33"/>
        <v>700</v>
      </c>
      <c r="G296" s="5">
        <f t="shared" si="39"/>
        <v>1.01</v>
      </c>
      <c r="H296" s="6" t="str">
        <f t="shared" si="34"/>
        <v>INSERT INTO public.coupon (plancode, age, "year", couponrate, benefittype, benefitrate, premiumrate) VALUES('EN60', 15, 7, 8, 'A',700, 1.01);</v>
      </c>
      <c r="I296" s="6" t="str">
        <f t="shared" si="35"/>
        <v>{"age":"15", "year":"7", "couponrate":"8", "benefittype":"A", "benefitrate":"700", "premiumrate":"1.01"}</v>
      </c>
      <c r="J296" s="6" t="str">
        <f t="shared" si="36"/>
        <v>,</v>
      </c>
    </row>
    <row r="297" spans="1:10">
      <c r="A297" s="4" t="str">
        <f>'EN60'!A$3</f>
        <v>EN60</v>
      </c>
      <c r="B297" s="4">
        <f t="shared" si="37"/>
        <v>15</v>
      </c>
      <c r="C297" s="4">
        <f t="shared" si="38"/>
        <v>8</v>
      </c>
      <c r="D297" s="4">
        <f t="shared" si="32"/>
        <v>8</v>
      </c>
      <c r="E297" s="4" t="s">
        <v>27</v>
      </c>
      <c r="F297" s="4">
        <f t="shared" si="33"/>
        <v>800</v>
      </c>
      <c r="G297" s="5">
        <f t="shared" si="39"/>
        <v>1.01</v>
      </c>
      <c r="H297" s="6" t="str">
        <f t="shared" si="34"/>
        <v>INSERT INTO public.coupon (plancode, age, "year", couponrate, benefittype, benefitrate, premiumrate) VALUES('EN60', 15, 8, 8, 'A',800, 1.01);</v>
      </c>
      <c r="I297" s="6" t="str">
        <f t="shared" si="35"/>
        <v>{"age":"15", "year":"8", "couponrate":"8", "benefittype":"A", "benefitrate":"800", "premiumrate":"1.01"}</v>
      </c>
      <c r="J297" s="6" t="str">
        <f t="shared" si="36"/>
        <v>,</v>
      </c>
    </row>
    <row r="298" spans="1:10">
      <c r="A298" s="4" t="str">
        <f>'EN60'!A$3</f>
        <v>EN60</v>
      </c>
      <c r="B298" s="4">
        <f t="shared" si="37"/>
        <v>15</v>
      </c>
      <c r="C298" s="4">
        <f t="shared" si="38"/>
        <v>9</v>
      </c>
      <c r="D298" s="4">
        <f t="shared" si="32"/>
        <v>8</v>
      </c>
      <c r="E298" s="4" t="s">
        <v>27</v>
      </c>
      <c r="F298" s="4">
        <f t="shared" si="33"/>
        <v>800</v>
      </c>
      <c r="G298" s="5">
        <f t="shared" si="39"/>
        <v>1.01</v>
      </c>
      <c r="H298" s="6" t="str">
        <f t="shared" si="34"/>
        <v>INSERT INTO public.coupon (plancode, age, "year", couponrate, benefittype, benefitrate, premiumrate) VALUES('EN60', 15, 9, 8, 'A',800, 1.01);</v>
      </c>
      <c r="I298" s="6" t="str">
        <f t="shared" si="35"/>
        <v>{"age":"15", "year":"9", "couponrate":"8", "benefittype":"A", "benefitrate":"800", "premiumrate":"1.01"}</v>
      </c>
      <c r="J298" s="6" t="str">
        <f t="shared" si="36"/>
        <v>,</v>
      </c>
    </row>
    <row r="299" spans="1:10">
      <c r="A299" s="4" t="str">
        <f>'EN60'!A$3</f>
        <v>EN60</v>
      </c>
      <c r="B299" s="4">
        <f t="shared" si="37"/>
        <v>15</v>
      </c>
      <c r="C299" s="4">
        <f t="shared" si="38"/>
        <v>10</v>
      </c>
      <c r="D299" s="4">
        <f t="shared" si="32"/>
        <v>8</v>
      </c>
      <c r="E299" s="4" t="s">
        <v>27</v>
      </c>
      <c r="F299" s="4">
        <f t="shared" si="33"/>
        <v>800</v>
      </c>
      <c r="G299" s="5">
        <f t="shared" si="39"/>
        <v>1.01</v>
      </c>
      <c r="H299" s="6" t="str">
        <f t="shared" si="34"/>
        <v>INSERT INTO public.coupon (plancode, age, "year", couponrate, benefittype, benefitrate, premiumrate) VALUES('EN60', 15, 10, 8, 'A',800, 1.01);</v>
      </c>
      <c r="I299" s="6" t="str">
        <f t="shared" si="35"/>
        <v>{"age":"15", "year":"10", "couponrate":"8", "benefittype":"A", "benefitrate":"800", "premiumrate":"1.01"}</v>
      </c>
      <c r="J299" s="6" t="str">
        <f t="shared" si="36"/>
        <v>,</v>
      </c>
    </row>
    <row r="300" spans="1:10">
      <c r="A300" s="4" t="str">
        <f>'EN60'!A$3</f>
        <v>EN60</v>
      </c>
      <c r="B300" s="4">
        <f t="shared" si="37"/>
        <v>15</v>
      </c>
      <c r="C300" s="4">
        <f t="shared" si="38"/>
        <v>11</v>
      </c>
      <c r="D300" s="4">
        <f t="shared" si="32"/>
        <v>8</v>
      </c>
      <c r="E300" s="4" t="s">
        <v>27</v>
      </c>
      <c r="F300" s="4">
        <f t="shared" si="33"/>
        <v>800</v>
      </c>
      <c r="G300" s="5">
        <f t="shared" si="39"/>
        <v>1.01</v>
      </c>
      <c r="H300" s="6" t="str">
        <f t="shared" si="34"/>
        <v>INSERT INTO public.coupon (plancode, age, "year", couponrate, benefittype, benefitrate, premiumrate) VALUES('EN60', 15, 11, 8, 'A',800, 1.01);</v>
      </c>
      <c r="I300" s="6" t="str">
        <f t="shared" si="35"/>
        <v>{"age":"15", "year":"11", "couponrate":"8", "benefittype":"A", "benefitrate":"800", "premiumrate":"1.01"}</v>
      </c>
      <c r="J300" s="6" t="str">
        <f t="shared" si="36"/>
        <v>,</v>
      </c>
    </row>
    <row r="301" spans="1:10">
      <c r="A301" s="4" t="str">
        <f>'EN60'!A$3</f>
        <v>EN60</v>
      </c>
      <c r="B301" s="4">
        <f t="shared" si="37"/>
        <v>15</v>
      </c>
      <c r="C301" s="4">
        <f t="shared" si="38"/>
        <v>12</v>
      </c>
      <c r="D301" s="4">
        <f t="shared" si="32"/>
        <v>8</v>
      </c>
      <c r="E301" s="4" t="s">
        <v>27</v>
      </c>
      <c r="F301" s="4">
        <f t="shared" si="33"/>
        <v>800</v>
      </c>
      <c r="G301" s="5">
        <f t="shared" si="39"/>
        <v>1.01</v>
      </c>
      <c r="H301" s="6" t="str">
        <f t="shared" si="34"/>
        <v>INSERT INTO public.coupon (plancode, age, "year", couponrate, benefittype, benefitrate, premiumrate) VALUES('EN60', 15, 12, 8, 'A',800, 1.01);</v>
      </c>
      <c r="I301" s="6" t="str">
        <f t="shared" si="35"/>
        <v>{"age":"15", "year":"12", "couponrate":"8", "benefittype":"A", "benefitrate":"800", "premiumrate":"1.01"}</v>
      </c>
      <c r="J301" s="6" t="str">
        <f t="shared" si="36"/>
        <v>,</v>
      </c>
    </row>
    <row r="302" spans="1:10">
      <c r="A302" s="4" t="str">
        <f>'EN60'!A$3</f>
        <v>EN60</v>
      </c>
      <c r="B302" s="4">
        <f t="shared" si="37"/>
        <v>15</v>
      </c>
      <c r="C302" s="4">
        <f t="shared" si="38"/>
        <v>13</v>
      </c>
      <c r="D302" s="4">
        <f t="shared" si="32"/>
        <v>8</v>
      </c>
      <c r="E302" s="4" t="s">
        <v>27</v>
      </c>
      <c r="F302" s="4">
        <f t="shared" si="33"/>
        <v>800</v>
      </c>
      <c r="G302" s="5">
        <f t="shared" si="39"/>
        <v>1.01</v>
      </c>
      <c r="H302" s="6" t="str">
        <f t="shared" si="34"/>
        <v>INSERT INTO public.coupon (plancode, age, "year", couponrate, benefittype, benefitrate, premiumrate) VALUES('EN60', 15, 13, 8, 'A',800, 1.01);</v>
      </c>
      <c r="I302" s="6" t="str">
        <f t="shared" si="35"/>
        <v>{"age":"15", "year":"13", "couponrate":"8", "benefittype":"A", "benefitrate":"800", "premiumrate":"1.01"}</v>
      </c>
      <c r="J302" s="6" t="str">
        <f t="shared" si="36"/>
        <v>,</v>
      </c>
    </row>
    <row r="303" spans="1:10">
      <c r="A303" s="4" t="str">
        <f>'EN60'!A$3</f>
        <v>EN60</v>
      </c>
      <c r="B303" s="4">
        <f t="shared" si="37"/>
        <v>15</v>
      </c>
      <c r="C303" s="4">
        <f t="shared" si="38"/>
        <v>14</v>
      </c>
      <c r="D303" s="4">
        <f t="shared" si="32"/>
        <v>8</v>
      </c>
      <c r="E303" s="4" t="s">
        <v>27</v>
      </c>
      <c r="F303" s="4">
        <f t="shared" si="33"/>
        <v>800</v>
      </c>
      <c r="G303" s="5">
        <f t="shared" si="39"/>
        <v>1.01</v>
      </c>
      <c r="H303" s="6" t="str">
        <f t="shared" si="34"/>
        <v>INSERT INTO public.coupon (plancode, age, "year", couponrate, benefittype, benefitrate, premiumrate) VALUES('EN60', 15, 14, 8, 'A',800, 1.01);</v>
      </c>
      <c r="I303" s="6" t="str">
        <f t="shared" si="35"/>
        <v>{"age":"15", "year":"14", "couponrate":"8", "benefittype":"A", "benefitrate":"800", "premiumrate":"1.01"}</v>
      </c>
      <c r="J303" s="6" t="str">
        <f t="shared" si="36"/>
        <v>,</v>
      </c>
    </row>
    <row r="304" spans="1:10">
      <c r="A304" s="4" t="str">
        <f>'EN60'!A$3</f>
        <v>EN60</v>
      </c>
      <c r="B304" s="4">
        <f t="shared" si="37"/>
        <v>15</v>
      </c>
      <c r="C304" s="4">
        <f t="shared" si="38"/>
        <v>15</v>
      </c>
      <c r="D304" s="4">
        <f t="shared" si="32"/>
        <v>8</v>
      </c>
      <c r="E304" s="4" t="s">
        <v>27</v>
      </c>
      <c r="F304" s="4">
        <f t="shared" si="33"/>
        <v>800</v>
      </c>
      <c r="G304" s="5">
        <f t="shared" si="39"/>
        <v>1.01</v>
      </c>
      <c r="H304" s="6" t="str">
        <f t="shared" si="34"/>
        <v>INSERT INTO public.coupon (plancode, age, "year", couponrate, benefittype, benefitrate, premiumrate) VALUES('EN60', 15, 15, 8, 'A',800, 1.01);</v>
      </c>
      <c r="I304" s="6" t="str">
        <f t="shared" si="35"/>
        <v>{"age":"15", "year":"15", "couponrate":"8", "benefittype":"A", "benefitrate":"800", "premiumrate":"1.01"}</v>
      </c>
      <c r="J304" s="6" t="str">
        <f t="shared" si="36"/>
        <v>,</v>
      </c>
    </row>
    <row r="305" spans="1:10">
      <c r="A305" s="4" t="str">
        <f>'EN60'!A$3</f>
        <v>EN60</v>
      </c>
      <c r="B305" s="4">
        <f t="shared" si="37"/>
        <v>15</v>
      </c>
      <c r="C305" s="4">
        <f t="shared" si="38"/>
        <v>16</v>
      </c>
      <c r="D305" s="4">
        <f t="shared" si="32"/>
        <v>8</v>
      </c>
      <c r="E305" s="4" t="s">
        <v>27</v>
      </c>
      <c r="F305" s="4">
        <f t="shared" si="33"/>
        <v>800</v>
      </c>
      <c r="G305" s="5">
        <f t="shared" si="39"/>
        <v>1.01</v>
      </c>
      <c r="H305" s="6" t="str">
        <f t="shared" si="34"/>
        <v>INSERT INTO public.coupon (plancode, age, "year", couponrate, benefittype, benefitrate, premiumrate) VALUES('EN60', 15, 16, 8, 'A',800, 1.01);</v>
      </c>
      <c r="I305" s="6" t="str">
        <f t="shared" si="35"/>
        <v>{"age":"15", "year":"16", "couponrate":"8", "benefittype":"A", "benefitrate":"800", "premiumrate":"1.01"}</v>
      </c>
      <c r="J305" s="6" t="str">
        <f t="shared" si="36"/>
        <v>,</v>
      </c>
    </row>
    <row r="306" spans="1:10">
      <c r="A306" s="4" t="str">
        <f>'EN60'!A$3</f>
        <v>EN60</v>
      </c>
      <c r="B306" s="4">
        <f t="shared" si="37"/>
        <v>15</v>
      </c>
      <c r="C306" s="4">
        <f t="shared" si="38"/>
        <v>17</v>
      </c>
      <c r="D306" s="4">
        <f t="shared" si="32"/>
        <v>8</v>
      </c>
      <c r="E306" s="4" t="s">
        <v>27</v>
      </c>
      <c r="F306" s="4">
        <f t="shared" si="33"/>
        <v>800</v>
      </c>
      <c r="G306" s="5">
        <f t="shared" si="39"/>
        <v>1.01</v>
      </c>
      <c r="H306" s="6" t="str">
        <f t="shared" si="34"/>
        <v>INSERT INTO public.coupon (plancode, age, "year", couponrate, benefittype, benefitrate, premiumrate) VALUES('EN60', 15, 17, 8, 'A',800, 1.01);</v>
      </c>
      <c r="I306" s="6" t="str">
        <f t="shared" si="35"/>
        <v>{"age":"15", "year":"17", "couponrate":"8", "benefittype":"A", "benefitrate":"800", "premiumrate":"1.01"}</v>
      </c>
      <c r="J306" s="6" t="str">
        <f t="shared" si="36"/>
        <v>,</v>
      </c>
    </row>
    <row r="307" spans="1:10">
      <c r="A307" s="4" t="str">
        <f>'EN60'!A$3</f>
        <v>EN60</v>
      </c>
      <c r="B307" s="4">
        <f t="shared" si="37"/>
        <v>15</v>
      </c>
      <c r="C307" s="4">
        <f t="shared" si="38"/>
        <v>18</v>
      </c>
      <c r="D307" s="4">
        <f t="shared" si="32"/>
        <v>8</v>
      </c>
      <c r="E307" s="4" t="s">
        <v>27</v>
      </c>
      <c r="F307" s="4">
        <f t="shared" si="33"/>
        <v>800</v>
      </c>
      <c r="G307" s="5">
        <f t="shared" si="39"/>
        <v>1.01</v>
      </c>
      <c r="H307" s="6" t="str">
        <f t="shared" si="34"/>
        <v>INSERT INTO public.coupon (plancode, age, "year", couponrate, benefittype, benefitrate, premiumrate) VALUES('EN60', 15, 18, 8, 'A',800, 1.01);</v>
      </c>
      <c r="I307" s="6" t="str">
        <f t="shared" si="35"/>
        <v>{"age":"15", "year":"18", "couponrate":"8", "benefittype":"A", "benefitrate":"800", "premiumrate":"1.01"}</v>
      </c>
      <c r="J307" s="6" t="str">
        <f t="shared" si="36"/>
        <v>,</v>
      </c>
    </row>
    <row r="308" spans="1:10">
      <c r="A308" s="4" t="str">
        <f>'EN60'!A$3</f>
        <v>EN60</v>
      </c>
      <c r="B308" s="4">
        <f t="shared" si="37"/>
        <v>15</v>
      </c>
      <c r="C308" s="4">
        <f t="shared" si="38"/>
        <v>19</v>
      </c>
      <c r="D308" s="4">
        <f t="shared" si="32"/>
        <v>8</v>
      </c>
      <c r="E308" s="4" t="s">
        <v>27</v>
      </c>
      <c r="F308" s="4">
        <f t="shared" si="33"/>
        <v>800</v>
      </c>
      <c r="G308" s="5">
        <f t="shared" si="39"/>
        <v>1.01</v>
      </c>
      <c r="H308" s="6" t="str">
        <f t="shared" si="34"/>
        <v>INSERT INTO public.coupon (plancode, age, "year", couponrate, benefittype, benefitrate, premiumrate) VALUES('EN60', 15, 19, 8, 'A',800, 1.01);</v>
      </c>
      <c r="I308" s="6" t="str">
        <f t="shared" si="35"/>
        <v>{"age":"15", "year":"19", "couponrate":"8", "benefittype":"A", "benefitrate":"800", "premiumrate":"1.01"}</v>
      </c>
      <c r="J308" s="6" t="str">
        <f t="shared" si="36"/>
        <v>,</v>
      </c>
    </row>
    <row r="309" spans="1:10">
      <c r="A309" s="4" t="str">
        <f>'EN60'!A$3</f>
        <v>EN60</v>
      </c>
      <c r="B309" s="4">
        <f t="shared" si="37"/>
        <v>15</v>
      </c>
      <c r="C309" s="4">
        <f t="shared" si="38"/>
        <v>20</v>
      </c>
      <c r="D309" s="4">
        <f t="shared" si="32"/>
        <v>8</v>
      </c>
      <c r="E309" s="4" t="s">
        <v>27</v>
      </c>
      <c r="F309" s="4">
        <f t="shared" si="33"/>
        <v>800</v>
      </c>
      <c r="G309" s="5">
        <f t="shared" si="39"/>
        <v>1.01</v>
      </c>
      <c r="H309" s="6" t="str">
        <f t="shared" si="34"/>
        <v>INSERT INTO public.coupon (plancode, age, "year", couponrate, benefittype, benefitrate, premiumrate) VALUES('EN60', 15, 20, 8, 'A',800, 1.01);</v>
      </c>
      <c r="I309" s="6" t="str">
        <f t="shared" si="35"/>
        <v>{"age":"15", "year":"20", "couponrate":"8", "benefittype":"A", "benefitrate":"800", "premiumrate":"1.01"}</v>
      </c>
      <c r="J309" s="6" t="str">
        <f t="shared" si="36"/>
        <v>,</v>
      </c>
    </row>
    <row r="310" spans="1:10">
      <c r="A310" s="4" t="str">
        <f>'EN60'!A$3</f>
        <v>EN60</v>
      </c>
      <c r="B310" s="4">
        <f t="shared" si="37"/>
        <v>15</v>
      </c>
      <c r="C310" s="4">
        <f t="shared" si="38"/>
        <v>21</v>
      </c>
      <c r="D310" s="4">
        <f t="shared" si="32"/>
        <v>8</v>
      </c>
      <c r="E310" s="4" t="s">
        <v>27</v>
      </c>
      <c r="F310" s="4">
        <f t="shared" si="33"/>
        <v>800</v>
      </c>
      <c r="G310" s="5">
        <f t="shared" si="39"/>
        <v>1.01</v>
      </c>
      <c r="H310" s="6" t="str">
        <f t="shared" si="34"/>
        <v>INSERT INTO public.coupon (plancode, age, "year", couponrate, benefittype, benefitrate, premiumrate) VALUES('EN60', 15, 21, 8, 'A',800, 1.01);</v>
      </c>
      <c r="I310" s="6" t="str">
        <f t="shared" si="35"/>
        <v>{"age":"15", "year":"21", "couponrate":"8", "benefittype":"A", "benefitrate":"800", "premiumrate":"1.01"}</v>
      </c>
      <c r="J310" s="6" t="str">
        <f t="shared" si="36"/>
        <v>,</v>
      </c>
    </row>
    <row r="311" spans="1:10">
      <c r="A311" s="4" t="str">
        <f>'EN60'!A$3</f>
        <v>EN60</v>
      </c>
      <c r="B311" s="4">
        <f t="shared" si="37"/>
        <v>15</v>
      </c>
      <c r="C311" s="4">
        <f t="shared" si="38"/>
        <v>22</v>
      </c>
      <c r="D311" s="4">
        <f t="shared" si="32"/>
        <v>8</v>
      </c>
      <c r="E311" s="4" t="s">
        <v>27</v>
      </c>
      <c r="F311" s="4">
        <f t="shared" si="33"/>
        <v>800</v>
      </c>
      <c r="G311" s="5">
        <f t="shared" si="39"/>
        <v>1.01</v>
      </c>
      <c r="H311" s="6" t="str">
        <f t="shared" si="34"/>
        <v>INSERT INTO public.coupon (plancode, age, "year", couponrate, benefittype, benefitrate, premiumrate) VALUES('EN60', 15, 22, 8, 'A',800, 1.01);</v>
      </c>
      <c r="I311" s="6" t="str">
        <f t="shared" si="35"/>
        <v>{"age":"15", "year":"22", "couponrate":"8", "benefittype":"A", "benefitrate":"800", "premiumrate":"1.01"}</v>
      </c>
      <c r="J311" s="6" t="str">
        <f t="shared" si="36"/>
        <v>,</v>
      </c>
    </row>
    <row r="312" spans="1:10">
      <c r="A312" s="4" t="str">
        <f>'EN60'!A$3</f>
        <v>EN60</v>
      </c>
      <c r="B312" s="4">
        <f t="shared" si="37"/>
        <v>15</v>
      </c>
      <c r="C312" s="4">
        <f t="shared" si="38"/>
        <v>23</v>
      </c>
      <c r="D312" s="4">
        <f t="shared" si="32"/>
        <v>8</v>
      </c>
      <c r="E312" s="4" t="s">
        <v>27</v>
      </c>
      <c r="F312" s="4">
        <f t="shared" si="33"/>
        <v>800</v>
      </c>
      <c r="G312" s="5">
        <f t="shared" si="39"/>
        <v>1.01</v>
      </c>
      <c r="H312" s="6" t="str">
        <f t="shared" si="34"/>
        <v>INSERT INTO public.coupon (plancode, age, "year", couponrate, benefittype, benefitrate, premiumrate) VALUES('EN60', 15, 23, 8, 'A',800, 1.01);</v>
      </c>
      <c r="I312" s="6" t="str">
        <f t="shared" si="35"/>
        <v>{"age":"15", "year":"23", "couponrate":"8", "benefittype":"A", "benefitrate":"800", "premiumrate":"1.01"}</v>
      </c>
      <c r="J312" s="6" t="str">
        <f t="shared" si="36"/>
        <v>,</v>
      </c>
    </row>
    <row r="313" spans="1:10">
      <c r="A313" s="4" t="str">
        <f>'EN60'!A$3</f>
        <v>EN60</v>
      </c>
      <c r="B313" s="4">
        <f t="shared" si="37"/>
        <v>15</v>
      </c>
      <c r="C313" s="4">
        <f t="shared" si="38"/>
        <v>24</v>
      </c>
      <c r="D313" s="4">
        <f t="shared" si="32"/>
        <v>8</v>
      </c>
      <c r="E313" s="4" t="s">
        <v>27</v>
      </c>
      <c r="F313" s="4">
        <f t="shared" si="33"/>
        <v>800</v>
      </c>
      <c r="G313" s="5">
        <f t="shared" si="39"/>
        <v>1.01</v>
      </c>
      <c r="H313" s="6" t="str">
        <f t="shared" si="34"/>
        <v>INSERT INTO public.coupon (plancode, age, "year", couponrate, benefittype, benefitrate, premiumrate) VALUES('EN60', 15, 24, 8, 'A',800, 1.01);</v>
      </c>
      <c r="I313" s="6" t="str">
        <f t="shared" si="35"/>
        <v>{"age":"15", "year":"24", "couponrate":"8", "benefittype":"A", "benefitrate":"800", "premiumrate":"1.01"}</v>
      </c>
      <c r="J313" s="6" t="str">
        <f t="shared" si="36"/>
        <v>,</v>
      </c>
    </row>
    <row r="314" spans="1:10">
      <c r="A314" s="4" t="str">
        <f>'EN60'!A$3</f>
        <v>EN60</v>
      </c>
      <c r="B314" s="4">
        <f t="shared" si="37"/>
        <v>15</v>
      </c>
      <c r="C314" s="4">
        <f t="shared" si="38"/>
        <v>25</v>
      </c>
      <c r="D314" s="4">
        <f t="shared" si="32"/>
        <v>8</v>
      </c>
      <c r="E314" s="4" t="s">
        <v>27</v>
      </c>
      <c r="F314" s="4">
        <f t="shared" si="33"/>
        <v>800</v>
      </c>
      <c r="G314" s="5">
        <f t="shared" si="39"/>
        <v>1.01</v>
      </c>
      <c r="H314" s="6" t="str">
        <f t="shared" si="34"/>
        <v>INSERT INTO public.coupon (plancode, age, "year", couponrate, benefittype, benefitrate, premiumrate) VALUES('EN60', 15, 25, 8, 'A',800, 1.01);</v>
      </c>
      <c r="I314" s="6" t="str">
        <f t="shared" si="35"/>
        <v>{"age":"15", "year":"25", "couponrate":"8", "benefittype":"A", "benefitrate":"800", "premiumrate":"1.01"}</v>
      </c>
      <c r="J314" s="6" t="str">
        <f t="shared" si="36"/>
        <v>,</v>
      </c>
    </row>
    <row r="315" spans="1:10">
      <c r="A315" s="4" t="str">
        <f>'EN60'!A$3</f>
        <v>EN60</v>
      </c>
      <c r="B315" s="4">
        <f t="shared" si="37"/>
        <v>15</v>
      </c>
      <c r="C315" s="4">
        <f t="shared" si="38"/>
        <v>26</v>
      </c>
      <c r="D315" s="4">
        <f t="shared" si="32"/>
        <v>8</v>
      </c>
      <c r="E315" s="4" t="s">
        <v>27</v>
      </c>
      <c r="F315" s="4">
        <f t="shared" si="33"/>
        <v>800</v>
      </c>
      <c r="G315" s="5">
        <f t="shared" si="39"/>
        <v>1.01</v>
      </c>
      <c r="H315" s="6" t="str">
        <f t="shared" si="34"/>
        <v>INSERT INTO public.coupon (plancode, age, "year", couponrate, benefittype, benefitrate, premiumrate) VALUES('EN60', 15, 26, 8, 'A',800, 1.01);</v>
      </c>
      <c r="I315" s="6" t="str">
        <f t="shared" si="35"/>
        <v>{"age":"15", "year":"26", "couponrate":"8", "benefittype":"A", "benefitrate":"800", "premiumrate":"1.01"}</v>
      </c>
      <c r="J315" s="6" t="str">
        <f t="shared" si="36"/>
        <v>,</v>
      </c>
    </row>
    <row r="316" spans="1:10">
      <c r="A316" s="4" t="str">
        <f>'EN60'!A$3</f>
        <v>EN60</v>
      </c>
      <c r="B316" s="4">
        <f t="shared" si="37"/>
        <v>15</v>
      </c>
      <c r="C316" s="4">
        <f t="shared" si="38"/>
        <v>27</v>
      </c>
      <c r="D316" s="4">
        <f t="shared" si="32"/>
        <v>8</v>
      </c>
      <c r="E316" s="4" t="s">
        <v>27</v>
      </c>
      <c r="F316" s="4">
        <f t="shared" si="33"/>
        <v>800</v>
      </c>
      <c r="G316" s="5">
        <f t="shared" si="39"/>
        <v>1.01</v>
      </c>
      <c r="H316" s="6" t="str">
        <f t="shared" si="34"/>
        <v>INSERT INTO public.coupon (plancode, age, "year", couponrate, benefittype, benefitrate, premiumrate) VALUES('EN60', 15, 27, 8, 'A',800, 1.01);</v>
      </c>
      <c r="I316" s="6" t="str">
        <f t="shared" si="35"/>
        <v>{"age":"15", "year":"27", "couponrate":"8", "benefittype":"A", "benefitrate":"800", "premiumrate":"1.01"}</v>
      </c>
      <c r="J316" s="6" t="str">
        <f t="shared" si="36"/>
        <v>,</v>
      </c>
    </row>
    <row r="317" spans="1:10">
      <c r="A317" s="4" t="str">
        <f>'EN60'!A$3</f>
        <v>EN60</v>
      </c>
      <c r="B317" s="4">
        <f t="shared" si="37"/>
        <v>15</v>
      </c>
      <c r="C317" s="4">
        <f t="shared" si="38"/>
        <v>28</v>
      </c>
      <c r="D317" s="4">
        <f t="shared" si="32"/>
        <v>8</v>
      </c>
      <c r="E317" s="4" t="s">
        <v>27</v>
      </c>
      <c r="F317" s="4">
        <f t="shared" si="33"/>
        <v>800</v>
      </c>
      <c r="G317" s="5">
        <f t="shared" si="39"/>
        <v>1.01</v>
      </c>
      <c r="H317" s="6" t="str">
        <f t="shared" si="34"/>
        <v>INSERT INTO public.coupon (plancode, age, "year", couponrate, benefittype, benefitrate, premiumrate) VALUES('EN60', 15, 28, 8, 'A',800, 1.01);</v>
      </c>
      <c r="I317" s="6" t="str">
        <f t="shared" si="35"/>
        <v>{"age":"15", "year":"28", "couponrate":"8", "benefittype":"A", "benefitrate":"800", "premiumrate":"1.01"}</v>
      </c>
      <c r="J317" s="6" t="str">
        <f t="shared" si="36"/>
        <v>,</v>
      </c>
    </row>
    <row r="318" spans="1:10">
      <c r="A318" s="4" t="str">
        <f>'EN60'!A$3</f>
        <v>EN60</v>
      </c>
      <c r="B318" s="4">
        <f t="shared" si="37"/>
        <v>15</v>
      </c>
      <c r="C318" s="4">
        <f t="shared" si="38"/>
        <v>29</v>
      </c>
      <c r="D318" s="4">
        <f t="shared" si="32"/>
        <v>8</v>
      </c>
      <c r="E318" s="4" t="s">
        <v>27</v>
      </c>
      <c r="F318" s="4">
        <f t="shared" si="33"/>
        <v>800</v>
      </c>
      <c r="G318" s="5">
        <f t="shared" si="39"/>
        <v>1.01</v>
      </c>
      <c r="H318" s="6" t="str">
        <f t="shared" si="34"/>
        <v>INSERT INTO public.coupon (plancode, age, "year", couponrate, benefittype, benefitrate, premiumrate) VALUES('EN60', 15, 29, 8, 'A',800, 1.01);</v>
      </c>
      <c r="I318" s="6" t="str">
        <f t="shared" si="35"/>
        <v>{"age":"15", "year":"29", "couponrate":"8", "benefittype":"A", "benefitrate":"800", "premiumrate":"1.01"}</v>
      </c>
      <c r="J318" s="6" t="str">
        <f t="shared" si="36"/>
        <v>,</v>
      </c>
    </row>
    <row r="319" spans="1:10">
      <c r="A319" s="4" t="str">
        <f>'EN60'!A$3</f>
        <v>EN60</v>
      </c>
      <c r="B319" s="4">
        <f t="shared" si="37"/>
        <v>15</v>
      </c>
      <c r="C319" s="4">
        <f t="shared" si="38"/>
        <v>30</v>
      </c>
      <c r="D319" s="4">
        <f t="shared" si="32"/>
        <v>8</v>
      </c>
      <c r="E319" s="4" t="s">
        <v>27</v>
      </c>
      <c r="F319" s="4">
        <f t="shared" si="33"/>
        <v>800</v>
      </c>
      <c r="G319" s="5">
        <f t="shared" si="39"/>
        <v>1.01</v>
      </c>
      <c r="H319" s="6" t="str">
        <f t="shared" si="34"/>
        <v>INSERT INTO public.coupon (plancode, age, "year", couponrate, benefittype, benefitrate, premiumrate) VALUES('EN60', 15, 30, 8, 'A',800, 1.01);</v>
      </c>
      <c r="I319" s="6" t="str">
        <f t="shared" si="35"/>
        <v>{"age":"15", "year":"30", "couponrate":"8", "benefittype":"A", "benefitrate":"800", "premiumrate":"1.01"}</v>
      </c>
      <c r="J319" s="6" t="str">
        <f t="shared" si="36"/>
        <v>,</v>
      </c>
    </row>
    <row r="320" spans="1:10">
      <c r="A320" s="4" t="str">
        <f>'EN60'!A$3</f>
        <v>EN60</v>
      </c>
      <c r="B320" s="4">
        <f t="shared" si="37"/>
        <v>15</v>
      </c>
      <c r="C320" s="4">
        <f t="shared" si="38"/>
        <v>31</v>
      </c>
      <c r="D320" s="4">
        <f t="shared" si="32"/>
        <v>8</v>
      </c>
      <c r="E320" s="4" t="s">
        <v>27</v>
      </c>
      <c r="F320" s="4">
        <f t="shared" si="33"/>
        <v>800</v>
      </c>
      <c r="G320" s="5">
        <f t="shared" si="39"/>
        <v>1.01</v>
      </c>
      <c r="H320" s="6" t="str">
        <f t="shared" si="34"/>
        <v>INSERT INTO public.coupon (plancode, age, "year", couponrate, benefittype, benefitrate, premiumrate) VALUES('EN60', 15, 31, 8, 'A',800, 1.01);</v>
      </c>
      <c r="I320" s="6" t="str">
        <f t="shared" si="35"/>
        <v>{"age":"15", "year":"31", "couponrate":"8", "benefittype":"A", "benefitrate":"800", "premiumrate":"1.01"}</v>
      </c>
      <c r="J320" s="6" t="str">
        <f t="shared" si="36"/>
        <v>,</v>
      </c>
    </row>
    <row r="321" spans="1:10">
      <c r="A321" s="4" t="str">
        <f>'EN60'!A$3</f>
        <v>EN60</v>
      </c>
      <c r="B321" s="4">
        <f t="shared" si="37"/>
        <v>15</v>
      </c>
      <c r="C321" s="4">
        <f t="shared" si="38"/>
        <v>32</v>
      </c>
      <c r="D321" s="4">
        <f t="shared" si="32"/>
        <v>8</v>
      </c>
      <c r="E321" s="4" t="s">
        <v>27</v>
      </c>
      <c r="F321" s="4">
        <f t="shared" si="33"/>
        <v>800</v>
      </c>
      <c r="G321" s="5">
        <f t="shared" si="39"/>
        <v>1.01</v>
      </c>
      <c r="H321" s="6" t="str">
        <f t="shared" si="34"/>
        <v>INSERT INTO public.coupon (plancode, age, "year", couponrate, benefittype, benefitrate, premiumrate) VALUES('EN60', 15, 32, 8, 'A',800, 1.01);</v>
      </c>
      <c r="I321" s="6" t="str">
        <f t="shared" si="35"/>
        <v>{"age":"15", "year":"32", "couponrate":"8", "benefittype":"A", "benefitrate":"800", "premiumrate":"1.01"}</v>
      </c>
      <c r="J321" s="6" t="str">
        <f t="shared" si="36"/>
        <v>,</v>
      </c>
    </row>
    <row r="322" spans="1:10">
      <c r="A322" s="4" t="str">
        <f>'EN60'!A$3</f>
        <v>EN60</v>
      </c>
      <c r="B322" s="4">
        <f t="shared" si="37"/>
        <v>15</v>
      </c>
      <c r="C322" s="4">
        <f t="shared" si="38"/>
        <v>33</v>
      </c>
      <c r="D322" s="4">
        <f t="shared" si="32"/>
        <v>8</v>
      </c>
      <c r="E322" s="4" t="s">
        <v>27</v>
      </c>
      <c r="F322" s="4">
        <f t="shared" si="33"/>
        <v>800</v>
      </c>
      <c r="G322" s="5">
        <f t="shared" si="39"/>
        <v>1.01</v>
      </c>
      <c r="H322" s="6" t="str">
        <f t="shared" si="34"/>
        <v>INSERT INTO public.coupon (plancode, age, "year", couponrate, benefittype, benefitrate, premiumrate) VALUES('EN60', 15, 33, 8, 'A',800, 1.01);</v>
      </c>
      <c r="I322" s="6" t="str">
        <f t="shared" si="35"/>
        <v>{"age":"15", "year":"33", "couponrate":"8", "benefittype":"A", "benefitrate":"800", "premiumrate":"1.01"}</v>
      </c>
      <c r="J322" s="6" t="str">
        <f t="shared" si="36"/>
        <v>,</v>
      </c>
    </row>
    <row r="323" spans="1:10">
      <c r="A323" s="4" t="str">
        <f>'EN60'!A$3</f>
        <v>EN60</v>
      </c>
      <c r="B323" s="4">
        <f t="shared" si="37"/>
        <v>15</v>
      </c>
      <c r="C323" s="4">
        <f t="shared" si="38"/>
        <v>34</v>
      </c>
      <c r="D323" s="4">
        <f t="shared" si="32"/>
        <v>8</v>
      </c>
      <c r="E323" s="4" t="s">
        <v>27</v>
      </c>
      <c r="F323" s="4">
        <f t="shared" si="33"/>
        <v>800</v>
      </c>
      <c r="G323" s="5">
        <f t="shared" si="39"/>
        <v>1.01</v>
      </c>
      <c r="H323" s="6" t="str">
        <f t="shared" si="34"/>
        <v>INSERT INTO public.coupon (plancode, age, "year", couponrate, benefittype, benefitrate, premiumrate) VALUES('EN60', 15, 34, 8, 'A',800, 1.01);</v>
      </c>
      <c r="I323" s="6" t="str">
        <f t="shared" si="35"/>
        <v>{"age":"15", "year":"34", "couponrate":"8", "benefittype":"A", "benefitrate":"800", "premiumrate":"1.01"}</v>
      </c>
      <c r="J323" s="6" t="str">
        <f t="shared" si="36"/>
        <v>,</v>
      </c>
    </row>
    <row r="324" spans="1:10">
      <c r="A324" s="4" t="str">
        <f>'EN60'!A$3</f>
        <v>EN60</v>
      </c>
      <c r="B324" s="4">
        <f t="shared" si="37"/>
        <v>15</v>
      </c>
      <c r="C324" s="4">
        <f t="shared" si="38"/>
        <v>35</v>
      </c>
      <c r="D324" s="4">
        <f t="shared" si="32"/>
        <v>8</v>
      </c>
      <c r="E324" s="4" t="s">
        <v>27</v>
      </c>
      <c r="F324" s="4">
        <f t="shared" si="33"/>
        <v>800</v>
      </c>
      <c r="G324" s="5">
        <f t="shared" si="39"/>
        <v>1.01</v>
      </c>
      <c r="H324" s="6" t="str">
        <f t="shared" si="34"/>
        <v>INSERT INTO public.coupon (plancode, age, "year", couponrate, benefittype, benefitrate, premiumrate) VALUES('EN60', 15, 35, 8, 'A',800, 1.01);</v>
      </c>
      <c r="I324" s="6" t="str">
        <f t="shared" si="35"/>
        <v>{"age":"15", "year":"35", "couponrate":"8", "benefittype":"A", "benefitrate":"800", "premiumrate":"1.01"}</v>
      </c>
      <c r="J324" s="6" t="str">
        <f t="shared" si="36"/>
        <v>,</v>
      </c>
    </row>
    <row r="325" spans="1:10">
      <c r="A325" s="4" t="str">
        <f>'EN60'!A$3</f>
        <v>EN60</v>
      </c>
      <c r="B325" s="4">
        <f t="shared" si="37"/>
        <v>15</v>
      </c>
      <c r="C325" s="4">
        <f t="shared" si="38"/>
        <v>36</v>
      </c>
      <c r="D325" s="4">
        <f t="shared" si="32"/>
        <v>8</v>
      </c>
      <c r="E325" s="4" t="s">
        <v>27</v>
      </c>
      <c r="F325" s="4">
        <f t="shared" si="33"/>
        <v>800</v>
      </c>
      <c r="G325" s="5">
        <f t="shared" si="39"/>
        <v>1.01</v>
      </c>
      <c r="H325" s="6" t="str">
        <f t="shared" si="34"/>
        <v>INSERT INTO public.coupon (plancode, age, "year", couponrate, benefittype, benefitrate, premiumrate) VALUES('EN60', 15, 36, 8, 'A',800, 1.01);</v>
      </c>
      <c r="I325" s="6" t="str">
        <f t="shared" si="35"/>
        <v>{"age":"15", "year":"36", "couponrate":"8", "benefittype":"A", "benefitrate":"800", "premiumrate":"1.01"}</v>
      </c>
      <c r="J325" s="6" t="str">
        <f t="shared" si="36"/>
        <v>,</v>
      </c>
    </row>
    <row r="326" spans="1:10">
      <c r="A326" s="4" t="str">
        <f>'EN60'!A$3</f>
        <v>EN60</v>
      </c>
      <c r="B326" s="4">
        <f t="shared" si="37"/>
        <v>15</v>
      </c>
      <c r="C326" s="4">
        <f t="shared" si="38"/>
        <v>37</v>
      </c>
      <c r="D326" s="4">
        <f t="shared" si="32"/>
        <v>8</v>
      </c>
      <c r="E326" s="4" t="s">
        <v>27</v>
      </c>
      <c r="F326" s="4">
        <f t="shared" si="33"/>
        <v>800</v>
      </c>
      <c r="G326" s="5">
        <f t="shared" si="39"/>
        <v>1.01</v>
      </c>
      <c r="H326" s="6" t="str">
        <f t="shared" si="34"/>
        <v>INSERT INTO public.coupon (plancode, age, "year", couponrate, benefittype, benefitrate, premiumrate) VALUES('EN60', 15, 37, 8, 'A',800, 1.01);</v>
      </c>
      <c r="I326" s="6" t="str">
        <f t="shared" si="35"/>
        <v>{"age":"15", "year":"37", "couponrate":"8", "benefittype":"A", "benefitrate":"800", "premiumrate":"1.01"}</v>
      </c>
      <c r="J326" s="6" t="str">
        <f t="shared" si="36"/>
        <v>,</v>
      </c>
    </row>
    <row r="327" spans="1:10">
      <c r="A327" s="4" t="str">
        <f>'EN60'!A$3</f>
        <v>EN60</v>
      </c>
      <c r="B327" s="4">
        <f t="shared" si="37"/>
        <v>15</v>
      </c>
      <c r="C327" s="4">
        <f t="shared" si="38"/>
        <v>38</v>
      </c>
      <c r="D327" s="4">
        <f t="shared" si="32"/>
        <v>8</v>
      </c>
      <c r="E327" s="4" t="s">
        <v>27</v>
      </c>
      <c r="F327" s="4">
        <f t="shared" si="33"/>
        <v>800</v>
      </c>
      <c r="G327" s="5">
        <f t="shared" si="39"/>
        <v>1.01</v>
      </c>
      <c r="H327" s="6" t="str">
        <f t="shared" si="34"/>
        <v>INSERT INTO public.coupon (plancode, age, "year", couponrate, benefittype, benefitrate, premiumrate) VALUES('EN60', 15, 38, 8, 'A',800, 1.01);</v>
      </c>
      <c r="I327" s="6" t="str">
        <f t="shared" si="35"/>
        <v>{"age":"15", "year":"38", "couponrate":"8", "benefittype":"A", "benefitrate":"800", "premiumrate":"1.01"}</v>
      </c>
      <c r="J327" s="6" t="str">
        <f t="shared" si="36"/>
        <v>,</v>
      </c>
    </row>
    <row r="328" spans="1:10">
      <c r="A328" s="4" t="str">
        <f>'EN60'!A$3</f>
        <v>EN60</v>
      </c>
      <c r="B328" s="4">
        <f t="shared" si="37"/>
        <v>15</v>
      </c>
      <c r="C328" s="4">
        <f t="shared" si="38"/>
        <v>39</v>
      </c>
      <c r="D328" s="4">
        <f t="shared" si="32"/>
        <v>8</v>
      </c>
      <c r="E328" s="4" t="s">
        <v>27</v>
      </c>
      <c r="F328" s="4">
        <f t="shared" si="33"/>
        <v>800</v>
      </c>
      <c r="G328" s="5">
        <f t="shared" si="39"/>
        <v>1.01</v>
      </c>
      <c r="H328" s="6" t="str">
        <f t="shared" si="34"/>
        <v>INSERT INTO public.coupon (plancode, age, "year", couponrate, benefittype, benefitrate, premiumrate) VALUES('EN60', 15, 39, 8, 'A',800, 1.01);</v>
      </c>
      <c r="I328" s="6" t="str">
        <f t="shared" si="35"/>
        <v>{"age":"15", "year":"39", "couponrate":"8", "benefittype":"A", "benefitrate":"800", "premiumrate":"1.01"}</v>
      </c>
      <c r="J328" s="6" t="str">
        <f t="shared" si="36"/>
        <v>,</v>
      </c>
    </row>
    <row r="329" spans="1:10">
      <c r="A329" s="4" t="str">
        <f>'EN60'!A$3</f>
        <v>EN60</v>
      </c>
      <c r="B329" s="4">
        <f t="shared" si="37"/>
        <v>15</v>
      </c>
      <c r="C329" s="4">
        <f t="shared" si="38"/>
        <v>40</v>
      </c>
      <c r="D329" s="4">
        <f t="shared" si="32"/>
        <v>8</v>
      </c>
      <c r="E329" s="4" t="s">
        <v>27</v>
      </c>
      <c r="F329" s="4">
        <f t="shared" si="33"/>
        <v>800</v>
      </c>
      <c r="G329" s="5">
        <f t="shared" si="39"/>
        <v>1.01</v>
      </c>
      <c r="H329" s="6" t="str">
        <f t="shared" si="34"/>
        <v>INSERT INTO public.coupon (plancode, age, "year", couponrate, benefittype, benefitrate, premiumrate) VALUES('EN60', 15, 40, 8, 'A',800, 1.01);</v>
      </c>
      <c r="I329" s="6" t="str">
        <f t="shared" si="35"/>
        <v>{"age":"15", "year":"40", "couponrate":"8", "benefittype":"A", "benefitrate":"800", "premiumrate":"1.01"}</v>
      </c>
      <c r="J329" s="6" t="str">
        <f t="shared" si="36"/>
        <v>,</v>
      </c>
    </row>
    <row r="330" spans="1:10">
      <c r="A330" s="4" t="str">
        <f>'EN60'!A$3</f>
        <v>EN60</v>
      </c>
      <c r="B330" s="4">
        <f t="shared" si="37"/>
        <v>15</v>
      </c>
      <c r="C330" s="4">
        <f t="shared" si="38"/>
        <v>41</v>
      </c>
      <c r="D330" s="4">
        <f t="shared" si="32"/>
        <v>8</v>
      </c>
      <c r="E330" s="4" t="s">
        <v>27</v>
      </c>
      <c r="F330" s="4">
        <f t="shared" si="33"/>
        <v>800</v>
      </c>
      <c r="G330" s="5">
        <f t="shared" si="39"/>
        <v>1.01</v>
      </c>
      <c r="H330" s="6" t="str">
        <f t="shared" si="34"/>
        <v>INSERT INTO public.coupon (plancode, age, "year", couponrate, benefittype, benefitrate, premiumrate) VALUES('EN60', 15, 41, 8, 'A',800, 1.01);</v>
      </c>
      <c r="I330" s="6" t="str">
        <f t="shared" si="35"/>
        <v>{"age":"15", "year":"41", "couponrate":"8", "benefittype":"A", "benefitrate":"800", "premiumrate":"1.01"}</v>
      </c>
      <c r="J330" s="6" t="str">
        <f t="shared" si="36"/>
        <v>,</v>
      </c>
    </row>
    <row r="331" spans="1:10">
      <c r="A331" s="4" t="str">
        <f>'EN60'!A$3</f>
        <v>EN60</v>
      </c>
      <c r="B331" s="4">
        <f t="shared" si="37"/>
        <v>15</v>
      </c>
      <c r="C331" s="4">
        <f t="shared" si="38"/>
        <v>42</v>
      </c>
      <c r="D331" s="4">
        <f t="shared" si="32"/>
        <v>8</v>
      </c>
      <c r="E331" s="4" t="s">
        <v>27</v>
      </c>
      <c r="F331" s="4">
        <f t="shared" si="33"/>
        <v>800</v>
      </c>
      <c r="G331" s="5">
        <f t="shared" si="39"/>
        <v>1.01</v>
      </c>
      <c r="H331" s="6" t="str">
        <f t="shared" si="34"/>
        <v>INSERT INTO public.coupon (plancode, age, "year", couponrate, benefittype, benefitrate, premiumrate) VALUES('EN60', 15, 42, 8, 'A',800, 1.01);</v>
      </c>
      <c r="I331" s="6" t="str">
        <f t="shared" si="35"/>
        <v>{"age":"15", "year":"42", "couponrate":"8", "benefittype":"A", "benefitrate":"800", "premiumrate":"1.01"}</v>
      </c>
      <c r="J331" s="6" t="str">
        <f t="shared" si="36"/>
        <v>,</v>
      </c>
    </row>
    <row r="332" spans="1:10">
      <c r="A332" s="4" t="str">
        <f>'EN60'!A$3</f>
        <v>EN60</v>
      </c>
      <c r="B332" s="4">
        <f t="shared" si="37"/>
        <v>15</v>
      </c>
      <c r="C332" s="4">
        <f t="shared" si="38"/>
        <v>43</v>
      </c>
      <c r="D332" s="4">
        <f t="shared" si="32"/>
        <v>8</v>
      </c>
      <c r="E332" s="4" t="s">
        <v>27</v>
      </c>
      <c r="F332" s="4">
        <f t="shared" si="33"/>
        <v>800</v>
      </c>
      <c r="G332" s="5">
        <f t="shared" si="39"/>
        <v>1.01</v>
      </c>
      <c r="H332" s="6" t="str">
        <f t="shared" si="34"/>
        <v>INSERT INTO public.coupon (plancode, age, "year", couponrate, benefittype, benefitrate, premiumrate) VALUES('EN60', 15, 43, 8, 'A',800, 1.01);</v>
      </c>
      <c r="I332" s="6" t="str">
        <f t="shared" si="35"/>
        <v>{"age":"15", "year":"43", "couponrate":"8", "benefittype":"A", "benefitrate":"800", "premiumrate":"1.01"}</v>
      </c>
      <c r="J332" s="6" t="str">
        <f t="shared" si="36"/>
        <v>,</v>
      </c>
    </row>
    <row r="333" spans="1:10">
      <c r="A333" s="4" t="str">
        <f>'EN60'!A$3</f>
        <v>EN60</v>
      </c>
      <c r="B333" s="4">
        <f t="shared" si="37"/>
        <v>15</v>
      </c>
      <c r="C333" s="4">
        <f t="shared" si="38"/>
        <v>44</v>
      </c>
      <c r="D333" s="4">
        <f t="shared" si="32"/>
        <v>8</v>
      </c>
      <c r="E333" s="4" t="s">
        <v>27</v>
      </c>
      <c r="F333" s="4">
        <f t="shared" si="33"/>
        <v>800</v>
      </c>
      <c r="G333" s="5">
        <f t="shared" si="39"/>
        <v>1.01</v>
      </c>
      <c r="H333" s="6" t="str">
        <f t="shared" si="34"/>
        <v>INSERT INTO public.coupon (plancode, age, "year", couponrate, benefittype, benefitrate, premiumrate) VALUES('EN60', 15, 44, 8, 'A',800, 1.01);</v>
      </c>
      <c r="I333" s="6" t="str">
        <f t="shared" si="35"/>
        <v>{"age":"15", "year":"44", "couponrate":"8", "benefittype":"A", "benefitrate":"800", "premiumrate":"1.01"}</v>
      </c>
      <c r="J333" s="6" t="str">
        <f t="shared" si="36"/>
        <v>,</v>
      </c>
    </row>
    <row r="334" spans="1:10">
      <c r="A334" s="4" t="str">
        <f>'EN60'!A$3</f>
        <v>EN60</v>
      </c>
      <c r="B334" s="4">
        <f t="shared" si="37"/>
        <v>15</v>
      </c>
      <c r="C334" s="4">
        <f t="shared" si="38"/>
        <v>45</v>
      </c>
      <c r="D334" s="4">
        <f t="shared" si="32"/>
        <v>8</v>
      </c>
      <c r="E334" s="4" t="s">
        <v>27</v>
      </c>
      <c r="F334" s="4">
        <f t="shared" si="33"/>
        <v>800</v>
      </c>
      <c r="G334" s="5">
        <f t="shared" si="39"/>
        <v>1.01</v>
      </c>
      <c r="H334" s="6" t="str">
        <f t="shared" si="34"/>
        <v>INSERT INTO public.coupon (plancode, age, "year", couponrate, benefittype, benefitrate, premiumrate) VALUES('EN60', 15, 45, 8, 'A',800, 1.01);</v>
      </c>
      <c r="I334" s="6" t="str">
        <f t="shared" si="35"/>
        <v>{"age":"15", "year":"45", "couponrate":"8", "benefittype":"A", "benefitrate":"800", "premiumrate":"1.01"}</v>
      </c>
      <c r="J334" s="6" t="str">
        <f t="shared" si="36"/>
        <v>,</v>
      </c>
    </row>
    <row r="335" spans="1:10">
      <c r="A335" s="4" t="str">
        <f>'EN60'!A$3</f>
        <v>EN60</v>
      </c>
      <c r="B335" s="4">
        <f t="shared" si="37"/>
        <v>15</v>
      </c>
      <c r="C335" s="4">
        <f t="shared" si="38"/>
        <v>46</v>
      </c>
      <c r="D335" s="4">
        <f t="shared" si="32"/>
        <v>8</v>
      </c>
      <c r="E335" s="4" t="s">
        <v>27</v>
      </c>
      <c r="F335" s="4">
        <f t="shared" si="33"/>
        <v>800</v>
      </c>
      <c r="G335" s="5">
        <f t="shared" si="39"/>
        <v>1.01</v>
      </c>
      <c r="H335" s="6" t="str">
        <f t="shared" si="34"/>
        <v>INSERT INTO public.coupon (plancode, age, "year", couponrate, benefittype, benefitrate, premiumrate) VALUES('EN60', 15, 46, 8, 'A',800, 1.01);</v>
      </c>
      <c r="I335" s="6" t="str">
        <f t="shared" si="35"/>
        <v>{"age":"15", "year":"46", "couponrate":"8", "benefittype":"A", "benefitrate":"800", "premiumrate":"1.01"}</v>
      </c>
      <c r="J335" s="6" t="str">
        <f t="shared" si="36"/>
        <v>,</v>
      </c>
    </row>
    <row r="336" spans="1:10">
      <c r="A336" s="4" t="str">
        <f>'EN60'!A$3</f>
        <v>EN60</v>
      </c>
      <c r="B336" s="4">
        <f t="shared" si="37"/>
        <v>15</v>
      </c>
      <c r="C336" s="4">
        <f t="shared" si="38"/>
        <v>47</v>
      </c>
      <c r="D336" s="4">
        <f t="shared" si="32"/>
        <v>8</v>
      </c>
      <c r="E336" s="4" t="s">
        <v>27</v>
      </c>
      <c r="F336" s="4">
        <f t="shared" si="33"/>
        <v>800</v>
      </c>
      <c r="G336" s="5">
        <f t="shared" si="39"/>
        <v>1.01</v>
      </c>
      <c r="H336" s="6" t="str">
        <f t="shared" si="34"/>
        <v>INSERT INTO public.coupon (plancode, age, "year", couponrate, benefittype, benefitrate, premiumrate) VALUES('EN60', 15, 47, 8, 'A',800, 1.01);</v>
      </c>
      <c r="I336" s="6" t="str">
        <f t="shared" si="35"/>
        <v>{"age":"15", "year":"47", "couponrate":"8", "benefittype":"A", "benefitrate":"800", "premiumrate":"1.01"}</v>
      </c>
      <c r="J336" s="6" t="str">
        <f t="shared" si="36"/>
        <v>,</v>
      </c>
    </row>
    <row r="337" spans="1:10">
      <c r="A337" s="4" t="str">
        <f>'EN60'!A$3</f>
        <v>EN60</v>
      </c>
      <c r="B337" s="4">
        <f t="shared" si="37"/>
        <v>15</v>
      </c>
      <c r="C337" s="4">
        <f t="shared" si="38"/>
        <v>48</v>
      </c>
      <c r="D337" s="4">
        <f t="shared" si="32"/>
        <v>8</v>
      </c>
      <c r="E337" s="4" t="s">
        <v>27</v>
      </c>
      <c r="F337" s="4">
        <f t="shared" si="33"/>
        <v>800</v>
      </c>
      <c r="G337" s="5">
        <f t="shared" si="39"/>
        <v>1.01</v>
      </c>
      <c r="H337" s="6" t="str">
        <f t="shared" si="34"/>
        <v>INSERT INTO public.coupon (plancode, age, "year", couponrate, benefittype, benefitrate, premiumrate) VALUES('EN60', 15, 48, 8, 'A',800, 1.01);</v>
      </c>
      <c r="I337" s="6" t="str">
        <f t="shared" si="35"/>
        <v>{"age":"15", "year":"48", "couponrate":"8", "benefittype":"A", "benefitrate":"800", "premiumrate":"1.01"}</v>
      </c>
      <c r="J337" s="6" t="str">
        <f t="shared" si="36"/>
        <v>,</v>
      </c>
    </row>
    <row r="338" spans="1:10">
      <c r="A338" s="4" t="str">
        <f>'EN60'!A$3</f>
        <v>EN60</v>
      </c>
      <c r="B338" s="4">
        <f t="shared" si="37"/>
        <v>15</v>
      </c>
      <c r="C338" s="4">
        <f t="shared" si="38"/>
        <v>49</v>
      </c>
      <c r="D338" s="4">
        <f t="shared" si="32"/>
        <v>8</v>
      </c>
      <c r="E338" s="4" t="s">
        <v>27</v>
      </c>
      <c r="F338" s="4">
        <f t="shared" si="33"/>
        <v>800</v>
      </c>
      <c r="G338" s="5">
        <f t="shared" si="39"/>
        <v>1.01</v>
      </c>
      <c r="H338" s="6" t="str">
        <f t="shared" si="34"/>
        <v>INSERT INTO public.coupon (plancode, age, "year", couponrate, benefittype, benefitrate, premiumrate) VALUES('EN60', 15, 49, 8, 'A',800, 1.01);</v>
      </c>
      <c r="I338" s="6" t="str">
        <f t="shared" si="35"/>
        <v>{"age":"15", "year":"49", "couponrate":"8", "benefittype":"A", "benefitrate":"800", "premiumrate":"1.01"}</v>
      </c>
      <c r="J338" s="6" t="str">
        <f t="shared" si="36"/>
        <v>,</v>
      </c>
    </row>
    <row r="339" spans="1:10">
      <c r="A339" s="4" t="str">
        <f>'EN60'!A$3</f>
        <v>EN60</v>
      </c>
      <c r="B339" s="4">
        <f t="shared" si="37"/>
        <v>15</v>
      </c>
      <c r="C339" s="4">
        <f t="shared" si="38"/>
        <v>50</v>
      </c>
      <c r="D339" s="4">
        <f t="shared" si="32"/>
        <v>8</v>
      </c>
      <c r="E339" s="4" t="s">
        <v>27</v>
      </c>
      <c r="F339" s="4">
        <f t="shared" si="33"/>
        <v>800</v>
      </c>
      <c r="G339" s="5">
        <f t="shared" si="39"/>
        <v>1.01</v>
      </c>
      <c r="H339" s="6" t="str">
        <f t="shared" si="34"/>
        <v>INSERT INTO public.coupon (plancode, age, "year", couponrate, benefittype, benefitrate, premiumrate) VALUES('EN60', 15, 50, 8, 'A',800, 1.01);</v>
      </c>
      <c r="I339" s="6" t="str">
        <f t="shared" si="35"/>
        <v>{"age":"15", "year":"50", "couponrate":"8", "benefittype":"A", "benefitrate":"800", "premiumrate":"1.01"}</v>
      </c>
      <c r="J339" s="6" t="str">
        <f t="shared" si="36"/>
        <v>,</v>
      </c>
    </row>
    <row r="340" spans="1:10">
      <c r="A340" s="4" t="str">
        <f>'EN60'!A$3</f>
        <v>EN60</v>
      </c>
      <c r="B340" s="4">
        <f t="shared" si="37"/>
        <v>15</v>
      </c>
      <c r="C340" s="4">
        <f t="shared" si="38"/>
        <v>51</v>
      </c>
      <c r="D340" s="4">
        <f t="shared" si="32"/>
        <v>8</v>
      </c>
      <c r="E340" s="4" t="s">
        <v>27</v>
      </c>
      <c r="F340" s="4">
        <f t="shared" si="33"/>
        <v>800</v>
      </c>
      <c r="G340" s="5">
        <f t="shared" si="39"/>
        <v>1.01</v>
      </c>
      <c r="H340" s="6" t="str">
        <f t="shared" si="34"/>
        <v>INSERT INTO public.coupon (plancode, age, "year", couponrate, benefittype, benefitrate, premiumrate) VALUES('EN60', 15, 51, 8, 'A',800, 1.01);</v>
      </c>
      <c r="I340" s="6" t="str">
        <f t="shared" si="35"/>
        <v>{"age":"15", "year":"51", "couponrate":"8", "benefittype":"A", "benefitrate":"800", "premiumrate":"1.01"}</v>
      </c>
      <c r="J340" s="6" t="str">
        <f t="shared" si="36"/>
        <v>,</v>
      </c>
    </row>
    <row r="341" spans="1:10">
      <c r="A341" s="4" t="str">
        <f>'EN60'!A$3</f>
        <v>EN60</v>
      </c>
      <c r="B341" s="4">
        <f t="shared" si="37"/>
        <v>15</v>
      </c>
      <c r="C341" s="4">
        <f t="shared" si="38"/>
        <v>52</v>
      </c>
      <c r="D341" s="4">
        <f t="shared" si="32"/>
        <v>8</v>
      </c>
      <c r="E341" s="4" t="s">
        <v>27</v>
      </c>
      <c r="F341" s="4">
        <f t="shared" si="33"/>
        <v>800</v>
      </c>
      <c r="G341" s="5">
        <f t="shared" si="39"/>
        <v>1.01</v>
      </c>
      <c r="H341" s="6" t="str">
        <f t="shared" si="34"/>
        <v>INSERT INTO public.coupon (plancode, age, "year", couponrate, benefittype, benefitrate, premiumrate) VALUES('EN60', 15, 52, 8, 'A',800, 1.01);</v>
      </c>
      <c r="I341" s="6" t="str">
        <f t="shared" si="35"/>
        <v>{"age":"15", "year":"52", "couponrate":"8", "benefittype":"A", "benefitrate":"800", "premiumrate":"1.01"}</v>
      </c>
      <c r="J341" s="6" t="str">
        <f t="shared" si="36"/>
        <v>,</v>
      </c>
    </row>
    <row r="342" spans="1:10">
      <c r="A342" s="4" t="str">
        <f>'EN60'!A$3</f>
        <v>EN60</v>
      </c>
      <c r="B342" s="4">
        <f t="shared" si="37"/>
        <v>15</v>
      </c>
      <c r="C342" s="4">
        <f t="shared" si="38"/>
        <v>53</v>
      </c>
      <c r="D342" s="4">
        <f t="shared" si="32"/>
        <v>8</v>
      </c>
      <c r="E342" s="4" t="s">
        <v>27</v>
      </c>
      <c r="F342" s="4">
        <f t="shared" si="33"/>
        <v>800</v>
      </c>
      <c r="G342" s="5">
        <f t="shared" si="39"/>
        <v>1.01</v>
      </c>
      <c r="H342" s="6" t="str">
        <f t="shared" si="34"/>
        <v>INSERT INTO public.coupon (plancode, age, "year", couponrate, benefittype, benefitrate, premiumrate) VALUES('EN60', 15, 53, 8, 'A',800, 1.01);</v>
      </c>
      <c r="I342" s="6" t="str">
        <f t="shared" si="35"/>
        <v>{"age":"15", "year":"53", "couponrate":"8", "benefittype":"A", "benefitrate":"800", "premiumrate":"1.01"}</v>
      </c>
      <c r="J342" s="6" t="str">
        <f t="shared" si="36"/>
        <v>,</v>
      </c>
    </row>
    <row r="343" spans="1:10">
      <c r="A343" s="4" t="str">
        <f>'EN60'!A$3</f>
        <v>EN60</v>
      </c>
      <c r="B343" s="4">
        <f t="shared" si="37"/>
        <v>15</v>
      </c>
      <c r="C343" s="4">
        <f t="shared" si="38"/>
        <v>54</v>
      </c>
      <c r="D343" s="4">
        <f t="shared" si="32"/>
        <v>8</v>
      </c>
      <c r="E343" s="4" t="s">
        <v>27</v>
      </c>
      <c r="F343" s="4">
        <f t="shared" si="33"/>
        <v>800</v>
      </c>
      <c r="G343" s="5">
        <f t="shared" si="39"/>
        <v>1.01</v>
      </c>
      <c r="H343" s="6" t="str">
        <f t="shared" si="34"/>
        <v>INSERT INTO public.coupon (plancode, age, "year", couponrate, benefittype, benefitrate, premiumrate) VALUES('EN60', 15, 54, 8, 'A',800, 1.01);</v>
      </c>
      <c r="I343" s="6" t="str">
        <f t="shared" si="35"/>
        <v>{"age":"15", "year":"54", "couponrate":"8", "benefittype":"A", "benefitrate":"800", "premiumrate":"1.01"}</v>
      </c>
      <c r="J343" s="6" t="str">
        <f t="shared" si="36"/>
        <v>,</v>
      </c>
    </row>
    <row r="344" spans="1:10">
      <c r="A344" s="4" t="str">
        <f>'EN60'!A$3</f>
        <v>EN60</v>
      </c>
      <c r="B344" s="4">
        <f t="shared" si="37"/>
        <v>15</v>
      </c>
      <c r="C344" s="4">
        <f t="shared" si="38"/>
        <v>55</v>
      </c>
      <c r="D344" s="4">
        <f t="shared" si="32"/>
        <v>8</v>
      </c>
      <c r="E344" s="4" t="s">
        <v>27</v>
      </c>
      <c r="F344" s="4">
        <f t="shared" si="33"/>
        <v>800</v>
      </c>
      <c r="G344" s="5">
        <f t="shared" si="39"/>
        <v>1.01</v>
      </c>
      <c r="H344" s="6" t="str">
        <f t="shared" si="34"/>
        <v>INSERT INTO public.coupon (plancode, age, "year", couponrate, benefittype, benefitrate, premiumrate) VALUES('EN60', 15, 55, 8, 'A',800, 1.01);</v>
      </c>
      <c r="I344" s="6" t="str">
        <f t="shared" si="35"/>
        <v>{"age":"15", "year":"55", "couponrate":"8", "benefittype":"A", "benefitrate":"800", "premiumrate":"1.01"}</v>
      </c>
      <c r="J344" s="6" t="str">
        <f t="shared" si="36"/>
        <v>,</v>
      </c>
    </row>
    <row r="345" spans="1:10">
      <c r="A345" s="4" t="str">
        <f>'EN60'!A$3</f>
        <v>EN60</v>
      </c>
      <c r="B345" s="4">
        <f t="shared" si="37"/>
        <v>15</v>
      </c>
      <c r="C345" s="4">
        <f t="shared" si="38"/>
        <v>56</v>
      </c>
      <c r="D345" s="4">
        <f t="shared" si="32"/>
        <v>8</v>
      </c>
      <c r="E345" s="4" t="s">
        <v>27</v>
      </c>
      <c r="F345" s="4">
        <f t="shared" si="33"/>
        <v>800</v>
      </c>
      <c r="G345" s="5">
        <f t="shared" si="39"/>
        <v>1.01</v>
      </c>
      <c r="H345" s="6" t="str">
        <f t="shared" si="34"/>
        <v>INSERT INTO public.coupon (plancode, age, "year", couponrate, benefittype, benefitrate, premiumrate) VALUES('EN60', 15, 56, 8, 'A',800, 1.01);</v>
      </c>
      <c r="I345" s="6" t="str">
        <f t="shared" si="35"/>
        <v>{"age":"15", "year":"56", "couponrate":"8", "benefittype":"A", "benefitrate":"800", "premiumrate":"1.01"}</v>
      </c>
      <c r="J345" s="6" t="str">
        <f t="shared" si="36"/>
        <v>,</v>
      </c>
    </row>
    <row r="346" spans="1:10">
      <c r="A346" s="4" t="str">
        <f>'EN60'!A$3</f>
        <v>EN60</v>
      </c>
      <c r="B346" s="4">
        <f t="shared" si="37"/>
        <v>15</v>
      </c>
      <c r="C346" s="4">
        <f t="shared" si="38"/>
        <v>57</v>
      </c>
      <c r="D346" s="4">
        <f t="shared" si="32"/>
        <v>8</v>
      </c>
      <c r="E346" s="4" t="s">
        <v>27</v>
      </c>
      <c r="F346" s="4">
        <f t="shared" si="33"/>
        <v>800</v>
      </c>
      <c r="G346" s="5">
        <f t="shared" si="39"/>
        <v>1.01</v>
      </c>
      <c r="H346" s="6" t="str">
        <f t="shared" si="34"/>
        <v>INSERT INTO public.coupon (plancode, age, "year", couponrate, benefittype, benefitrate, premiumrate) VALUES('EN60', 15, 57, 8, 'A',800, 1.01);</v>
      </c>
      <c r="I346" s="6" t="str">
        <f t="shared" si="35"/>
        <v>{"age":"15", "year":"57", "couponrate":"8", "benefittype":"A", "benefitrate":"800", "premiumrate":"1.01"}</v>
      </c>
      <c r="J346" s="6" t="str">
        <f t="shared" si="36"/>
        <v>,</v>
      </c>
    </row>
    <row r="347" spans="1:10">
      <c r="A347" s="4" t="str">
        <f>'EN60'!A$3</f>
        <v>EN60</v>
      </c>
      <c r="B347" s="4">
        <f t="shared" si="37"/>
        <v>15</v>
      </c>
      <c r="C347" s="4">
        <f t="shared" si="38"/>
        <v>58</v>
      </c>
      <c r="D347" s="4">
        <f t="shared" si="32"/>
        <v>8</v>
      </c>
      <c r="E347" s="4" t="s">
        <v>27</v>
      </c>
      <c r="F347" s="4">
        <f t="shared" si="33"/>
        <v>800</v>
      </c>
      <c r="G347" s="5">
        <f t="shared" si="39"/>
        <v>1.01</v>
      </c>
      <c r="H347" s="6" t="str">
        <f t="shared" si="34"/>
        <v>INSERT INTO public.coupon (plancode, age, "year", couponrate, benefittype, benefitrate, premiumrate) VALUES('EN60', 15, 58, 8, 'A',800, 1.01);</v>
      </c>
      <c r="I347" s="6" t="str">
        <f t="shared" si="35"/>
        <v>{"age":"15", "year":"58", "couponrate":"8", "benefittype":"A", "benefitrate":"800", "premiumrate":"1.01"}</v>
      </c>
      <c r="J347" s="6" t="str">
        <f t="shared" si="36"/>
        <v>,</v>
      </c>
    </row>
    <row r="348" spans="1:10">
      <c r="A348" s="4" t="str">
        <f>'EN60'!A$3</f>
        <v>EN60</v>
      </c>
      <c r="B348" s="4">
        <f t="shared" si="37"/>
        <v>15</v>
      </c>
      <c r="C348" s="4">
        <f t="shared" si="38"/>
        <v>59</v>
      </c>
      <c r="D348" s="4">
        <f t="shared" si="32"/>
        <v>8</v>
      </c>
      <c r="E348" s="4" t="s">
        <v>27</v>
      </c>
      <c r="F348" s="4">
        <f t="shared" si="33"/>
        <v>800</v>
      </c>
      <c r="G348" s="5">
        <f t="shared" si="39"/>
        <v>1.01</v>
      </c>
      <c r="H348" s="6" t="str">
        <f t="shared" si="34"/>
        <v>INSERT INTO public.coupon (plancode, age, "year", couponrate, benefittype, benefitrate, premiumrate) VALUES('EN60', 15, 59, 8, 'A',800, 1.01);</v>
      </c>
      <c r="I348" s="6" t="str">
        <f t="shared" si="35"/>
        <v>{"age":"15", "year":"59", "couponrate":"8", "benefittype":"A", "benefitrate":"800", "premiumrate":"1.01"}</v>
      </c>
      <c r="J348" s="6" t="str">
        <f t="shared" si="36"/>
        <v>,</v>
      </c>
    </row>
    <row r="349" spans="1:10">
      <c r="A349" s="4" t="str">
        <f>'EN60'!A$3</f>
        <v>EN60</v>
      </c>
      <c r="B349" s="4">
        <f t="shared" si="37"/>
        <v>15</v>
      </c>
      <c r="C349" s="4">
        <f t="shared" si="38"/>
        <v>60</v>
      </c>
      <c r="D349" s="4">
        <f t="shared" si="32"/>
        <v>8</v>
      </c>
      <c r="E349" s="4" t="s">
        <v>27</v>
      </c>
      <c r="F349" s="4">
        <f t="shared" si="33"/>
        <v>800</v>
      </c>
      <c r="G349" s="5">
        <f t="shared" si="39"/>
        <v>1.01</v>
      </c>
      <c r="H349" s="6" t="str">
        <f t="shared" si="34"/>
        <v>INSERT INTO public.coupon (plancode, age, "year", couponrate, benefittype, benefitrate, premiumrate) VALUES('EN60', 15, 60, 8, 'A',800, 1.01);</v>
      </c>
      <c r="I349" s="6" t="str">
        <f t="shared" si="35"/>
        <v>{"age":"15", "year":"60", "couponrate":"8", "benefittype":"A", "benefitrate":"800", "premiumrate":"1.01"}</v>
      </c>
      <c r="J349" s="6" t="str">
        <f t="shared" si="36"/>
        <v>,</v>
      </c>
    </row>
    <row r="350" spans="1:10">
      <c r="A350" s="4" t="str">
        <f>'EN60'!A$3</f>
        <v>EN60</v>
      </c>
      <c r="B350" s="4">
        <f t="shared" si="37"/>
        <v>15</v>
      </c>
      <c r="C350" s="4">
        <f t="shared" si="38"/>
        <v>61</v>
      </c>
      <c r="D350" s="4">
        <f t="shared" si="32"/>
        <v>8</v>
      </c>
      <c r="E350" s="4" t="s">
        <v>27</v>
      </c>
      <c r="F350" s="4">
        <f t="shared" si="33"/>
        <v>800</v>
      </c>
      <c r="G350" s="5">
        <f t="shared" si="39"/>
        <v>1.01</v>
      </c>
      <c r="H350" s="6" t="str">
        <f t="shared" si="34"/>
        <v>INSERT INTO public.coupon (plancode, age, "year", couponrate, benefittype, benefitrate, premiumrate) VALUES('EN60', 15, 61, 8, 'A',800, 1.01);</v>
      </c>
      <c r="I350" s="6" t="str">
        <f t="shared" si="35"/>
        <v>{"age":"15", "year":"61", "couponrate":"8", "benefittype":"A", "benefitrate":"800", "premiumrate":"1.01"}</v>
      </c>
      <c r="J350" s="6" t="str">
        <f t="shared" si="36"/>
        <v>,</v>
      </c>
    </row>
    <row r="351" spans="1:10">
      <c r="A351" s="4" t="str">
        <f>'EN60'!A$3</f>
        <v>EN60</v>
      </c>
      <c r="B351" s="4">
        <f t="shared" si="37"/>
        <v>15</v>
      </c>
      <c r="C351" s="4">
        <f t="shared" si="38"/>
        <v>62</v>
      </c>
      <c r="D351" s="4">
        <f t="shared" si="32"/>
        <v>8</v>
      </c>
      <c r="E351" s="4" t="s">
        <v>27</v>
      </c>
      <c r="F351" s="4">
        <f t="shared" si="33"/>
        <v>800</v>
      </c>
      <c r="G351" s="5">
        <f t="shared" si="39"/>
        <v>1.01</v>
      </c>
      <c r="H351" s="6" t="str">
        <f t="shared" si="34"/>
        <v>INSERT INTO public.coupon (plancode, age, "year", couponrate, benefittype, benefitrate, premiumrate) VALUES('EN60', 15, 62, 8, 'A',800, 1.01);</v>
      </c>
      <c r="I351" s="6" t="str">
        <f t="shared" si="35"/>
        <v>{"age":"15", "year":"62", "couponrate":"8", "benefittype":"A", "benefitrate":"800", "premiumrate":"1.01"}</v>
      </c>
      <c r="J351" s="6" t="str">
        <f t="shared" si="36"/>
        <v>,</v>
      </c>
    </row>
    <row r="352" spans="1:10">
      <c r="A352" s="4" t="str">
        <f>'EN60'!A$3</f>
        <v>EN60</v>
      </c>
      <c r="B352" s="4">
        <f t="shared" si="37"/>
        <v>15</v>
      </c>
      <c r="C352" s="4">
        <f t="shared" si="38"/>
        <v>63</v>
      </c>
      <c r="D352" s="4">
        <f t="shared" si="32"/>
        <v>8</v>
      </c>
      <c r="E352" s="4" t="s">
        <v>27</v>
      </c>
      <c r="F352" s="4">
        <f t="shared" si="33"/>
        <v>800</v>
      </c>
      <c r="G352" s="5">
        <f t="shared" si="39"/>
        <v>1.01</v>
      </c>
      <c r="H352" s="6" t="str">
        <f t="shared" si="34"/>
        <v>INSERT INTO public.coupon (plancode, age, "year", couponrate, benefittype, benefitrate, premiumrate) VALUES('EN60', 15, 63, 8, 'A',800, 1.01);</v>
      </c>
      <c r="I352" s="6" t="str">
        <f t="shared" si="35"/>
        <v>{"age":"15", "year":"63", "couponrate":"8", "benefittype":"A", "benefitrate":"800", "premiumrate":"1.01"}</v>
      </c>
      <c r="J352" s="6" t="str">
        <f t="shared" si="36"/>
        <v>,</v>
      </c>
    </row>
    <row r="353" spans="1:10">
      <c r="A353" s="4" t="str">
        <f>'EN60'!A$3</f>
        <v>EN60</v>
      </c>
      <c r="B353" s="4">
        <f t="shared" si="37"/>
        <v>15</v>
      </c>
      <c r="C353" s="4">
        <f t="shared" si="38"/>
        <v>64</v>
      </c>
      <c r="D353" s="4">
        <f t="shared" si="32"/>
        <v>8</v>
      </c>
      <c r="E353" s="4" t="s">
        <v>27</v>
      </c>
      <c r="F353" s="4">
        <f t="shared" si="33"/>
        <v>800</v>
      </c>
      <c r="G353" s="5">
        <f t="shared" si="39"/>
        <v>1.01</v>
      </c>
      <c r="H353" s="6" t="str">
        <f t="shared" si="34"/>
        <v>INSERT INTO public.coupon (plancode, age, "year", couponrate, benefittype, benefitrate, premiumrate) VALUES('EN60', 15, 64, 8, 'A',800, 1.01);</v>
      </c>
      <c r="I353" s="6" t="str">
        <f t="shared" si="35"/>
        <v>{"age":"15", "year":"64", "couponrate":"8", "benefittype":"A", "benefitrate":"800", "premiumrate":"1.01"}</v>
      </c>
      <c r="J353" s="6" t="str">
        <f t="shared" si="36"/>
        <v>,</v>
      </c>
    </row>
    <row r="354" spans="1:10">
      <c r="A354" s="4" t="str">
        <f>'EN60'!A$3</f>
        <v>EN60</v>
      </c>
      <c r="B354" s="4">
        <f t="shared" si="37"/>
        <v>15</v>
      </c>
      <c r="C354" s="4">
        <f t="shared" si="38"/>
        <v>65</v>
      </c>
      <c r="D354" s="4">
        <f t="shared" si="32"/>
        <v>0</v>
      </c>
      <c r="E354" s="4" t="s">
        <v>27</v>
      </c>
      <c r="F354" s="4">
        <f t="shared" si="33"/>
        <v>800</v>
      </c>
      <c r="G354" s="5">
        <f t="shared" si="39"/>
        <v>1.01</v>
      </c>
      <c r="H354" s="6" t="str">
        <f t="shared" si="34"/>
        <v>INSERT INTO public.coupon (plancode, age, "year", couponrate, benefittype, benefitrate, premiumrate) VALUES('EN60', 15, 65, 0, 'A',800, 1.01);</v>
      </c>
      <c r="I354" s="6" t="str">
        <f t="shared" si="35"/>
        <v>{"age":"15", "year":"65", "couponrate":"0", "benefittype":"A", "benefitrate":"800", "premiumrate":"1.01"}</v>
      </c>
    </row>
    <row r="355" spans="1:10">
      <c r="C355" s="6"/>
      <c r="I355" s="6" t="s">
        <v>28</v>
      </c>
    </row>
    <row r="356" spans="1:10">
      <c r="A356" s="3" t="s">
        <v>2</v>
      </c>
      <c r="B356" s="3" t="s">
        <v>23</v>
      </c>
      <c r="C356" s="3" t="s">
        <v>24</v>
      </c>
      <c r="D356" s="3" t="s">
        <v>25</v>
      </c>
      <c r="E356" s="3" t="s">
        <v>8</v>
      </c>
      <c r="F356" s="3" t="s">
        <v>26</v>
      </c>
      <c r="G356" s="3" t="s">
        <v>4</v>
      </c>
      <c r="I356" s="6" t="str">
        <f>"[{""plancode"":"""&amp;A357&amp;""",""returncash"":"""&amp;B$7&amp;""",""ytable"":"""&amp;C$7&amp;""",""maturerate"":"""&amp;B$3&amp;""",""maturepmrate"":"""&amp;C$3&amp;""",""coupon"":["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357" spans="1:10">
      <c r="A357" s="4" t="str">
        <f>'EN60'!A$3</f>
        <v>EN60</v>
      </c>
      <c r="B357" s="8">
        <v>16</v>
      </c>
      <c r="C357" s="4">
        <v>1</v>
      </c>
      <c r="D357" s="4">
        <f t="shared" ref="D357:D420" si="40">IF(C357+B357=80,0,8)</f>
        <v>8</v>
      </c>
      <c r="E357" s="4" t="s">
        <v>27</v>
      </c>
      <c r="F357" s="4">
        <f t="shared" ref="F357:F420" si="41">IF(C357&gt;7, 800, C357*100)</f>
        <v>100</v>
      </c>
      <c r="G357" s="5">
        <f>'EN60'!C$3</f>
        <v>1.01</v>
      </c>
      <c r="H357" s="6" t="str">
        <f t="shared" ref="H357:H420" si="42">"INSERT INTO public.coupon ("&amp;A$11&amp;", "&amp;B$11&amp;", """&amp;C$11&amp;""", "&amp;D$11&amp;", "&amp;E$11&amp;", "&amp;F$11&amp;", "&amp;G$11&amp;") VALUES('"&amp;A357&amp;"', "&amp;B357&amp;", "&amp;C357&amp;", "&amp;D357&amp;", '"&amp;E357&amp;"',"&amp;F357&amp;", "&amp;G357&amp;");"</f>
        <v>INSERT INTO public.coupon (plancode, age, "year", couponrate, benefittype, benefitrate, premiumrate) VALUES('EN60', 16, 1, 8, 'A',100, 1.01);</v>
      </c>
      <c r="I357" s="6" t="str">
        <f t="shared" ref="I357:I420" si="43">"{""age"":"""&amp;B357&amp;""", ""year"":"""&amp;C357&amp;""", ""couponrate"":"""&amp;D357&amp;""", ""benefittype"":"""&amp;E357&amp;""", ""benefitrate"":"""&amp;F357&amp;""", """&amp;G$11&amp;""":"""&amp;G357&amp;"""}"</f>
        <v>{"age":"16", "year":"1", "couponrate":"8", "benefittype":"A", "benefitrate":"100", "premiumrate":"1.01"}</v>
      </c>
      <c r="J357" s="6" t="str">
        <f t="shared" ref="J357:J419" si="44">IF(OR(I358="]", I357="[", I357="]"), "", ",")</f>
        <v>,</v>
      </c>
    </row>
    <row r="358" spans="1:10">
      <c r="A358" s="4" t="str">
        <f>'EN60'!A$3</f>
        <v>EN60</v>
      </c>
      <c r="B358" s="4">
        <f t="shared" ref="B358:B420" si="45">B357</f>
        <v>16</v>
      </c>
      <c r="C358" s="4">
        <f t="shared" ref="C358:C420" si="46">C357+1</f>
        <v>2</v>
      </c>
      <c r="D358" s="4">
        <f t="shared" si="40"/>
        <v>8</v>
      </c>
      <c r="E358" s="4" t="s">
        <v>27</v>
      </c>
      <c r="F358" s="4">
        <f t="shared" si="41"/>
        <v>200</v>
      </c>
      <c r="G358" s="5">
        <f t="shared" ref="G358:G420" si="47">G357</f>
        <v>1.01</v>
      </c>
      <c r="H358" s="6" t="str">
        <f t="shared" si="42"/>
        <v>INSERT INTO public.coupon (plancode, age, "year", couponrate, benefittype, benefitrate, premiumrate) VALUES('EN60', 16, 2, 8, 'A',200, 1.01);</v>
      </c>
      <c r="I358" s="6" t="str">
        <f t="shared" si="43"/>
        <v>{"age":"16", "year":"2", "couponrate":"8", "benefittype":"A", "benefitrate":"200", "premiumrate":"1.01"}</v>
      </c>
      <c r="J358" s="6" t="str">
        <f t="shared" si="44"/>
        <v>,</v>
      </c>
    </row>
    <row r="359" spans="1:10">
      <c r="A359" s="4" t="str">
        <f>'EN60'!A$3</f>
        <v>EN60</v>
      </c>
      <c r="B359" s="4">
        <f t="shared" si="45"/>
        <v>16</v>
      </c>
      <c r="C359" s="4">
        <f t="shared" si="46"/>
        <v>3</v>
      </c>
      <c r="D359" s="4">
        <f t="shared" si="40"/>
        <v>8</v>
      </c>
      <c r="E359" s="4" t="s">
        <v>27</v>
      </c>
      <c r="F359" s="4">
        <f t="shared" si="41"/>
        <v>300</v>
      </c>
      <c r="G359" s="5">
        <f t="shared" si="47"/>
        <v>1.01</v>
      </c>
      <c r="H359" s="6" t="str">
        <f t="shared" si="42"/>
        <v>INSERT INTO public.coupon (plancode, age, "year", couponrate, benefittype, benefitrate, premiumrate) VALUES('EN60', 16, 3, 8, 'A',300, 1.01);</v>
      </c>
      <c r="I359" s="6" t="str">
        <f t="shared" si="43"/>
        <v>{"age":"16", "year":"3", "couponrate":"8", "benefittype":"A", "benefitrate":"300", "premiumrate":"1.01"}</v>
      </c>
      <c r="J359" s="6" t="str">
        <f t="shared" si="44"/>
        <v>,</v>
      </c>
    </row>
    <row r="360" spans="1:10">
      <c r="A360" s="4" t="str">
        <f>'EN60'!A$3</f>
        <v>EN60</v>
      </c>
      <c r="B360" s="4">
        <f t="shared" si="45"/>
        <v>16</v>
      </c>
      <c r="C360" s="4">
        <f t="shared" si="46"/>
        <v>4</v>
      </c>
      <c r="D360" s="4">
        <f t="shared" si="40"/>
        <v>8</v>
      </c>
      <c r="E360" s="4" t="s">
        <v>27</v>
      </c>
      <c r="F360" s="4">
        <f t="shared" si="41"/>
        <v>400</v>
      </c>
      <c r="G360" s="5">
        <f t="shared" si="47"/>
        <v>1.01</v>
      </c>
      <c r="H360" s="6" t="str">
        <f t="shared" si="42"/>
        <v>INSERT INTO public.coupon (plancode, age, "year", couponrate, benefittype, benefitrate, premiumrate) VALUES('EN60', 16, 4, 8, 'A',400, 1.01);</v>
      </c>
      <c r="I360" s="6" t="str">
        <f t="shared" si="43"/>
        <v>{"age":"16", "year":"4", "couponrate":"8", "benefittype":"A", "benefitrate":"400", "premiumrate":"1.01"}</v>
      </c>
      <c r="J360" s="6" t="str">
        <f t="shared" si="44"/>
        <v>,</v>
      </c>
    </row>
    <row r="361" spans="1:10">
      <c r="A361" s="4" t="str">
        <f>'EN60'!A$3</f>
        <v>EN60</v>
      </c>
      <c r="B361" s="4">
        <f t="shared" si="45"/>
        <v>16</v>
      </c>
      <c r="C361" s="4">
        <f t="shared" si="46"/>
        <v>5</v>
      </c>
      <c r="D361" s="4">
        <f t="shared" si="40"/>
        <v>8</v>
      </c>
      <c r="E361" s="4" t="s">
        <v>27</v>
      </c>
      <c r="F361" s="4">
        <f t="shared" si="41"/>
        <v>500</v>
      </c>
      <c r="G361" s="5">
        <f t="shared" si="47"/>
        <v>1.01</v>
      </c>
      <c r="H361" s="6" t="str">
        <f t="shared" si="42"/>
        <v>INSERT INTO public.coupon (plancode, age, "year", couponrate, benefittype, benefitrate, premiumrate) VALUES('EN60', 16, 5, 8, 'A',500, 1.01);</v>
      </c>
      <c r="I361" s="6" t="str">
        <f t="shared" si="43"/>
        <v>{"age":"16", "year":"5", "couponrate":"8", "benefittype":"A", "benefitrate":"500", "premiumrate":"1.01"}</v>
      </c>
      <c r="J361" s="6" t="str">
        <f t="shared" si="44"/>
        <v>,</v>
      </c>
    </row>
    <row r="362" spans="1:10">
      <c r="A362" s="4" t="str">
        <f>'EN60'!A$3</f>
        <v>EN60</v>
      </c>
      <c r="B362" s="4">
        <f t="shared" si="45"/>
        <v>16</v>
      </c>
      <c r="C362" s="4">
        <f t="shared" si="46"/>
        <v>6</v>
      </c>
      <c r="D362" s="4">
        <f t="shared" si="40"/>
        <v>8</v>
      </c>
      <c r="E362" s="4" t="s">
        <v>27</v>
      </c>
      <c r="F362" s="4">
        <f t="shared" si="41"/>
        <v>600</v>
      </c>
      <c r="G362" s="5">
        <f t="shared" si="47"/>
        <v>1.01</v>
      </c>
      <c r="H362" s="6" t="str">
        <f t="shared" si="42"/>
        <v>INSERT INTO public.coupon (plancode, age, "year", couponrate, benefittype, benefitrate, premiumrate) VALUES('EN60', 16, 6, 8, 'A',600, 1.01);</v>
      </c>
      <c r="I362" s="6" t="str">
        <f t="shared" si="43"/>
        <v>{"age":"16", "year":"6", "couponrate":"8", "benefittype":"A", "benefitrate":"600", "premiumrate":"1.01"}</v>
      </c>
      <c r="J362" s="6" t="str">
        <f t="shared" si="44"/>
        <v>,</v>
      </c>
    </row>
    <row r="363" spans="1:10">
      <c r="A363" s="4" t="str">
        <f>'EN60'!A$3</f>
        <v>EN60</v>
      </c>
      <c r="B363" s="4">
        <f t="shared" si="45"/>
        <v>16</v>
      </c>
      <c r="C363" s="4">
        <f t="shared" si="46"/>
        <v>7</v>
      </c>
      <c r="D363" s="4">
        <f t="shared" si="40"/>
        <v>8</v>
      </c>
      <c r="E363" s="4" t="s">
        <v>27</v>
      </c>
      <c r="F363" s="4">
        <f t="shared" si="41"/>
        <v>700</v>
      </c>
      <c r="G363" s="5">
        <f t="shared" si="47"/>
        <v>1.01</v>
      </c>
      <c r="H363" s="6" t="str">
        <f t="shared" si="42"/>
        <v>INSERT INTO public.coupon (plancode, age, "year", couponrate, benefittype, benefitrate, premiumrate) VALUES('EN60', 16, 7, 8, 'A',700, 1.01);</v>
      </c>
      <c r="I363" s="6" t="str">
        <f t="shared" si="43"/>
        <v>{"age":"16", "year":"7", "couponrate":"8", "benefittype":"A", "benefitrate":"700", "premiumrate":"1.01"}</v>
      </c>
      <c r="J363" s="6" t="str">
        <f t="shared" si="44"/>
        <v>,</v>
      </c>
    </row>
    <row r="364" spans="1:10">
      <c r="A364" s="4" t="str">
        <f>'EN60'!A$3</f>
        <v>EN60</v>
      </c>
      <c r="B364" s="4">
        <f t="shared" si="45"/>
        <v>16</v>
      </c>
      <c r="C364" s="4">
        <f t="shared" si="46"/>
        <v>8</v>
      </c>
      <c r="D364" s="4">
        <f t="shared" si="40"/>
        <v>8</v>
      </c>
      <c r="E364" s="4" t="s">
        <v>27</v>
      </c>
      <c r="F364" s="4">
        <f t="shared" si="41"/>
        <v>800</v>
      </c>
      <c r="G364" s="5">
        <f t="shared" si="47"/>
        <v>1.01</v>
      </c>
      <c r="H364" s="6" t="str">
        <f t="shared" si="42"/>
        <v>INSERT INTO public.coupon (plancode, age, "year", couponrate, benefittype, benefitrate, premiumrate) VALUES('EN60', 16, 8, 8, 'A',800, 1.01);</v>
      </c>
      <c r="I364" s="6" t="str">
        <f t="shared" si="43"/>
        <v>{"age":"16", "year":"8", "couponrate":"8", "benefittype":"A", "benefitrate":"800", "premiumrate":"1.01"}</v>
      </c>
      <c r="J364" s="6" t="str">
        <f t="shared" si="44"/>
        <v>,</v>
      </c>
    </row>
    <row r="365" spans="1:10">
      <c r="A365" s="4" t="str">
        <f>'EN60'!A$3</f>
        <v>EN60</v>
      </c>
      <c r="B365" s="4">
        <f t="shared" si="45"/>
        <v>16</v>
      </c>
      <c r="C365" s="4">
        <f t="shared" si="46"/>
        <v>9</v>
      </c>
      <c r="D365" s="4">
        <f t="shared" si="40"/>
        <v>8</v>
      </c>
      <c r="E365" s="4" t="s">
        <v>27</v>
      </c>
      <c r="F365" s="4">
        <f t="shared" si="41"/>
        <v>800</v>
      </c>
      <c r="G365" s="5">
        <f t="shared" si="47"/>
        <v>1.01</v>
      </c>
      <c r="H365" s="6" t="str">
        <f t="shared" si="42"/>
        <v>INSERT INTO public.coupon (plancode, age, "year", couponrate, benefittype, benefitrate, premiumrate) VALUES('EN60', 16, 9, 8, 'A',800, 1.01);</v>
      </c>
      <c r="I365" s="6" t="str">
        <f t="shared" si="43"/>
        <v>{"age":"16", "year":"9", "couponrate":"8", "benefittype":"A", "benefitrate":"800", "premiumrate":"1.01"}</v>
      </c>
      <c r="J365" s="6" t="str">
        <f t="shared" si="44"/>
        <v>,</v>
      </c>
    </row>
    <row r="366" spans="1:10">
      <c r="A366" s="4" t="str">
        <f>'EN60'!A$3</f>
        <v>EN60</v>
      </c>
      <c r="B366" s="4">
        <f t="shared" si="45"/>
        <v>16</v>
      </c>
      <c r="C366" s="4">
        <f t="shared" si="46"/>
        <v>10</v>
      </c>
      <c r="D366" s="4">
        <f t="shared" si="40"/>
        <v>8</v>
      </c>
      <c r="E366" s="4" t="s">
        <v>27</v>
      </c>
      <c r="F366" s="4">
        <f t="shared" si="41"/>
        <v>800</v>
      </c>
      <c r="G366" s="5">
        <f t="shared" si="47"/>
        <v>1.01</v>
      </c>
      <c r="H366" s="6" t="str">
        <f t="shared" si="42"/>
        <v>INSERT INTO public.coupon (plancode, age, "year", couponrate, benefittype, benefitrate, premiumrate) VALUES('EN60', 16, 10, 8, 'A',800, 1.01);</v>
      </c>
      <c r="I366" s="6" t="str">
        <f t="shared" si="43"/>
        <v>{"age":"16", "year":"10", "couponrate":"8", "benefittype":"A", "benefitrate":"800", "premiumrate":"1.01"}</v>
      </c>
      <c r="J366" s="6" t="str">
        <f t="shared" si="44"/>
        <v>,</v>
      </c>
    </row>
    <row r="367" spans="1:10">
      <c r="A367" s="4" t="str">
        <f>'EN60'!A$3</f>
        <v>EN60</v>
      </c>
      <c r="B367" s="4">
        <f t="shared" si="45"/>
        <v>16</v>
      </c>
      <c r="C367" s="4">
        <f t="shared" si="46"/>
        <v>11</v>
      </c>
      <c r="D367" s="4">
        <f t="shared" si="40"/>
        <v>8</v>
      </c>
      <c r="E367" s="4" t="s">
        <v>27</v>
      </c>
      <c r="F367" s="4">
        <f t="shared" si="41"/>
        <v>800</v>
      </c>
      <c r="G367" s="5">
        <f t="shared" si="47"/>
        <v>1.01</v>
      </c>
      <c r="H367" s="6" t="str">
        <f t="shared" si="42"/>
        <v>INSERT INTO public.coupon (plancode, age, "year", couponrate, benefittype, benefitrate, premiumrate) VALUES('EN60', 16, 11, 8, 'A',800, 1.01);</v>
      </c>
      <c r="I367" s="6" t="str">
        <f t="shared" si="43"/>
        <v>{"age":"16", "year":"11", "couponrate":"8", "benefittype":"A", "benefitrate":"800", "premiumrate":"1.01"}</v>
      </c>
      <c r="J367" s="6" t="str">
        <f t="shared" si="44"/>
        <v>,</v>
      </c>
    </row>
    <row r="368" spans="1:10">
      <c r="A368" s="4" t="str">
        <f>'EN60'!A$3</f>
        <v>EN60</v>
      </c>
      <c r="B368" s="4">
        <f t="shared" si="45"/>
        <v>16</v>
      </c>
      <c r="C368" s="4">
        <f t="shared" si="46"/>
        <v>12</v>
      </c>
      <c r="D368" s="4">
        <f t="shared" si="40"/>
        <v>8</v>
      </c>
      <c r="E368" s="4" t="s">
        <v>27</v>
      </c>
      <c r="F368" s="4">
        <f t="shared" si="41"/>
        <v>800</v>
      </c>
      <c r="G368" s="5">
        <f t="shared" si="47"/>
        <v>1.01</v>
      </c>
      <c r="H368" s="6" t="str">
        <f t="shared" si="42"/>
        <v>INSERT INTO public.coupon (plancode, age, "year", couponrate, benefittype, benefitrate, premiumrate) VALUES('EN60', 16, 12, 8, 'A',800, 1.01);</v>
      </c>
      <c r="I368" s="6" t="str">
        <f t="shared" si="43"/>
        <v>{"age":"16", "year":"12", "couponrate":"8", "benefittype":"A", "benefitrate":"800", "premiumrate":"1.01"}</v>
      </c>
      <c r="J368" s="6" t="str">
        <f t="shared" si="44"/>
        <v>,</v>
      </c>
    </row>
    <row r="369" spans="1:10">
      <c r="A369" s="4" t="str">
        <f>'EN60'!A$3</f>
        <v>EN60</v>
      </c>
      <c r="B369" s="4">
        <f t="shared" si="45"/>
        <v>16</v>
      </c>
      <c r="C369" s="4">
        <f t="shared" si="46"/>
        <v>13</v>
      </c>
      <c r="D369" s="4">
        <f t="shared" si="40"/>
        <v>8</v>
      </c>
      <c r="E369" s="4" t="s">
        <v>27</v>
      </c>
      <c r="F369" s="4">
        <f t="shared" si="41"/>
        <v>800</v>
      </c>
      <c r="G369" s="5">
        <f t="shared" si="47"/>
        <v>1.01</v>
      </c>
      <c r="H369" s="6" t="str">
        <f t="shared" si="42"/>
        <v>INSERT INTO public.coupon (plancode, age, "year", couponrate, benefittype, benefitrate, premiumrate) VALUES('EN60', 16, 13, 8, 'A',800, 1.01);</v>
      </c>
      <c r="I369" s="6" t="str">
        <f t="shared" si="43"/>
        <v>{"age":"16", "year":"13", "couponrate":"8", "benefittype":"A", "benefitrate":"800", "premiumrate":"1.01"}</v>
      </c>
      <c r="J369" s="6" t="str">
        <f t="shared" si="44"/>
        <v>,</v>
      </c>
    </row>
    <row r="370" spans="1:10">
      <c r="A370" s="4" t="str">
        <f>'EN60'!A$3</f>
        <v>EN60</v>
      </c>
      <c r="B370" s="4">
        <f t="shared" si="45"/>
        <v>16</v>
      </c>
      <c r="C370" s="4">
        <f t="shared" si="46"/>
        <v>14</v>
      </c>
      <c r="D370" s="4">
        <f t="shared" si="40"/>
        <v>8</v>
      </c>
      <c r="E370" s="4" t="s">
        <v>27</v>
      </c>
      <c r="F370" s="4">
        <f t="shared" si="41"/>
        <v>800</v>
      </c>
      <c r="G370" s="5">
        <f t="shared" si="47"/>
        <v>1.01</v>
      </c>
      <c r="H370" s="6" t="str">
        <f t="shared" si="42"/>
        <v>INSERT INTO public.coupon (plancode, age, "year", couponrate, benefittype, benefitrate, premiumrate) VALUES('EN60', 16, 14, 8, 'A',800, 1.01);</v>
      </c>
      <c r="I370" s="6" t="str">
        <f t="shared" si="43"/>
        <v>{"age":"16", "year":"14", "couponrate":"8", "benefittype":"A", "benefitrate":"800", "premiumrate":"1.01"}</v>
      </c>
      <c r="J370" s="6" t="str">
        <f t="shared" si="44"/>
        <v>,</v>
      </c>
    </row>
    <row r="371" spans="1:10">
      <c r="A371" s="4" t="str">
        <f>'EN60'!A$3</f>
        <v>EN60</v>
      </c>
      <c r="B371" s="4">
        <f t="shared" si="45"/>
        <v>16</v>
      </c>
      <c r="C371" s="4">
        <f t="shared" si="46"/>
        <v>15</v>
      </c>
      <c r="D371" s="4">
        <f t="shared" si="40"/>
        <v>8</v>
      </c>
      <c r="E371" s="4" t="s">
        <v>27</v>
      </c>
      <c r="F371" s="4">
        <f t="shared" si="41"/>
        <v>800</v>
      </c>
      <c r="G371" s="5">
        <f t="shared" si="47"/>
        <v>1.01</v>
      </c>
      <c r="H371" s="6" t="str">
        <f t="shared" si="42"/>
        <v>INSERT INTO public.coupon (plancode, age, "year", couponrate, benefittype, benefitrate, premiumrate) VALUES('EN60', 16, 15, 8, 'A',800, 1.01);</v>
      </c>
      <c r="I371" s="6" t="str">
        <f t="shared" si="43"/>
        <v>{"age":"16", "year":"15", "couponrate":"8", "benefittype":"A", "benefitrate":"800", "premiumrate":"1.01"}</v>
      </c>
      <c r="J371" s="6" t="str">
        <f t="shared" si="44"/>
        <v>,</v>
      </c>
    </row>
    <row r="372" spans="1:10">
      <c r="A372" s="4" t="str">
        <f>'EN60'!A$3</f>
        <v>EN60</v>
      </c>
      <c r="B372" s="4">
        <f t="shared" si="45"/>
        <v>16</v>
      </c>
      <c r="C372" s="4">
        <f t="shared" si="46"/>
        <v>16</v>
      </c>
      <c r="D372" s="4">
        <f t="shared" si="40"/>
        <v>8</v>
      </c>
      <c r="E372" s="4" t="s">
        <v>27</v>
      </c>
      <c r="F372" s="4">
        <f t="shared" si="41"/>
        <v>800</v>
      </c>
      <c r="G372" s="5">
        <f t="shared" si="47"/>
        <v>1.01</v>
      </c>
      <c r="H372" s="6" t="str">
        <f t="shared" si="42"/>
        <v>INSERT INTO public.coupon (plancode, age, "year", couponrate, benefittype, benefitrate, premiumrate) VALUES('EN60', 16, 16, 8, 'A',800, 1.01);</v>
      </c>
      <c r="I372" s="6" t="str">
        <f t="shared" si="43"/>
        <v>{"age":"16", "year":"16", "couponrate":"8", "benefittype":"A", "benefitrate":"800", "premiumrate":"1.01"}</v>
      </c>
      <c r="J372" s="6" t="str">
        <f t="shared" si="44"/>
        <v>,</v>
      </c>
    </row>
    <row r="373" spans="1:10">
      <c r="A373" s="4" t="str">
        <f>'EN60'!A$3</f>
        <v>EN60</v>
      </c>
      <c r="B373" s="4">
        <f t="shared" si="45"/>
        <v>16</v>
      </c>
      <c r="C373" s="4">
        <f t="shared" si="46"/>
        <v>17</v>
      </c>
      <c r="D373" s="4">
        <f t="shared" si="40"/>
        <v>8</v>
      </c>
      <c r="E373" s="4" t="s">
        <v>27</v>
      </c>
      <c r="F373" s="4">
        <f t="shared" si="41"/>
        <v>800</v>
      </c>
      <c r="G373" s="5">
        <f t="shared" si="47"/>
        <v>1.01</v>
      </c>
      <c r="H373" s="6" t="str">
        <f t="shared" si="42"/>
        <v>INSERT INTO public.coupon (plancode, age, "year", couponrate, benefittype, benefitrate, premiumrate) VALUES('EN60', 16, 17, 8, 'A',800, 1.01);</v>
      </c>
      <c r="I373" s="6" t="str">
        <f t="shared" si="43"/>
        <v>{"age":"16", "year":"17", "couponrate":"8", "benefittype":"A", "benefitrate":"800", "premiumrate":"1.01"}</v>
      </c>
      <c r="J373" s="6" t="str">
        <f t="shared" si="44"/>
        <v>,</v>
      </c>
    </row>
    <row r="374" spans="1:10">
      <c r="A374" s="4" t="str">
        <f>'EN60'!A$3</f>
        <v>EN60</v>
      </c>
      <c r="B374" s="4">
        <f t="shared" si="45"/>
        <v>16</v>
      </c>
      <c r="C374" s="4">
        <f t="shared" si="46"/>
        <v>18</v>
      </c>
      <c r="D374" s="4">
        <f t="shared" si="40"/>
        <v>8</v>
      </c>
      <c r="E374" s="4" t="s">
        <v>27</v>
      </c>
      <c r="F374" s="4">
        <f t="shared" si="41"/>
        <v>800</v>
      </c>
      <c r="G374" s="5">
        <f t="shared" si="47"/>
        <v>1.01</v>
      </c>
      <c r="H374" s="6" t="str">
        <f t="shared" si="42"/>
        <v>INSERT INTO public.coupon (plancode, age, "year", couponrate, benefittype, benefitrate, premiumrate) VALUES('EN60', 16, 18, 8, 'A',800, 1.01);</v>
      </c>
      <c r="I374" s="6" t="str">
        <f t="shared" si="43"/>
        <v>{"age":"16", "year":"18", "couponrate":"8", "benefittype":"A", "benefitrate":"800", "premiumrate":"1.01"}</v>
      </c>
      <c r="J374" s="6" t="str">
        <f t="shared" si="44"/>
        <v>,</v>
      </c>
    </row>
    <row r="375" spans="1:10">
      <c r="A375" s="4" t="str">
        <f>'EN60'!A$3</f>
        <v>EN60</v>
      </c>
      <c r="B375" s="4">
        <f t="shared" si="45"/>
        <v>16</v>
      </c>
      <c r="C375" s="4">
        <f t="shared" si="46"/>
        <v>19</v>
      </c>
      <c r="D375" s="4">
        <f t="shared" si="40"/>
        <v>8</v>
      </c>
      <c r="E375" s="4" t="s">
        <v>27</v>
      </c>
      <c r="F375" s="4">
        <f t="shared" si="41"/>
        <v>800</v>
      </c>
      <c r="G375" s="5">
        <f t="shared" si="47"/>
        <v>1.01</v>
      </c>
      <c r="H375" s="6" t="str">
        <f t="shared" si="42"/>
        <v>INSERT INTO public.coupon (plancode, age, "year", couponrate, benefittype, benefitrate, premiumrate) VALUES('EN60', 16, 19, 8, 'A',800, 1.01);</v>
      </c>
      <c r="I375" s="6" t="str">
        <f t="shared" si="43"/>
        <v>{"age":"16", "year":"19", "couponrate":"8", "benefittype":"A", "benefitrate":"800", "premiumrate":"1.01"}</v>
      </c>
      <c r="J375" s="6" t="str">
        <f t="shared" si="44"/>
        <v>,</v>
      </c>
    </row>
    <row r="376" spans="1:10">
      <c r="A376" s="4" t="str">
        <f>'EN60'!A$3</f>
        <v>EN60</v>
      </c>
      <c r="B376" s="4">
        <f t="shared" si="45"/>
        <v>16</v>
      </c>
      <c r="C376" s="4">
        <f t="shared" si="46"/>
        <v>20</v>
      </c>
      <c r="D376" s="4">
        <f t="shared" si="40"/>
        <v>8</v>
      </c>
      <c r="E376" s="4" t="s">
        <v>27</v>
      </c>
      <c r="F376" s="4">
        <f t="shared" si="41"/>
        <v>800</v>
      </c>
      <c r="G376" s="5">
        <f t="shared" si="47"/>
        <v>1.01</v>
      </c>
      <c r="H376" s="6" t="str">
        <f t="shared" si="42"/>
        <v>INSERT INTO public.coupon (plancode, age, "year", couponrate, benefittype, benefitrate, premiumrate) VALUES('EN60', 16, 20, 8, 'A',800, 1.01);</v>
      </c>
      <c r="I376" s="6" t="str">
        <f t="shared" si="43"/>
        <v>{"age":"16", "year":"20", "couponrate":"8", "benefittype":"A", "benefitrate":"800", "premiumrate":"1.01"}</v>
      </c>
      <c r="J376" s="6" t="str">
        <f t="shared" si="44"/>
        <v>,</v>
      </c>
    </row>
    <row r="377" spans="1:10">
      <c r="A377" s="4" t="str">
        <f>'EN60'!A$3</f>
        <v>EN60</v>
      </c>
      <c r="B377" s="4">
        <f t="shared" si="45"/>
        <v>16</v>
      </c>
      <c r="C377" s="4">
        <f t="shared" si="46"/>
        <v>21</v>
      </c>
      <c r="D377" s="4">
        <f t="shared" si="40"/>
        <v>8</v>
      </c>
      <c r="E377" s="4" t="s">
        <v>27</v>
      </c>
      <c r="F377" s="4">
        <f t="shared" si="41"/>
        <v>800</v>
      </c>
      <c r="G377" s="5">
        <f t="shared" si="47"/>
        <v>1.01</v>
      </c>
      <c r="H377" s="6" t="str">
        <f t="shared" si="42"/>
        <v>INSERT INTO public.coupon (plancode, age, "year", couponrate, benefittype, benefitrate, premiumrate) VALUES('EN60', 16, 21, 8, 'A',800, 1.01);</v>
      </c>
      <c r="I377" s="6" t="str">
        <f t="shared" si="43"/>
        <v>{"age":"16", "year":"21", "couponrate":"8", "benefittype":"A", "benefitrate":"800", "premiumrate":"1.01"}</v>
      </c>
      <c r="J377" s="6" t="str">
        <f t="shared" si="44"/>
        <v>,</v>
      </c>
    </row>
    <row r="378" spans="1:10">
      <c r="A378" s="4" t="str">
        <f>'EN60'!A$3</f>
        <v>EN60</v>
      </c>
      <c r="B378" s="4">
        <f t="shared" si="45"/>
        <v>16</v>
      </c>
      <c r="C378" s="4">
        <f t="shared" si="46"/>
        <v>22</v>
      </c>
      <c r="D378" s="4">
        <f t="shared" si="40"/>
        <v>8</v>
      </c>
      <c r="E378" s="4" t="s">
        <v>27</v>
      </c>
      <c r="F378" s="4">
        <f t="shared" si="41"/>
        <v>800</v>
      </c>
      <c r="G378" s="5">
        <f t="shared" si="47"/>
        <v>1.01</v>
      </c>
      <c r="H378" s="6" t="str">
        <f t="shared" si="42"/>
        <v>INSERT INTO public.coupon (plancode, age, "year", couponrate, benefittype, benefitrate, premiumrate) VALUES('EN60', 16, 22, 8, 'A',800, 1.01);</v>
      </c>
      <c r="I378" s="6" t="str">
        <f t="shared" si="43"/>
        <v>{"age":"16", "year":"22", "couponrate":"8", "benefittype":"A", "benefitrate":"800", "premiumrate":"1.01"}</v>
      </c>
      <c r="J378" s="6" t="str">
        <f t="shared" si="44"/>
        <v>,</v>
      </c>
    </row>
    <row r="379" spans="1:10">
      <c r="A379" s="4" t="str">
        <f>'EN60'!A$3</f>
        <v>EN60</v>
      </c>
      <c r="B379" s="4">
        <f t="shared" si="45"/>
        <v>16</v>
      </c>
      <c r="C379" s="4">
        <f t="shared" si="46"/>
        <v>23</v>
      </c>
      <c r="D379" s="4">
        <f t="shared" si="40"/>
        <v>8</v>
      </c>
      <c r="E379" s="4" t="s">
        <v>27</v>
      </c>
      <c r="F379" s="4">
        <f t="shared" si="41"/>
        <v>800</v>
      </c>
      <c r="G379" s="5">
        <f t="shared" si="47"/>
        <v>1.01</v>
      </c>
      <c r="H379" s="6" t="str">
        <f t="shared" si="42"/>
        <v>INSERT INTO public.coupon (plancode, age, "year", couponrate, benefittype, benefitrate, premiumrate) VALUES('EN60', 16, 23, 8, 'A',800, 1.01);</v>
      </c>
      <c r="I379" s="6" t="str">
        <f t="shared" si="43"/>
        <v>{"age":"16", "year":"23", "couponrate":"8", "benefittype":"A", "benefitrate":"800", "premiumrate":"1.01"}</v>
      </c>
      <c r="J379" s="6" t="str">
        <f t="shared" si="44"/>
        <v>,</v>
      </c>
    </row>
    <row r="380" spans="1:10">
      <c r="A380" s="4" t="str">
        <f>'EN60'!A$3</f>
        <v>EN60</v>
      </c>
      <c r="B380" s="4">
        <f t="shared" si="45"/>
        <v>16</v>
      </c>
      <c r="C380" s="4">
        <f t="shared" si="46"/>
        <v>24</v>
      </c>
      <c r="D380" s="4">
        <f t="shared" si="40"/>
        <v>8</v>
      </c>
      <c r="E380" s="4" t="s">
        <v>27</v>
      </c>
      <c r="F380" s="4">
        <f t="shared" si="41"/>
        <v>800</v>
      </c>
      <c r="G380" s="5">
        <f t="shared" si="47"/>
        <v>1.01</v>
      </c>
      <c r="H380" s="6" t="str">
        <f t="shared" si="42"/>
        <v>INSERT INTO public.coupon (plancode, age, "year", couponrate, benefittype, benefitrate, premiumrate) VALUES('EN60', 16, 24, 8, 'A',800, 1.01);</v>
      </c>
      <c r="I380" s="6" t="str">
        <f t="shared" si="43"/>
        <v>{"age":"16", "year":"24", "couponrate":"8", "benefittype":"A", "benefitrate":"800", "premiumrate":"1.01"}</v>
      </c>
      <c r="J380" s="6" t="str">
        <f t="shared" si="44"/>
        <v>,</v>
      </c>
    </row>
    <row r="381" spans="1:10">
      <c r="A381" s="4" t="str">
        <f>'EN60'!A$3</f>
        <v>EN60</v>
      </c>
      <c r="B381" s="4">
        <f t="shared" si="45"/>
        <v>16</v>
      </c>
      <c r="C381" s="4">
        <f t="shared" si="46"/>
        <v>25</v>
      </c>
      <c r="D381" s="4">
        <f t="shared" si="40"/>
        <v>8</v>
      </c>
      <c r="E381" s="4" t="s">
        <v>27</v>
      </c>
      <c r="F381" s="4">
        <f t="shared" si="41"/>
        <v>800</v>
      </c>
      <c r="G381" s="5">
        <f t="shared" si="47"/>
        <v>1.01</v>
      </c>
      <c r="H381" s="6" t="str">
        <f t="shared" si="42"/>
        <v>INSERT INTO public.coupon (plancode, age, "year", couponrate, benefittype, benefitrate, premiumrate) VALUES('EN60', 16, 25, 8, 'A',800, 1.01);</v>
      </c>
      <c r="I381" s="6" t="str">
        <f t="shared" si="43"/>
        <v>{"age":"16", "year":"25", "couponrate":"8", "benefittype":"A", "benefitrate":"800", "premiumrate":"1.01"}</v>
      </c>
      <c r="J381" s="6" t="str">
        <f t="shared" si="44"/>
        <v>,</v>
      </c>
    </row>
    <row r="382" spans="1:10">
      <c r="A382" s="4" t="str">
        <f>'EN60'!A$3</f>
        <v>EN60</v>
      </c>
      <c r="B382" s="4">
        <f t="shared" si="45"/>
        <v>16</v>
      </c>
      <c r="C382" s="4">
        <f t="shared" si="46"/>
        <v>26</v>
      </c>
      <c r="D382" s="4">
        <f t="shared" si="40"/>
        <v>8</v>
      </c>
      <c r="E382" s="4" t="s">
        <v>27</v>
      </c>
      <c r="F382" s="4">
        <f t="shared" si="41"/>
        <v>800</v>
      </c>
      <c r="G382" s="5">
        <f t="shared" si="47"/>
        <v>1.01</v>
      </c>
      <c r="H382" s="6" t="str">
        <f t="shared" si="42"/>
        <v>INSERT INTO public.coupon (plancode, age, "year", couponrate, benefittype, benefitrate, premiumrate) VALUES('EN60', 16, 26, 8, 'A',800, 1.01);</v>
      </c>
      <c r="I382" s="6" t="str">
        <f t="shared" si="43"/>
        <v>{"age":"16", "year":"26", "couponrate":"8", "benefittype":"A", "benefitrate":"800", "premiumrate":"1.01"}</v>
      </c>
      <c r="J382" s="6" t="str">
        <f t="shared" si="44"/>
        <v>,</v>
      </c>
    </row>
    <row r="383" spans="1:10">
      <c r="A383" s="4" t="str">
        <f>'EN60'!A$3</f>
        <v>EN60</v>
      </c>
      <c r="B383" s="4">
        <f t="shared" si="45"/>
        <v>16</v>
      </c>
      <c r="C383" s="4">
        <f t="shared" si="46"/>
        <v>27</v>
      </c>
      <c r="D383" s="4">
        <f t="shared" si="40"/>
        <v>8</v>
      </c>
      <c r="E383" s="4" t="s">
        <v>27</v>
      </c>
      <c r="F383" s="4">
        <f t="shared" si="41"/>
        <v>800</v>
      </c>
      <c r="G383" s="5">
        <f t="shared" si="47"/>
        <v>1.01</v>
      </c>
      <c r="H383" s="6" t="str">
        <f t="shared" si="42"/>
        <v>INSERT INTO public.coupon (plancode, age, "year", couponrate, benefittype, benefitrate, premiumrate) VALUES('EN60', 16, 27, 8, 'A',800, 1.01);</v>
      </c>
      <c r="I383" s="6" t="str">
        <f t="shared" si="43"/>
        <v>{"age":"16", "year":"27", "couponrate":"8", "benefittype":"A", "benefitrate":"800", "premiumrate":"1.01"}</v>
      </c>
      <c r="J383" s="6" t="str">
        <f t="shared" si="44"/>
        <v>,</v>
      </c>
    </row>
    <row r="384" spans="1:10">
      <c r="A384" s="4" t="str">
        <f>'EN60'!A$3</f>
        <v>EN60</v>
      </c>
      <c r="B384" s="4">
        <f t="shared" si="45"/>
        <v>16</v>
      </c>
      <c r="C384" s="4">
        <f t="shared" si="46"/>
        <v>28</v>
      </c>
      <c r="D384" s="4">
        <f t="shared" si="40"/>
        <v>8</v>
      </c>
      <c r="E384" s="4" t="s">
        <v>27</v>
      </c>
      <c r="F384" s="4">
        <f t="shared" si="41"/>
        <v>800</v>
      </c>
      <c r="G384" s="5">
        <f t="shared" si="47"/>
        <v>1.01</v>
      </c>
      <c r="H384" s="6" t="str">
        <f t="shared" si="42"/>
        <v>INSERT INTO public.coupon (plancode, age, "year", couponrate, benefittype, benefitrate, premiumrate) VALUES('EN60', 16, 28, 8, 'A',800, 1.01);</v>
      </c>
      <c r="I384" s="6" t="str">
        <f t="shared" si="43"/>
        <v>{"age":"16", "year":"28", "couponrate":"8", "benefittype":"A", "benefitrate":"800", "premiumrate":"1.01"}</v>
      </c>
      <c r="J384" s="6" t="str">
        <f t="shared" si="44"/>
        <v>,</v>
      </c>
    </row>
    <row r="385" spans="1:10">
      <c r="A385" s="4" t="str">
        <f>'EN60'!A$3</f>
        <v>EN60</v>
      </c>
      <c r="B385" s="4">
        <f t="shared" si="45"/>
        <v>16</v>
      </c>
      <c r="C385" s="4">
        <f t="shared" si="46"/>
        <v>29</v>
      </c>
      <c r="D385" s="4">
        <f t="shared" si="40"/>
        <v>8</v>
      </c>
      <c r="E385" s="4" t="s">
        <v>27</v>
      </c>
      <c r="F385" s="4">
        <f t="shared" si="41"/>
        <v>800</v>
      </c>
      <c r="G385" s="5">
        <f t="shared" si="47"/>
        <v>1.01</v>
      </c>
      <c r="H385" s="6" t="str">
        <f t="shared" si="42"/>
        <v>INSERT INTO public.coupon (plancode, age, "year", couponrate, benefittype, benefitrate, premiumrate) VALUES('EN60', 16, 29, 8, 'A',800, 1.01);</v>
      </c>
      <c r="I385" s="6" t="str">
        <f t="shared" si="43"/>
        <v>{"age":"16", "year":"29", "couponrate":"8", "benefittype":"A", "benefitrate":"800", "premiumrate":"1.01"}</v>
      </c>
      <c r="J385" s="6" t="str">
        <f t="shared" si="44"/>
        <v>,</v>
      </c>
    </row>
    <row r="386" spans="1:10">
      <c r="A386" s="4" t="str">
        <f>'EN60'!A$3</f>
        <v>EN60</v>
      </c>
      <c r="B386" s="4">
        <f t="shared" si="45"/>
        <v>16</v>
      </c>
      <c r="C386" s="4">
        <f t="shared" si="46"/>
        <v>30</v>
      </c>
      <c r="D386" s="4">
        <f t="shared" si="40"/>
        <v>8</v>
      </c>
      <c r="E386" s="4" t="s">
        <v>27</v>
      </c>
      <c r="F386" s="4">
        <f t="shared" si="41"/>
        <v>800</v>
      </c>
      <c r="G386" s="5">
        <f t="shared" si="47"/>
        <v>1.01</v>
      </c>
      <c r="H386" s="6" t="str">
        <f t="shared" si="42"/>
        <v>INSERT INTO public.coupon (plancode, age, "year", couponrate, benefittype, benefitrate, premiumrate) VALUES('EN60', 16, 30, 8, 'A',800, 1.01);</v>
      </c>
      <c r="I386" s="6" t="str">
        <f t="shared" si="43"/>
        <v>{"age":"16", "year":"30", "couponrate":"8", "benefittype":"A", "benefitrate":"800", "premiumrate":"1.01"}</v>
      </c>
      <c r="J386" s="6" t="str">
        <f t="shared" si="44"/>
        <v>,</v>
      </c>
    </row>
    <row r="387" spans="1:10">
      <c r="A387" s="4" t="str">
        <f>'EN60'!A$3</f>
        <v>EN60</v>
      </c>
      <c r="B387" s="4">
        <f t="shared" si="45"/>
        <v>16</v>
      </c>
      <c r="C387" s="4">
        <f t="shared" si="46"/>
        <v>31</v>
      </c>
      <c r="D387" s="4">
        <f t="shared" si="40"/>
        <v>8</v>
      </c>
      <c r="E387" s="4" t="s">
        <v>27</v>
      </c>
      <c r="F387" s="4">
        <f t="shared" si="41"/>
        <v>800</v>
      </c>
      <c r="G387" s="5">
        <f t="shared" si="47"/>
        <v>1.01</v>
      </c>
      <c r="H387" s="6" t="str">
        <f t="shared" si="42"/>
        <v>INSERT INTO public.coupon (plancode, age, "year", couponrate, benefittype, benefitrate, premiumrate) VALUES('EN60', 16, 31, 8, 'A',800, 1.01);</v>
      </c>
      <c r="I387" s="6" t="str">
        <f t="shared" si="43"/>
        <v>{"age":"16", "year":"31", "couponrate":"8", "benefittype":"A", "benefitrate":"800", "premiumrate":"1.01"}</v>
      </c>
      <c r="J387" s="6" t="str">
        <f t="shared" si="44"/>
        <v>,</v>
      </c>
    </row>
    <row r="388" spans="1:10">
      <c r="A388" s="4" t="str">
        <f>'EN60'!A$3</f>
        <v>EN60</v>
      </c>
      <c r="B388" s="4">
        <f t="shared" si="45"/>
        <v>16</v>
      </c>
      <c r="C388" s="4">
        <f t="shared" si="46"/>
        <v>32</v>
      </c>
      <c r="D388" s="4">
        <f t="shared" si="40"/>
        <v>8</v>
      </c>
      <c r="E388" s="4" t="s">
        <v>27</v>
      </c>
      <c r="F388" s="4">
        <f t="shared" si="41"/>
        <v>800</v>
      </c>
      <c r="G388" s="5">
        <f t="shared" si="47"/>
        <v>1.01</v>
      </c>
      <c r="H388" s="6" t="str">
        <f t="shared" si="42"/>
        <v>INSERT INTO public.coupon (plancode, age, "year", couponrate, benefittype, benefitrate, premiumrate) VALUES('EN60', 16, 32, 8, 'A',800, 1.01);</v>
      </c>
      <c r="I388" s="6" t="str">
        <f t="shared" si="43"/>
        <v>{"age":"16", "year":"32", "couponrate":"8", "benefittype":"A", "benefitrate":"800", "premiumrate":"1.01"}</v>
      </c>
      <c r="J388" s="6" t="str">
        <f t="shared" si="44"/>
        <v>,</v>
      </c>
    </row>
    <row r="389" spans="1:10">
      <c r="A389" s="4" t="str">
        <f>'EN60'!A$3</f>
        <v>EN60</v>
      </c>
      <c r="B389" s="4">
        <f t="shared" si="45"/>
        <v>16</v>
      </c>
      <c r="C389" s="4">
        <f t="shared" si="46"/>
        <v>33</v>
      </c>
      <c r="D389" s="4">
        <f t="shared" si="40"/>
        <v>8</v>
      </c>
      <c r="E389" s="4" t="s">
        <v>27</v>
      </c>
      <c r="F389" s="4">
        <f t="shared" si="41"/>
        <v>800</v>
      </c>
      <c r="G389" s="5">
        <f t="shared" si="47"/>
        <v>1.01</v>
      </c>
      <c r="H389" s="6" t="str">
        <f t="shared" si="42"/>
        <v>INSERT INTO public.coupon (plancode, age, "year", couponrate, benefittype, benefitrate, premiumrate) VALUES('EN60', 16, 33, 8, 'A',800, 1.01);</v>
      </c>
      <c r="I389" s="6" t="str">
        <f t="shared" si="43"/>
        <v>{"age":"16", "year":"33", "couponrate":"8", "benefittype":"A", "benefitrate":"800", "premiumrate":"1.01"}</v>
      </c>
      <c r="J389" s="6" t="str">
        <f t="shared" si="44"/>
        <v>,</v>
      </c>
    </row>
    <row r="390" spans="1:10">
      <c r="A390" s="4" t="str">
        <f>'EN60'!A$3</f>
        <v>EN60</v>
      </c>
      <c r="B390" s="4">
        <f t="shared" si="45"/>
        <v>16</v>
      </c>
      <c r="C390" s="4">
        <f t="shared" si="46"/>
        <v>34</v>
      </c>
      <c r="D390" s="4">
        <f t="shared" si="40"/>
        <v>8</v>
      </c>
      <c r="E390" s="4" t="s">
        <v>27</v>
      </c>
      <c r="F390" s="4">
        <f t="shared" si="41"/>
        <v>800</v>
      </c>
      <c r="G390" s="5">
        <f t="shared" si="47"/>
        <v>1.01</v>
      </c>
      <c r="H390" s="6" t="str">
        <f t="shared" si="42"/>
        <v>INSERT INTO public.coupon (plancode, age, "year", couponrate, benefittype, benefitrate, premiumrate) VALUES('EN60', 16, 34, 8, 'A',800, 1.01);</v>
      </c>
      <c r="I390" s="6" t="str">
        <f t="shared" si="43"/>
        <v>{"age":"16", "year":"34", "couponrate":"8", "benefittype":"A", "benefitrate":"800", "premiumrate":"1.01"}</v>
      </c>
      <c r="J390" s="6" t="str">
        <f t="shared" si="44"/>
        <v>,</v>
      </c>
    </row>
    <row r="391" spans="1:10">
      <c r="A391" s="4" t="str">
        <f>'EN60'!A$3</f>
        <v>EN60</v>
      </c>
      <c r="B391" s="4">
        <f t="shared" si="45"/>
        <v>16</v>
      </c>
      <c r="C391" s="4">
        <f t="shared" si="46"/>
        <v>35</v>
      </c>
      <c r="D391" s="4">
        <f t="shared" si="40"/>
        <v>8</v>
      </c>
      <c r="E391" s="4" t="s">
        <v>27</v>
      </c>
      <c r="F391" s="4">
        <f t="shared" si="41"/>
        <v>800</v>
      </c>
      <c r="G391" s="5">
        <f t="shared" si="47"/>
        <v>1.01</v>
      </c>
      <c r="H391" s="6" t="str">
        <f t="shared" si="42"/>
        <v>INSERT INTO public.coupon (plancode, age, "year", couponrate, benefittype, benefitrate, premiumrate) VALUES('EN60', 16, 35, 8, 'A',800, 1.01);</v>
      </c>
      <c r="I391" s="6" t="str">
        <f t="shared" si="43"/>
        <v>{"age":"16", "year":"35", "couponrate":"8", "benefittype":"A", "benefitrate":"800", "premiumrate":"1.01"}</v>
      </c>
      <c r="J391" s="6" t="str">
        <f t="shared" si="44"/>
        <v>,</v>
      </c>
    </row>
    <row r="392" spans="1:10">
      <c r="A392" s="4" t="str">
        <f>'EN60'!A$3</f>
        <v>EN60</v>
      </c>
      <c r="B392" s="4">
        <f t="shared" si="45"/>
        <v>16</v>
      </c>
      <c r="C392" s="4">
        <f t="shared" si="46"/>
        <v>36</v>
      </c>
      <c r="D392" s="4">
        <f t="shared" si="40"/>
        <v>8</v>
      </c>
      <c r="E392" s="4" t="s">
        <v>27</v>
      </c>
      <c r="F392" s="4">
        <f t="shared" si="41"/>
        <v>800</v>
      </c>
      <c r="G392" s="5">
        <f t="shared" si="47"/>
        <v>1.01</v>
      </c>
      <c r="H392" s="6" t="str">
        <f t="shared" si="42"/>
        <v>INSERT INTO public.coupon (plancode, age, "year", couponrate, benefittype, benefitrate, premiumrate) VALUES('EN60', 16, 36, 8, 'A',800, 1.01);</v>
      </c>
      <c r="I392" s="6" t="str">
        <f t="shared" si="43"/>
        <v>{"age":"16", "year":"36", "couponrate":"8", "benefittype":"A", "benefitrate":"800", "premiumrate":"1.01"}</v>
      </c>
      <c r="J392" s="6" t="str">
        <f t="shared" si="44"/>
        <v>,</v>
      </c>
    </row>
    <row r="393" spans="1:10">
      <c r="A393" s="4" t="str">
        <f>'EN60'!A$3</f>
        <v>EN60</v>
      </c>
      <c r="B393" s="4">
        <f t="shared" si="45"/>
        <v>16</v>
      </c>
      <c r="C393" s="4">
        <f t="shared" si="46"/>
        <v>37</v>
      </c>
      <c r="D393" s="4">
        <f t="shared" si="40"/>
        <v>8</v>
      </c>
      <c r="E393" s="4" t="s">
        <v>27</v>
      </c>
      <c r="F393" s="4">
        <f t="shared" si="41"/>
        <v>800</v>
      </c>
      <c r="G393" s="5">
        <f t="shared" si="47"/>
        <v>1.01</v>
      </c>
      <c r="H393" s="6" t="str">
        <f t="shared" si="42"/>
        <v>INSERT INTO public.coupon (plancode, age, "year", couponrate, benefittype, benefitrate, premiumrate) VALUES('EN60', 16, 37, 8, 'A',800, 1.01);</v>
      </c>
      <c r="I393" s="6" t="str">
        <f t="shared" si="43"/>
        <v>{"age":"16", "year":"37", "couponrate":"8", "benefittype":"A", "benefitrate":"800", "premiumrate":"1.01"}</v>
      </c>
      <c r="J393" s="6" t="str">
        <f t="shared" si="44"/>
        <v>,</v>
      </c>
    </row>
    <row r="394" spans="1:10">
      <c r="A394" s="4" t="str">
        <f>'EN60'!A$3</f>
        <v>EN60</v>
      </c>
      <c r="B394" s="4">
        <f t="shared" si="45"/>
        <v>16</v>
      </c>
      <c r="C394" s="4">
        <f t="shared" si="46"/>
        <v>38</v>
      </c>
      <c r="D394" s="4">
        <f t="shared" si="40"/>
        <v>8</v>
      </c>
      <c r="E394" s="4" t="s">
        <v>27</v>
      </c>
      <c r="F394" s="4">
        <f t="shared" si="41"/>
        <v>800</v>
      </c>
      <c r="G394" s="5">
        <f t="shared" si="47"/>
        <v>1.01</v>
      </c>
      <c r="H394" s="6" t="str">
        <f t="shared" si="42"/>
        <v>INSERT INTO public.coupon (plancode, age, "year", couponrate, benefittype, benefitrate, premiumrate) VALUES('EN60', 16, 38, 8, 'A',800, 1.01);</v>
      </c>
      <c r="I394" s="6" t="str">
        <f t="shared" si="43"/>
        <v>{"age":"16", "year":"38", "couponrate":"8", "benefittype":"A", "benefitrate":"800", "premiumrate":"1.01"}</v>
      </c>
      <c r="J394" s="6" t="str">
        <f t="shared" si="44"/>
        <v>,</v>
      </c>
    </row>
    <row r="395" spans="1:10">
      <c r="A395" s="4" t="str">
        <f>'EN60'!A$3</f>
        <v>EN60</v>
      </c>
      <c r="B395" s="4">
        <f t="shared" si="45"/>
        <v>16</v>
      </c>
      <c r="C395" s="4">
        <f t="shared" si="46"/>
        <v>39</v>
      </c>
      <c r="D395" s="4">
        <f t="shared" si="40"/>
        <v>8</v>
      </c>
      <c r="E395" s="4" t="s">
        <v>27</v>
      </c>
      <c r="F395" s="4">
        <f t="shared" si="41"/>
        <v>800</v>
      </c>
      <c r="G395" s="5">
        <f t="shared" si="47"/>
        <v>1.01</v>
      </c>
      <c r="H395" s="6" t="str">
        <f t="shared" si="42"/>
        <v>INSERT INTO public.coupon (plancode, age, "year", couponrate, benefittype, benefitrate, premiumrate) VALUES('EN60', 16, 39, 8, 'A',800, 1.01);</v>
      </c>
      <c r="I395" s="6" t="str">
        <f t="shared" si="43"/>
        <v>{"age":"16", "year":"39", "couponrate":"8", "benefittype":"A", "benefitrate":"800", "premiumrate":"1.01"}</v>
      </c>
      <c r="J395" s="6" t="str">
        <f t="shared" si="44"/>
        <v>,</v>
      </c>
    </row>
    <row r="396" spans="1:10">
      <c r="A396" s="4" t="str">
        <f>'EN60'!A$3</f>
        <v>EN60</v>
      </c>
      <c r="B396" s="4">
        <f t="shared" si="45"/>
        <v>16</v>
      </c>
      <c r="C396" s="4">
        <f t="shared" si="46"/>
        <v>40</v>
      </c>
      <c r="D396" s="4">
        <f t="shared" si="40"/>
        <v>8</v>
      </c>
      <c r="E396" s="4" t="s">
        <v>27</v>
      </c>
      <c r="F396" s="4">
        <f t="shared" si="41"/>
        <v>800</v>
      </c>
      <c r="G396" s="5">
        <f t="shared" si="47"/>
        <v>1.01</v>
      </c>
      <c r="H396" s="6" t="str">
        <f t="shared" si="42"/>
        <v>INSERT INTO public.coupon (plancode, age, "year", couponrate, benefittype, benefitrate, premiumrate) VALUES('EN60', 16, 40, 8, 'A',800, 1.01);</v>
      </c>
      <c r="I396" s="6" t="str">
        <f t="shared" si="43"/>
        <v>{"age":"16", "year":"40", "couponrate":"8", "benefittype":"A", "benefitrate":"800", "premiumrate":"1.01"}</v>
      </c>
      <c r="J396" s="6" t="str">
        <f t="shared" si="44"/>
        <v>,</v>
      </c>
    </row>
    <row r="397" spans="1:10">
      <c r="A397" s="4" t="str">
        <f>'EN60'!A$3</f>
        <v>EN60</v>
      </c>
      <c r="B397" s="4">
        <f t="shared" si="45"/>
        <v>16</v>
      </c>
      <c r="C397" s="4">
        <f t="shared" si="46"/>
        <v>41</v>
      </c>
      <c r="D397" s="4">
        <f t="shared" si="40"/>
        <v>8</v>
      </c>
      <c r="E397" s="4" t="s">
        <v>27</v>
      </c>
      <c r="F397" s="4">
        <f t="shared" si="41"/>
        <v>800</v>
      </c>
      <c r="G397" s="5">
        <f t="shared" si="47"/>
        <v>1.01</v>
      </c>
      <c r="H397" s="6" t="str">
        <f t="shared" si="42"/>
        <v>INSERT INTO public.coupon (plancode, age, "year", couponrate, benefittype, benefitrate, premiumrate) VALUES('EN60', 16, 41, 8, 'A',800, 1.01);</v>
      </c>
      <c r="I397" s="6" t="str">
        <f t="shared" si="43"/>
        <v>{"age":"16", "year":"41", "couponrate":"8", "benefittype":"A", "benefitrate":"800", "premiumrate":"1.01"}</v>
      </c>
      <c r="J397" s="6" t="str">
        <f t="shared" si="44"/>
        <v>,</v>
      </c>
    </row>
    <row r="398" spans="1:10">
      <c r="A398" s="4" t="str">
        <f>'EN60'!A$3</f>
        <v>EN60</v>
      </c>
      <c r="B398" s="4">
        <f t="shared" si="45"/>
        <v>16</v>
      </c>
      <c r="C398" s="4">
        <f t="shared" si="46"/>
        <v>42</v>
      </c>
      <c r="D398" s="4">
        <f t="shared" si="40"/>
        <v>8</v>
      </c>
      <c r="E398" s="4" t="s">
        <v>27</v>
      </c>
      <c r="F398" s="4">
        <f t="shared" si="41"/>
        <v>800</v>
      </c>
      <c r="G398" s="5">
        <f t="shared" si="47"/>
        <v>1.01</v>
      </c>
      <c r="H398" s="6" t="str">
        <f t="shared" si="42"/>
        <v>INSERT INTO public.coupon (plancode, age, "year", couponrate, benefittype, benefitrate, premiumrate) VALUES('EN60', 16, 42, 8, 'A',800, 1.01);</v>
      </c>
      <c r="I398" s="6" t="str">
        <f t="shared" si="43"/>
        <v>{"age":"16", "year":"42", "couponrate":"8", "benefittype":"A", "benefitrate":"800", "premiumrate":"1.01"}</v>
      </c>
      <c r="J398" s="6" t="str">
        <f t="shared" si="44"/>
        <v>,</v>
      </c>
    </row>
    <row r="399" spans="1:10">
      <c r="A399" s="4" t="str">
        <f>'EN60'!A$3</f>
        <v>EN60</v>
      </c>
      <c r="B399" s="4">
        <f t="shared" si="45"/>
        <v>16</v>
      </c>
      <c r="C399" s="4">
        <f t="shared" si="46"/>
        <v>43</v>
      </c>
      <c r="D399" s="4">
        <f t="shared" si="40"/>
        <v>8</v>
      </c>
      <c r="E399" s="4" t="s">
        <v>27</v>
      </c>
      <c r="F399" s="4">
        <f t="shared" si="41"/>
        <v>800</v>
      </c>
      <c r="G399" s="5">
        <f t="shared" si="47"/>
        <v>1.01</v>
      </c>
      <c r="H399" s="6" t="str">
        <f t="shared" si="42"/>
        <v>INSERT INTO public.coupon (plancode, age, "year", couponrate, benefittype, benefitrate, premiumrate) VALUES('EN60', 16, 43, 8, 'A',800, 1.01);</v>
      </c>
      <c r="I399" s="6" t="str">
        <f t="shared" si="43"/>
        <v>{"age":"16", "year":"43", "couponrate":"8", "benefittype":"A", "benefitrate":"800", "premiumrate":"1.01"}</v>
      </c>
      <c r="J399" s="6" t="str">
        <f t="shared" si="44"/>
        <v>,</v>
      </c>
    </row>
    <row r="400" spans="1:10">
      <c r="A400" s="4" t="str">
        <f>'EN60'!A$3</f>
        <v>EN60</v>
      </c>
      <c r="B400" s="4">
        <f t="shared" si="45"/>
        <v>16</v>
      </c>
      <c r="C400" s="4">
        <f t="shared" si="46"/>
        <v>44</v>
      </c>
      <c r="D400" s="4">
        <f t="shared" si="40"/>
        <v>8</v>
      </c>
      <c r="E400" s="4" t="s">
        <v>27</v>
      </c>
      <c r="F400" s="4">
        <f t="shared" si="41"/>
        <v>800</v>
      </c>
      <c r="G400" s="5">
        <f t="shared" si="47"/>
        <v>1.01</v>
      </c>
      <c r="H400" s="6" t="str">
        <f t="shared" si="42"/>
        <v>INSERT INTO public.coupon (plancode, age, "year", couponrate, benefittype, benefitrate, premiumrate) VALUES('EN60', 16, 44, 8, 'A',800, 1.01);</v>
      </c>
      <c r="I400" s="6" t="str">
        <f t="shared" si="43"/>
        <v>{"age":"16", "year":"44", "couponrate":"8", "benefittype":"A", "benefitrate":"800", "premiumrate":"1.01"}</v>
      </c>
      <c r="J400" s="6" t="str">
        <f t="shared" si="44"/>
        <v>,</v>
      </c>
    </row>
    <row r="401" spans="1:10">
      <c r="A401" s="4" t="str">
        <f>'EN60'!A$3</f>
        <v>EN60</v>
      </c>
      <c r="B401" s="4">
        <f t="shared" si="45"/>
        <v>16</v>
      </c>
      <c r="C401" s="4">
        <f t="shared" si="46"/>
        <v>45</v>
      </c>
      <c r="D401" s="4">
        <f t="shared" si="40"/>
        <v>8</v>
      </c>
      <c r="E401" s="4" t="s">
        <v>27</v>
      </c>
      <c r="F401" s="4">
        <f t="shared" si="41"/>
        <v>800</v>
      </c>
      <c r="G401" s="5">
        <f t="shared" si="47"/>
        <v>1.01</v>
      </c>
      <c r="H401" s="6" t="str">
        <f t="shared" si="42"/>
        <v>INSERT INTO public.coupon (plancode, age, "year", couponrate, benefittype, benefitrate, premiumrate) VALUES('EN60', 16, 45, 8, 'A',800, 1.01);</v>
      </c>
      <c r="I401" s="6" t="str">
        <f t="shared" si="43"/>
        <v>{"age":"16", "year":"45", "couponrate":"8", "benefittype":"A", "benefitrate":"800", "premiumrate":"1.01"}</v>
      </c>
      <c r="J401" s="6" t="str">
        <f t="shared" si="44"/>
        <v>,</v>
      </c>
    </row>
    <row r="402" spans="1:10">
      <c r="A402" s="4" t="str">
        <f>'EN60'!A$3</f>
        <v>EN60</v>
      </c>
      <c r="B402" s="4">
        <f t="shared" si="45"/>
        <v>16</v>
      </c>
      <c r="C402" s="4">
        <f t="shared" si="46"/>
        <v>46</v>
      </c>
      <c r="D402" s="4">
        <f t="shared" si="40"/>
        <v>8</v>
      </c>
      <c r="E402" s="4" t="s">
        <v>27</v>
      </c>
      <c r="F402" s="4">
        <f t="shared" si="41"/>
        <v>800</v>
      </c>
      <c r="G402" s="5">
        <f t="shared" si="47"/>
        <v>1.01</v>
      </c>
      <c r="H402" s="6" t="str">
        <f t="shared" si="42"/>
        <v>INSERT INTO public.coupon (plancode, age, "year", couponrate, benefittype, benefitrate, premiumrate) VALUES('EN60', 16, 46, 8, 'A',800, 1.01);</v>
      </c>
      <c r="I402" s="6" t="str">
        <f t="shared" si="43"/>
        <v>{"age":"16", "year":"46", "couponrate":"8", "benefittype":"A", "benefitrate":"800", "premiumrate":"1.01"}</v>
      </c>
      <c r="J402" s="6" t="str">
        <f t="shared" si="44"/>
        <v>,</v>
      </c>
    </row>
    <row r="403" spans="1:10">
      <c r="A403" s="4" t="str">
        <f>'EN60'!A$3</f>
        <v>EN60</v>
      </c>
      <c r="B403" s="4">
        <f t="shared" si="45"/>
        <v>16</v>
      </c>
      <c r="C403" s="4">
        <f t="shared" si="46"/>
        <v>47</v>
      </c>
      <c r="D403" s="4">
        <f t="shared" si="40"/>
        <v>8</v>
      </c>
      <c r="E403" s="4" t="s">
        <v>27</v>
      </c>
      <c r="F403" s="4">
        <f t="shared" si="41"/>
        <v>800</v>
      </c>
      <c r="G403" s="5">
        <f t="shared" si="47"/>
        <v>1.01</v>
      </c>
      <c r="H403" s="6" t="str">
        <f t="shared" si="42"/>
        <v>INSERT INTO public.coupon (plancode, age, "year", couponrate, benefittype, benefitrate, premiumrate) VALUES('EN60', 16, 47, 8, 'A',800, 1.01);</v>
      </c>
      <c r="I403" s="6" t="str">
        <f t="shared" si="43"/>
        <v>{"age":"16", "year":"47", "couponrate":"8", "benefittype":"A", "benefitrate":"800", "premiumrate":"1.01"}</v>
      </c>
      <c r="J403" s="6" t="str">
        <f t="shared" si="44"/>
        <v>,</v>
      </c>
    </row>
    <row r="404" spans="1:10">
      <c r="A404" s="4" t="str">
        <f>'EN60'!A$3</f>
        <v>EN60</v>
      </c>
      <c r="B404" s="4">
        <f t="shared" si="45"/>
        <v>16</v>
      </c>
      <c r="C404" s="4">
        <f t="shared" si="46"/>
        <v>48</v>
      </c>
      <c r="D404" s="4">
        <f t="shared" si="40"/>
        <v>8</v>
      </c>
      <c r="E404" s="4" t="s">
        <v>27</v>
      </c>
      <c r="F404" s="4">
        <f t="shared" si="41"/>
        <v>800</v>
      </c>
      <c r="G404" s="5">
        <f t="shared" si="47"/>
        <v>1.01</v>
      </c>
      <c r="H404" s="6" t="str">
        <f t="shared" si="42"/>
        <v>INSERT INTO public.coupon (plancode, age, "year", couponrate, benefittype, benefitrate, premiumrate) VALUES('EN60', 16, 48, 8, 'A',800, 1.01);</v>
      </c>
      <c r="I404" s="6" t="str">
        <f t="shared" si="43"/>
        <v>{"age":"16", "year":"48", "couponrate":"8", "benefittype":"A", "benefitrate":"800", "premiumrate":"1.01"}</v>
      </c>
      <c r="J404" s="6" t="str">
        <f t="shared" si="44"/>
        <v>,</v>
      </c>
    </row>
    <row r="405" spans="1:10">
      <c r="A405" s="4" t="str">
        <f>'EN60'!A$3</f>
        <v>EN60</v>
      </c>
      <c r="B405" s="4">
        <f t="shared" si="45"/>
        <v>16</v>
      </c>
      <c r="C405" s="4">
        <f t="shared" si="46"/>
        <v>49</v>
      </c>
      <c r="D405" s="4">
        <f t="shared" si="40"/>
        <v>8</v>
      </c>
      <c r="E405" s="4" t="s">
        <v>27</v>
      </c>
      <c r="F405" s="4">
        <f t="shared" si="41"/>
        <v>800</v>
      </c>
      <c r="G405" s="5">
        <f t="shared" si="47"/>
        <v>1.01</v>
      </c>
      <c r="H405" s="6" t="str">
        <f t="shared" si="42"/>
        <v>INSERT INTO public.coupon (plancode, age, "year", couponrate, benefittype, benefitrate, premiumrate) VALUES('EN60', 16, 49, 8, 'A',800, 1.01);</v>
      </c>
      <c r="I405" s="6" t="str">
        <f t="shared" si="43"/>
        <v>{"age":"16", "year":"49", "couponrate":"8", "benefittype":"A", "benefitrate":"800", "premiumrate":"1.01"}</v>
      </c>
      <c r="J405" s="6" t="str">
        <f t="shared" si="44"/>
        <v>,</v>
      </c>
    </row>
    <row r="406" spans="1:10">
      <c r="A406" s="4" t="str">
        <f>'EN60'!A$3</f>
        <v>EN60</v>
      </c>
      <c r="B406" s="4">
        <f t="shared" si="45"/>
        <v>16</v>
      </c>
      <c r="C406" s="4">
        <f t="shared" si="46"/>
        <v>50</v>
      </c>
      <c r="D406" s="4">
        <f t="shared" si="40"/>
        <v>8</v>
      </c>
      <c r="E406" s="4" t="s">
        <v>27</v>
      </c>
      <c r="F406" s="4">
        <f t="shared" si="41"/>
        <v>800</v>
      </c>
      <c r="G406" s="5">
        <f t="shared" si="47"/>
        <v>1.01</v>
      </c>
      <c r="H406" s="6" t="str">
        <f t="shared" si="42"/>
        <v>INSERT INTO public.coupon (plancode, age, "year", couponrate, benefittype, benefitrate, premiumrate) VALUES('EN60', 16, 50, 8, 'A',800, 1.01);</v>
      </c>
      <c r="I406" s="6" t="str">
        <f t="shared" si="43"/>
        <v>{"age":"16", "year":"50", "couponrate":"8", "benefittype":"A", "benefitrate":"800", "premiumrate":"1.01"}</v>
      </c>
      <c r="J406" s="6" t="str">
        <f t="shared" si="44"/>
        <v>,</v>
      </c>
    </row>
    <row r="407" spans="1:10">
      <c r="A407" s="4" t="str">
        <f>'EN60'!A$3</f>
        <v>EN60</v>
      </c>
      <c r="B407" s="4">
        <f t="shared" si="45"/>
        <v>16</v>
      </c>
      <c r="C407" s="4">
        <f t="shared" si="46"/>
        <v>51</v>
      </c>
      <c r="D407" s="4">
        <f t="shared" si="40"/>
        <v>8</v>
      </c>
      <c r="E407" s="4" t="s">
        <v>27</v>
      </c>
      <c r="F407" s="4">
        <f t="shared" si="41"/>
        <v>800</v>
      </c>
      <c r="G407" s="5">
        <f t="shared" si="47"/>
        <v>1.01</v>
      </c>
      <c r="H407" s="6" t="str">
        <f t="shared" si="42"/>
        <v>INSERT INTO public.coupon (plancode, age, "year", couponrate, benefittype, benefitrate, premiumrate) VALUES('EN60', 16, 51, 8, 'A',800, 1.01);</v>
      </c>
      <c r="I407" s="6" t="str">
        <f t="shared" si="43"/>
        <v>{"age":"16", "year":"51", "couponrate":"8", "benefittype":"A", "benefitrate":"800", "premiumrate":"1.01"}</v>
      </c>
      <c r="J407" s="6" t="str">
        <f t="shared" si="44"/>
        <v>,</v>
      </c>
    </row>
    <row r="408" spans="1:10">
      <c r="A408" s="4" t="str">
        <f>'EN60'!A$3</f>
        <v>EN60</v>
      </c>
      <c r="B408" s="4">
        <f t="shared" si="45"/>
        <v>16</v>
      </c>
      <c r="C408" s="4">
        <f t="shared" si="46"/>
        <v>52</v>
      </c>
      <c r="D408" s="4">
        <f t="shared" si="40"/>
        <v>8</v>
      </c>
      <c r="E408" s="4" t="s">
        <v>27</v>
      </c>
      <c r="F408" s="4">
        <f t="shared" si="41"/>
        <v>800</v>
      </c>
      <c r="G408" s="5">
        <f t="shared" si="47"/>
        <v>1.01</v>
      </c>
      <c r="H408" s="6" t="str">
        <f t="shared" si="42"/>
        <v>INSERT INTO public.coupon (plancode, age, "year", couponrate, benefittype, benefitrate, premiumrate) VALUES('EN60', 16, 52, 8, 'A',800, 1.01);</v>
      </c>
      <c r="I408" s="6" t="str">
        <f t="shared" si="43"/>
        <v>{"age":"16", "year":"52", "couponrate":"8", "benefittype":"A", "benefitrate":"800", "premiumrate":"1.01"}</v>
      </c>
      <c r="J408" s="6" t="str">
        <f t="shared" si="44"/>
        <v>,</v>
      </c>
    </row>
    <row r="409" spans="1:10">
      <c r="A409" s="4" t="str">
        <f>'EN60'!A$3</f>
        <v>EN60</v>
      </c>
      <c r="B409" s="4">
        <f t="shared" si="45"/>
        <v>16</v>
      </c>
      <c r="C409" s="4">
        <f t="shared" si="46"/>
        <v>53</v>
      </c>
      <c r="D409" s="4">
        <f t="shared" si="40"/>
        <v>8</v>
      </c>
      <c r="E409" s="4" t="s">
        <v>27</v>
      </c>
      <c r="F409" s="4">
        <f t="shared" si="41"/>
        <v>800</v>
      </c>
      <c r="G409" s="5">
        <f t="shared" si="47"/>
        <v>1.01</v>
      </c>
      <c r="H409" s="6" t="str">
        <f t="shared" si="42"/>
        <v>INSERT INTO public.coupon (plancode, age, "year", couponrate, benefittype, benefitrate, premiumrate) VALUES('EN60', 16, 53, 8, 'A',800, 1.01);</v>
      </c>
      <c r="I409" s="6" t="str">
        <f t="shared" si="43"/>
        <v>{"age":"16", "year":"53", "couponrate":"8", "benefittype":"A", "benefitrate":"800", "premiumrate":"1.01"}</v>
      </c>
      <c r="J409" s="6" t="str">
        <f t="shared" si="44"/>
        <v>,</v>
      </c>
    </row>
    <row r="410" spans="1:10">
      <c r="A410" s="4" t="str">
        <f>'EN60'!A$3</f>
        <v>EN60</v>
      </c>
      <c r="B410" s="4">
        <f t="shared" si="45"/>
        <v>16</v>
      </c>
      <c r="C410" s="4">
        <f t="shared" si="46"/>
        <v>54</v>
      </c>
      <c r="D410" s="4">
        <f t="shared" si="40"/>
        <v>8</v>
      </c>
      <c r="E410" s="4" t="s">
        <v>27</v>
      </c>
      <c r="F410" s="4">
        <f t="shared" si="41"/>
        <v>800</v>
      </c>
      <c r="G410" s="5">
        <f t="shared" si="47"/>
        <v>1.01</v>
      </c>
      <c r="H410" s="6" t="str">
        <f t="shared" si="42"/>
        <v>INSERT INTO public.coupon (plancode, age, "year", couponrate, benefittype, benefitrate, premiumrate) VALUES('EN60', 16, 54, 8, 'A',800, 1.01);</v>
      </c>
      <c r="I410" s="6" t="str">
        <f t="shared" si="43"/>
        <v>{"age":"16", "year":"54", "couponrate":"8", "benefittype":"A", "benefitrate":"800", "premiumrate":"1.01"}</v>
      </c>
      <c r="J410" s="6" t="str">
        <f t="shared" si="44"/>
        <v>,</v>
      </c>
    </row>
    <row r="411" spans="1:10">
      <c r="A411" s="4" t="str">
        <f>'EN60'!A$3</f>
        <v>EN60</v>
      </c>
      <c r="B411" s="4">
        <f t="shared" si="45"/>
        <v>16</v>
      </c>
      <c r="C411" s="4">
        <f t="shared" si="46"/>
        <v>55</v>
      </c>
      <c r="D411" s="4">
        <f t="shared" si="40"/>
        <v>8</v>
      </c>
      <c r="E411" s="4" t="s">
        <v>27</v>
      </c>
      <c r="F411" s="4">
        <f t="shared" si="41"/>
        <v>800</v>
      </c>
      <c r="G411" s="5">
        <f t="shared" si="47"/>
        <v>1.01</v>
      </c>
      <c r="H411" s="6" t="str">
        <f t="shared" si="42"/>
        <v>INSERT INTO public.coupon (plancode, age, "year", couponrate, benefittype, benefitrate, premiumrate) VALUES('EN60', 16, 55, 8, 'A',800, 1.01);</v>
      </c>
      <c r="I411" s="6" t="str">
        <f t="shared" si="43"/>
        <v>{"age":"16", "year":"55", "couponrate":"8", "benefittype":"A", "benefitrate":"800", "premiumrate":"1.01"}</v>
      </c>
      <c r="J411" s="6" t="str">
        <f t="shared" si="44"/>
        <v>,</v>
      </c>
    </row>
    <row r="412" spans="1:10">
      <c r="A412" s="4" t="str">
        <f>'EN60'!A$3</f>
        <v>EN60</v>
      </c>
      <c r="B412" s="4">
        <f t="shared" si="45"/>
        <v>16</v>
      </c>
      <c r="C412" s="4">
        <f t="shared" si="46"/>
        <v>56</v>
      </c>
      <c r="D412" s="4">
        <f t="shared" si="40"/>
        <v>8</v>
      </c>
      <c r="E412" s="4" t="s">
        <v>27</v>
      </c>
      <c r="F412" s="4">
        <f t="shared" si="41"/>
        <v>800</v>
      </c>
      <c r="G412" s="5">
        <f t="shared" si="47"/>
        <v>1.01</v>
      </c>
      <c r="H412" s="6" t="str">
        <f t="shared" si="42"/>
        <v>INSERT INTO public.coupon (plancode, age, "year", couponrate, benefittype, benefitrate, premiumrate) VALUES('EN60', 16, 56, 8, 'A',800, 1.01);</v>
      </c>
      <c r="I412" s="6" t="str">
        <f t="shared" si="43"/>
        <v>{"age":"16", "year":"56", "couponrate":"8", "benefittype":"A", "benefitrate":"800", "premiumrate":"1.01"}</v>
      </c>
      <c r="J412" s="6" t="str">
        <f t="shared" si="44"/>
        <v>,</v>
      </c>
    </row>
    <row r="413" spans="1:10">
      <c r="A413" s="4" t="str">
        <f>'EN60'!A$3</f>
        <v>EN60</v>
      </c>
      <c r="B413" s="4">
        <f t="shared" si="45"/>
        <v>16</v>
      </c>
      <c r="C413" s="4">
        <f t="shared" si="46"/>
        <v>57</v>
      </c>
      <c r="D413" s="4">
        <f t="shared" si="40"/>
        <v>8</v>
      </c>
      <c r="E413" s="4" t="s">
        <v>27</v>
      </c>
      <c r="F413" s="4">
        <f t="shared" si="41"/>
        <v>800</v>
      </c>
      <c r="G413" s="5">
        <f t="shared" si="47"/>
        <v>1.01</v>
      </c>
      <c r="H413" s="6" t="str">
        <f t="shared" si="42"/>
        <v>INSERT INTO public.coupon (plancode, age, "year", couponrate, benefittype, benefitrate, premiumrate) VALUES('EN60', 16, 57, 8, 'A',800, 1.01);</v>
      </c>
      <c r="I413" s="6" t="str">
        <f t="shared" si="43"/>
        <v>{"age":"16", "year":"57", "couponrate":"8", "benefittype":"A", "benefitrate":"800", "premiumrate":"1.01"}</v>
      </c>
      <c r="J413" s="6" t="str">
        <f t="shared" si="44"/>
        <v>,</v>
      </c>
    </row>
    <row r="414" spans="1:10">
      <c r="A414" s="4" t="str">
        <f>'EN60'!A$3</f>
        <v>EN60</v>
      </c>
      <c r="B414" s="4">
        <f t="shared" si="45"/>
        <v>16</v>
      </c>
      <c r="C414" s="4">
        <f t="shared" si="46"/>
        <v>58</v>
      </c>
      <c r="D414" s="4">
        <f t="shared" si="40"/>
        <v>8</v>
      </c>
      <c r="E414" s="4" t="s">
        <v>27</v>
      </c>
      <c r="F414" s="4">
        <f t="shared" si="41"/>
        <v>800</v>
      </c>
      <c r="G414" s="5">
        <f t="shared" si="47"/>
        <v>1.01</v>
      </c>
      <c r="H414" s="6" t="str">
        <f t="shared" si="42"/>
        <v>INSERT INTO public.coupon (plancode, age, "year", couponrate, benefittype, benefitrate, premiumrate) VALUES('EN60', 16, 58, 8, 'A',800, 1.01);</v>
      </c>
      <c r="I414" s="6" t="str">
        <f t="shared" si="43"/>
        <v>{"age":"16", "year":"58", "couponrate":"8", "benefittype":"A", "benefitrate":"800", "premiumrate":"1.01"}</v>
      </c>
      <c r="J414" s="6" t="str">
        <f t="shared" si="44"/>
        <v>,</v>
      </c>
    </row>
    <row r="415" spans="1:10">
      <c r="A415" s="4" t="str">
        <f>'EN60'!A$3</f>
        <v>EN60</v>
      </c>
      <c r="B415" s="4">
        <f t="shared" si="45"/>
        <v>16</v>
      </c>
      <c r="C415" s="4">
        <f t="shared" si="46"/>
        <v>59</v>
      </c>
      <c r="D415" s="4">
        <f t="shared" si="40"/>
        <v>8</v>
      </c>
      <c r="E415" s="4" t="s">
        <v>27</v>
      </c>
      <c r="F415" s="4">
        <f t="shared" si="41"/>
        <v>800</v>
      </c>
      <c r="G415" s="5">
        <f t="shared" si="47"/>
        <v>1.01</v>
      </c>
      <c r="H415" s="6" t="str">
        <f t="shared" si="42"/>
        <v>INSERT INTO public.coupon (plancode, age, "year", couponrate, benefittype, benefitrate, premiumrate) VALUES('EN60', 16, 59, 8, 'A',800, 1.01);</v>
      </c>
      <c r="I415" s="6" t="str">
        <f t="shared" si="43"/>
        <v>{"age":"16", "year":"59", "couponrate":"8", "benefittype":"A", "benefitrate":"800", "premiumrate":"1.01"}</v>
      </c>
      <c r="J415" s="6" t="str">
        <f t="shared" si="44"/>
        <v>,</v>
      </c>
    </row>
    <row r="416" spans="1:10">
      <c r="A416" s="4" t="str">
        <f>'EN60'!A$3</f>
        <v>EN60</v>
      </c>
      <c r="B416" s="4">
        <f t="shared" si="45"/>
        <v>16</v>
      </c>
      <c r="C416" s="4">
        <f t="shared" si="46"/>
        <v>60</v>
      </c>
      <c r="D416" s="4">
        <f t="shared" si="40"/>
        <v>8</v>
      </c>
      <c r="E416" s="4" t="s">
        <v>27</v>
      </c>
      <c r="F416" s="4">
        <f t="shared" si="41"/>
        <v>800</v>
      </c>
      <c r="G416" s="5">
        <f t="shared" si="47"/>
        <v>1.01</v>
      </c>
      <c r="H416" s="6" t="str">
        <f t="shared" si="42"/>
        <v>INSERT INTO public.coupon (plancode, age, "year", couponrate, benefittype, benefitrate, premiumrate) VALUES('EN60', 16, 60, 8, 'A',800, 1.01);</v>
      </c>
      <c r="I416" s="6" t="str">
        <f t="shared" si="43"/>
        <v>{"age":"16", "year":"60", "couponrate":"8", "benefittype":"A", "benefitrate":"800", "premiumrate":"1.01"}</v>
      </c>
      <c r="J416" s="6" t="str">
        <f t="shared" si="44"/>
        <v>,</v>
      </c>
    </row>
    <row r="417" spans="1:10">
      <c r="A417" s="4" t="str">
        <f>'EN60'!A$3</f>
        <v>EN60</v>
      </c>
      <c r="B417" s="4">
        <f t="shared" si="45"/>
        <v>16</v>
      </c>
      <c r="C417" s="4">
        <f t="shared" si="46"/>
        <v>61</v>
      </c>
      <c r="D417" s="4">
        <f t="shared" si="40"/>
        <v>8</v>
      </c>
      <c r="E417" s="4" t="s">
        <v>27</v>
      </c>
      <c r="F417" s="4">
        <f t="shared" si="41"/>
        <v>800</v>
      </c>
      <c r="G417" s="5">
        <f t="shared" si="47"/>
        <v>1.01</v>
      </c>
      <c r="H417" s="6" t="str">
        <f t="shared" si="42"/>
        <v>INSERT INTO public.coupon (plancode, age, "year", couponrate, benefittype, benefitrate, premiumrate) VALUES('EN60', 16, 61, 8, 'A',800, 1.01);</v>
      </c>
      <c r="I417" s="6" t="str">
        <f t="shared" si="43"/>
        <v>{"age":"16", "year":"61", "couponrate":"8", "benefittype":"A", "benefitrate":"800", "premiumrate":"1.01"}</v>
      </c>
      <c r="J417" s="6" t="str">
        <f t="shared" si="44"/>
        <v>,</v>
      </c>
    </row>
    <row r="418" spans="1:10">
      <c r="A418" s="4" t="str">
        <f>'EN60'!A$3</f>
        <v>EN60</v>
      </c>
      <c r="B418" s="4">
        <f t="shared" si="45"/>
        <v>16</v>
      </c>
      <c r="C418" s="4">
        <f t="shared" si="46"/>
        <v>62</v>
      </c>
      <c r="D418" s="4">
        <f t="shared" si="40"/>
        <v>8</v>
      </c>
      <c r="E418" s="4" t="s">
        <v>27</v>
      </c>
      <c r="F418" s="4">
        <f t="shared" si="41"/>
        <v>800</v>
      </c>
      <c r="G418" s="5">
        <f t="shared" si="47"/>
        <v>1.01</v>
      </c>
      <c r="H418" s="6" t="str">
        <f t="shared" si="42"/>
        <v>INSERT INTO public.coupon (plancode, age, "year", couponrate, benefittype, benefitrate, premiumrate) VALUES('EN60', 16, 62, 8, 'A',800, 1.01);</v>
      </c>
      <c r="I418" s="6" t="str">
        <f t="shared" si="43"/>
        <v>{"age":"16", "year":"62", "couponrate":"8", "benefittype":"A", "benefitrate":"800", "premiumrate":"1.01"}</v>
      </c>
      <c r="J418" s="6" t="str">
        <f t="shared" si="44"/>
        <v>,</v>
      </c>
    </row>
    <row r="419" spans="1:10">
      <c r="A419" s="4" t="str">
        <f>'EN60'!A$3</f>
        <v>EN60</v>
      </c>
      <c r="B419" s="4">
        <f t="shared" si="45"/>
        <v>16</v>
      </c>
      <c r="C419" s="4">
        <f t="shared" si="46"/>
        <v>63</v>
      </c>
      <c r="D419" s="4">
        <f t="shared" si="40"/>
        <v>8</v>
      </c>
      <c r="E419" s="4" t="s">
        <v>27</v>
      </c>
      <c r="F419" s="4">
        <f t="shared" si="41"/>
        <v>800</v>
      </c>
      <c r="G419" s="5">
        <f t="shared" si="47"/>
        <v>1.01</v>
      </c>
      <c r="H419" s="6" t="str">
        <f t="shared" si="42"/>
        <v>INSERT INTO public.coupon (plancode, age, "year", couponrate, benefittype, benefitrate, premiumrate) VALUES('EN60', 16, 63, 8, 'A',800, 1.01);</v>
      </c>
      <c r="I419" s="6" t="str">
        <f t="shared" si="43"/>
        <v>{"age":"16", "year":"63", "couponrate":"8", "benefittype":"A", "benefitrate":"800", "premiumrate":"1.01"}</v>
      </c>
      <c r="J419" s="6" t="str">
        <f t="shared" si="44"/>
        <v>,</v>
      </c>
    </row>
    <row r="420" spans="1:10">
      <c r="A420" s="4" t="str">
        <f>'EN60'!A$3</f>
        <v>EN60</v>
      </c>
      <c r="B420" s="4">
        <f t="shared" si="45"/>
        <v>16</v>
      </c>
      <c r="C420" s="4">
        <f t="shared" si="46"/>
        <v>64</v>
      </c>
      <c r="D420" s="4">
        <f t="shared" si="40"/>
        <v>0</v>
      </c>
      <c r="E420" s="4" t="s">
        <v>27</v>
      </c>
      <c r="F420" s="4">
        <f t="shared" si="41"/>
        <v>800</v>
      </c>
      <c r="G420" s="5">
        <f t="shared" si="47"/>
        <v>1.01</v>
      </c>
      <c r="H420" s="6" t="str">
        <f t="shared" si="42"/>
        <v>INSERT INTO public.coupon (plancode, age, "year", couponrate, benefittype, benefitrate, premiumrate) VALUES('EN60', 16, 64, 0, 'A',800, 1.01);</v>
      </c>
      <c r="I420" s="6" t="str">
        <f t="shared" si="43"/>
        <v>{"age":"16", "year":"64", "couponrate":"0", "benefittype":"A", "benefitrate":"800", "premiumrate":"1.01"}</v>
      </c>
    </row>
    <row r="421" spans="1:10">
      <c r="C421" s="6"/>
      <c r="I421" s="6" t="s">
        <v>28</v>
      </c>
    </row>
    <row r="422" spans="1:10">
      <c r="A422" s="3" t="s">
        <v>2</v>
      </c>
      <c r="B422" s="3" t="s">
        <v>23</v>
      </c>
      <c r="C422" s="3" t="s">
        <v>24</v>
      </c>
      <c r="D422" s="3" t="s">
        <v>25</v>
      </c>
      <c r="E422" s="3" t="s">
        <v>8</v>
      </c>
      <c r="F422" s="3" t="s">
        <v>26</v>
      </c>
      <c r="G422" s="3" t="s">
        <v>4</v>
      </c>
      <c r="I422" s="6" t="str">
        <f>"[{""plancode"":"""&amp;A423&amp;""",""returncash"":"""&amp;B$7&amp;""",""ytable"":"""&amp;C$7&amp;""",""maturerate"":"""&amp;B$3&amp;""",""maturepmrate"":"""&amp;C$3&amp;""",""coupon"":["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423" spans="1:10">
      <c r="A423" s="4" t="str">
        <f>'EN60'!A$3</f>
        <v>EN60</v>
      </c>
      <c r="B423" s="8">
        <v>17</v>
      </c>
      <c r="C423" s="4">
        <v>1</v>
      </c>
      <c r="D423" s="4">
        <f t="shared" ref="D423:D485" si="48">IF(C423+B423=80,0,8)</f>
        <v>8</v>
      </c>
      <c r="E423" s="4" t="s">
        <v>27</v>
      </c>
      <c r="F423" s="4">
        <f t="shared" ref="F423:F485" si="49">IF(C423&gt;7, 800, C423*100)</f>
        <v>100</v>
      </c>
      <c r="G423" s="5">
        <f>'EN60'!C$3</f>
        <v>1.01</v>
      </c>
      <c r="H423" s="6" t="str">
        <f t="shared" ref="H423:H485" si="50">"INSERT INTO public.coupon ("&amp;A$11&amp;", "&amp;B$11&amp;", """&amp;C$11&amp;""", "&amp;D$11&amp;", "&amp;E$11&amp;", "&amp;F$11&amp;", "&amp;G$11&amp;") VALUES('"&amp;A423&amp;"', "&amp;B423&amp;", "&amp;C423&amp;", "&amp;D423&amp;", '"&amp;E423&amp;"',"&amp;F423&amp;", "&amp;G423&amp;");"</f>
        <v>INSERT INTO public.coupon (plancode, age, "year", couponrate, benefittype, benefitrate, premiumrate) VALUES('EN60', 17, 1, 8, 'A',100, 1.01);</v>
      </c>
      <c r="I423" s="6" t="str">
        <f t="shared" ref="I423:I485" si="51">"{""age"":"""&amp;B423&amp;""", ""year"":"""&amp;C423&amp;""", ""couponrate"":"""&amp;D423&amp;""", ""benefittype"":"""&amp;E423&amp;""", ""benefitrate"":"""&amp;F423&amp;""", """&amp;G$11&amp;""":"""&amp;G423&amp;"""}"</f>
        <v>{"age":"17", "year":"1", "couponrate":"8", "benefittype":"A", "benefitrate":"100", "premiumrate":"1.01"}</v>
      </c>
      <c r="J423" s="6" t="str">
        <f t="shared" ref="J423:J484" si="52">IF(OR(I424="]", I423="[", I423="]"), "", ",")</f>
        <v>,</v>
      </c>
    </row>
    <row r="424" spans="1:10">
      <c r="A424" s="4" t="str">
        <f>'EN60'!A$3</f>
        <v>EN60</v>
      </c>
      <c r="B424" s="4">
        <f t="shared" ref="B424:B485" si="53">B423</f>
        <v>17</v>
      </c>
      <c r="C424" s="4">
        <f t="shared" ref="C424:C485" si="54">C423+1</f>
        <v>2</v>
      </c>
      <c r="D424" s="4">
        <f t="shared" si="48"/>
        <v>8</v>
      </c>
      <c r="E424" s="4" t="s">
        <v>27</v>
      </c>
      <c r="F424" s="4">
        <f t="shared" si="49"/>
        <v>200</v>
      </c>
      <c r="G424" s="5">
        <f t="shared" ref="G424:G485" si="55">G423</f>
        <v>1.01</v>
      </c>
      <c r="H424" s="6" t="str">
        <f t="shared" si="50"/>
        <v>INSERT INTO public.coupon (plancode, age, "year", couponrate, benefittype, benefitrate, premiumrate) VALUES('EN60', 17, 2, 8, 'A',200, 1.01);</v>
      </c>
      <c r="I424" s="6" t="str">
        <f t="shared" si="51"/>
        <v>{"age":"17", "year":"2", "couponrate":"8", "benefittype":"A", "benefitrate":"200", "premiumrate":"1.01"}</v>
      </c>
      <c r="J424" s="6" t="str">
        <f t="shared" si="52"/>
        <v>,</v>
      </c>
    </row>
    <row r="425" spans="1:10">
      <c r="A425" s="4" t="str">
        <f>'EN60'!A$3</f>
        <v>EN60</v>
      </c>
      <c r="B425" s="4">
        <f t="shared" si="53"/>
        <v>17</v>
      </c>
      <c r="C425" s="4">
        <f t="shared" si="54"/>
        <v>3</v>
      </c>
      <c r="D425" s="4">
        <f t="shared" si="48"/>
        <v>8</v>
      </c>
      <c r="E425" s="4" t="s">
        <v>27</v>
      </c>
      <c r="F425" s="4">
        <f t="shared" si="49"/>
        <v>300</v>
      </c>
      <c r="G425" s="5">
        <f t="shared" si="55"/>
        <v>1.01</v>
      </c>
      <c r="H425" s="6" t="str">
        <f t="shared" si="50"/>
        <v>INSERT INTO public.coupon (plancode, age, "year", couponrate, benefittype, benefitrate, premiumrate) VALUES('EN60', 17, 3, 8, 'A',300, 1.01);</v>
      </c>
      <c r="I425" s="6" t="str">
        <f t="shared" si="51"/>
        <v>{"age":"17", "year":"3", "couponrate":"8", "benefittype":"A", "benefitrate":"300", "premiumrate":"1.01"}</v>
      </c>
      <c r="J425" s="6" t="str">
        <f t="shared" si="52"/>
        <v>,</v>
      </c>
    </row>
    <row r="426" spans="1:10">
      <c r="A426" s="4" t="str">
        <f>'EN60'!A$3</f>
        <v>EN60</v>
      </c>
      <c r="B426" s="4">
        <f t="shared" si="53"/>
        <v>17</v>
      </c>
      <c r="C426" s="4">
        <f t="shared" si="54"/>
        <v>4</v>
      </c>
      <c r="D426" s="4">
        <f t="shared" si="48"/>
        <v>8</v>
      </c>
      <c r="E426" s="4" t="s">
        <v>27</v>
      </c>
      <c r="F426" s="4">
        <f t="shared" si="49"/>
        <v>400</v>
      </c>
      <c r="G426" s="5">
        <f t="shared" si="55"/>
        <v>1.01</v>
      </c>
      <c r="H426" s="6" t="str">
        <f t="shared" si="50"/>
        <v>INSERT INTO public.coupon (plancode, age, "year", couponrate, benefittype, benefitrate, premiumrate) VALUES('EN60', 17, 4, 8, 'A',400, 1.01);</v>
      </c>
      <c r="I426" s="6" t="str">
        <f t="shared" si="51"/>
        <v>{"age":"17", "year":"4", "couponrate":"8", "benefittype":"A", "benefitrate":"400", "premiumrate":"1.01"}</v>
      </c>
      <c r="J426" s="6" t="str">
        <f t="shared" si="52"/>
        <v>,</v>
      </c>
    </row>
    <row r="427" spans="1:10">
      <c r="A427" s="4" t="str">
        <f>'EN60'!A$3</f>
        <v>EN60</v>
      </c>
      <c r="B427" s="4">
        <f t="shared" si="53"/>
        <v>17</v>
      </c>
      <c r="C427" s="4">
        <f t="shared" si="54"/>
        <v>5</v>
      </c>
      <c r="D427" s="4">
        <f t="shared" si="48"/>
        <v>8</v>
      </c>
      <c r="E427" s="4" t="s">
        <v>27</v>
      </c>
      <c r="F427" s="4">
        <f t="shared" si="49"/>
        <v>500</v>
      </c>
      <c r="G427" s="5">
        <f t="shared" si="55"/>
        <v>1.01</v>
      </c>
      <c r="H427" s="6" t="str">
        <f t="shared" si="50"/>
        <v>INSERT INTO public.coupon (plancode, age, "year", couponrate, benefittype, benefitrate, premiumrate) VALUES('EN60', 17, 5, 8, 'A',500, 1.01);</v>
      </c>
      <c r="I427" s="6" t="str">
        <f t="shared" si="51"/>
        <v>{"age":"17", "year":"5", "couponrate":"8", "benefittype":"A", "benefitrate":"500", "premiumrate":"1.01"}</v>
      </c>
      <c r="J427" s="6" t="str">
        <f t="shared" si="52"/>
        <v>,</v>
      </c>
    </row>
    <row r="428" spans="1:10">
      <c r="A428" s="4" t="str">
        <f>'EN60'!A$3</f>
        <v>EN60</v>
      </c>
      <c r="B428" s="4">
        <f t="shared" si="53"/>
        <v>17</v>
      </c>
      <c r="C428" s="4">
        <f t="shared" si="54"/>
        <v>6</v>
      </c>
      <c r="D428" s="4">
        <f t="shared" si="48"/>
        <v>8</v>
      </c>
      <c r="E428" s="4" t="s">
        <v>27</v>
      </c>
      <c r="F428" s="4">
        <f t="shared" si="49"/>
        <v>600</v>
      </c>
      <c r="G428" s="5">
        <f t="shared" si="55"/>
        <v>1.01</v>
      </c>
      <c r="H428" s="6" t="str">
        <f t="shared" si="50"/>
        <v>INSERT INTO public.coupon (plancode, age, "year", couponrate, benefittype, benefitrate, premiumrate) VALUES('EN60', 17, 6, 8, 'A',600, 1.01);</v>
      </c>
      <c r="I428" s="6" t="str">
        <f t="shared" si="51"/>
        <v>{"age":"17", "year":"6", "couponrate":"8", "benefittype":"A", "benefitrate":"600", "premiumrate":"1.01"}</v>
      </c>
      <c r="J428" s="6" t="str">
        <f t="shared" si="52"/>
        <v>,</v>
      </c>
    </row>
    <row r="429" spans="1:10">
      <c r="A429" s="4" t="str">
        <f>'EN60'!A$3</f>
        <v>EN60</v>
      </c>
      <c r="B429" s="4">
        <f t="shared" si="53"/>
        <v>17</v>
      </c>
      <c r="C429" s="4">
        <f t="shared" si="54"/>
        <v>7</v>
      </c>
      <c r="D429" s="4">
        <f t="shared" si="48"/>
        <v>8</v>
      </c>
      <c r="E429" s="4" t="s">
        <v>27</v>
      </c>
      <c r="F429" s="4">
        <f t="shared" si="49"/>
        <v>700</v>
      </c>
      <c r="G429" s="5">
        <f t="shared" si="55"/>
        <v>1.01</v>
      </c>
      <c r="H429" s="6" t="str">
        <f t="shared" si="50"/>
        <v>INSERT INTO public.coupon (plancode, age, "year", couponrate, benefittype, benefitrate, premiumrate) VALUES('EN60', 17, 7, 8, 'A',700, 1.01);</v>
      </c>
      <c r="I429" s="6" t="str">
        <f t="shared" si="51"/>
        <v>{"age":"17", "year":"7", "couponrate":"8", "benefittype":"A", "benefitrate":"700", "premiumrate":"1.01"}</v>
      </c>
      <c r="J429" s="6" t="str">
        <f t="shared" si="52"/>
        <v>,</v>
      </c>
    </row>
    <row r="430" spans="1:10">
      <c r="A430" s="4" t="str">
        <f>'EN60'!A$3</f>
        <v>EN60</v>
      </c>
      <c r="B430" s="4">
        <f t="shared" si="53"/>
        <v>17</v>
      </c>
      <c r="C430" s="4">
        <f t="shared" si="54"/>
        <v>8</v>
      </c>
      <c r="D430" s="4">
        <f t="shared" si="48"/>
        <v>8</v>
      </c>
      <c r="E430" s="4" t="s">
        <v>27</v>
      </c>
      <c r="F430" s="4">
        <f t="shared" si="49"/>
        <v>800</v>
      </c>
      <c r="G430" s="5">
        <f t="shared" si="55"/>
        <v>1.01</v>
      </c>
      <c r="H430" s="6" t="str">
        <f t="shared" si="50"/>
        <v>INSERT INTO public.coupon (plancode, age, "year", couponrate, benefittype, benefitrate, premiumrate) VALUES('EN60', 17, 8, 8, 'A',800, 1.01);</v>
      </c>
      <c r="I430" s="6" t="str">
        <f t="shared" si="51"/>
        <v>{"age":"17", "year":"8", "couponrate":"8", "benefittype":"A", "benefitrate":"800", "premiumrate":"1.01"}</v>
      </c>
      <c r="J430" s="6" t="str">
        <f t="shared" si="52"/>
        <v>,</v>
      </c>
    </row>
    <row r="431" spans="1:10">
      <c r="A431" s="4" t="str">
        <f>'EN60'!A$3</f>
        <v>EN60</v>
      </c>
      <c r="B431" s="4">
        <f t="shared" si="53"/>
        <v>17</v>
      </c>
      <c r="C431" s="4">
        <f t="shared" si="54"/>
        <v>9</v>
      </c>
      <c r="D431" s="4">
        <f t="shared" si="48"/>
        <v>8</v>
      </c>
      <c r="E431" s="4" t="s">
        <v>27</v>
      </c>
      <c r="F431" s="4">
        <f t="shared" si="49"/>
        <v>800</v>
      </c>
      <c r="G431" s="5">
        <f t="shared" si="55"/>
        <v>1.01</v>
      </c>
      <c r="H431" s="6" t="str">
        <f t="shared" si="50"/>
        <v>INSERT INTO public.coupon (plancode, age, "year", couponrate, benefittype, benefitrate, premiumrate) VALUES('EN60', 17, 9, 8, 'A',800, 1.01);</v>
      </c>
      <c r="I431" s="6" t="str">
        <f t="shared" si="51"/>
        <v>{"age":"17", "year":"9", "couponrate":"8", "benefittype":"A", "benefitrate":"800", "premiumrate":"1.01"}</v>
      </c>
      <c r="J431" s="6" t="str">
        <f t="shared" si="52"/>
        <v>,</v>
      </c>
    </row>
    <row r="432" spans="1:10">
      <c r="A432" s="4" t="str">
        <f>'EN60'!A$3</f>
        <v>EN60</v>
      </c>
      <c r="B432" s="4">
        <f t="shared" si="53"/>
        <v>17</v>
      </c>
      <c r="C432" s="4">
        <f t="shared" si="54"/>
        <v>10</v>
      </c>
      <c r="D432" s="4">
        <f t="shared" si="48"/>
        <v>8</v>
      </c>
      <c r="E432" s="4" t="s">
        <v>27</v>
      </c>
      <c r="F432" s="4">
        <f t="shared" si="49"/>
        <v>800</v>
      </c>
      <c r="G432" s="5">
        <f t="shared" si="55"/>
        <v>1.01</v>
      </c>
      <c r="H432" s="6" t="str">
        <f t="shared" si="50"/>
        <v>INSERT INTO public.coupon (plancode, age, "year", couponrate, benefittype, benefitrate, premiumrate) VALUES('EN60', 17, 10, 8, 'A',800, 1.01);</v>
      </c>
      <c r="I432" s="6" t="str">
        <f t="shared" si="51"/>
        <v>{"age":"17", "year":"10", "couponrate":"8", "benefittype":"A", "benefitrate":"800", "premiumrate":"1.01"}</v>
      </c>
      <c r="J432" s="6" t="str">
        <f t="shared" si="52"/>
        <v>,</v>
      </c>
    </row>
    <row r="433" spans="1:10">
      <c r="A433" s="4" t="str">
        <f>'EN60'!A$3</f>
        <v>EN60</v>
      </c>
      <c r="B433" s="4">
        <f t="shared" si="53"/>
        <v>17</v>
      </c>
      <c r="C433" s="4">
        <f t="shared" si="54"/>
        <v>11</v>
      </c>
      <c r="D433" s="4">
        <f t="shared" si="48"/>
        <v>8</v>
      </c>
      <c r="E433" s="4" t="s">
        <v>27</v>
      </c>
      <c r="F433" s="4">
        <f t="shared" si="49"/>
        <v>800</v>
      </c>
      <c r="G433" s="5">
        <f t="shared" si="55"/>
        <v>1.01</v>
      </c>
      <c r="H433" s="6" t="str">
        <f t="shared" si="50"/>
        <v>INSERT INTO public.coupon (plancode, age, "year", couponrate, benefittype, benefitrate, premiumrate) VALUES('EN60', 17, 11, 8, 'A',800, 1.01);</v>
      </c>
      <c r="I433" s="6" t="str">
        <f t="shared" si="51"/>
        <v>{"age":"17", "year":"11", "couponrate":"8", "benefittype":"A", "benefitrate":"800", "premiumrate":"1.01"}</v>
      </c>
      <c r="J433" s="6" t="str">
        <f t="shared" si="52"/>
        <v>,</v>
      </c>
    </row>
    <row r="434" spans="1:10">
      <c r="A434" s="4" t="str">
        <f>'EN60'!A$3</f>
        <v>EN60</v>
      </c>
      <c r="B434" s="4">
        <f t="shared" si="53"/>
        <v>17</v>
      </c>
      <c r="C434" s="4">
        <f t="shared" si="54"/>
        <v>12</v>
      </c>
      <c r="D434" s="4">
        <f t="shared" si="48"/>
        <v>8</v>
      </c>
      <c r="E434" s="4" t="s">
        <v>27</v>
      </c>
      <c r="F434" s="4">
        <f t="shared" si="49"/>
        <v>800</v>
      </c>
      <c r="G434" s="5">
        <f t="shared" si="55"/>
        <v>1.01</v>
      </c>
      <c r="H434" s="6" t="str">
        <f t="shared" si="50"/>
        <v>INSERT INTO public.coupon (plancode, age, "year", couponrate, benefittype, benefitrate, premiumrate) VALUES('EN60', 17, 12, 8, 'A',800, 1.01);</v>
      </c>
      <c r="I434" s="6" t="str">
        <f t="shared" si="51"/>
        <v>{"age":"17", "year":"12", "couponrate":"8", "benefittype":"A", "benefitrate":"800", "premiumrate":"1.01"}</v>
      </c>
      <c r="J434" s="6" t="str">
        <f t="shared" si="52"/>
        <v>,</v>
      </c>
    </row>
    <row r="435" spans="1:10">
      <c r="A435" s="4" t="str">
        <f>'EN60'!A$3</f>
        <v>EN60</v>
      </c>
      <c r="B435" s="4">
        <f t="shared" si="53"/>
        <v>17</v>
      </c>
      <c r="C435" s="4">
        <f t="shared" si="54"/>
        <v>13</v>
      </c>
      <c r="D435" s="4">
        <f t="shared" si="48"/>
        <v>8</v>
      </c>
      <c r="E435" s="4" t="s">
        <v>27</v>
      </c>
      <c r="F435" s="4">
        <f t="shared" si="49"/>
        <v>800</v>
      </c>
      <c r="G435" s="5">
        <f t="shared" si="55"/>
        <v>1.01</v>
      </c>
      <c r="H435" s="6" t="str">
        <f t="shared" si="50"/>
        <v>INSERT INTO public.coupon (plancode, age, "year", couponrate, benefittype, benefitrate, premiumrate) VALUES('EN60', 17, 13, 8, 'A',800, 1.01);</v>
      </c>
      <c r="I435" s="6" t="str">
        <f t="shared" si="51"/>
        <v>{"age":"17", "year":"13", "couponrate":"8", "benefittype":"A", "benefitrate":"800", "premiumrate":"1.01"}</v>
      </c>
      <c r="J435" s="6" t="str">
        <f t="shared" si="52"/>
        <v>,</v>
      </c>
    </row>
    <row r="436" spans="1:10">
      <c r="A436" s="4" t="str">
        <f>'EN60'!A$3</f>
        <v>EN60</v>
      </c>
      <c r="B436" s="4">
        <f t="shared" si="53"/>
        <v>17</v>
      </c>
      <c r="C436" s="4">
        <f t="shared" si="54"/>
        <v>14</v>
      </c>
      <c r="D436" s="4">
        <f t="shared" si="48"/>
        <v>8</v>
      </c>
      <c r="E436" s="4" t="s">
        <v>27</v>
      </c>
      <c r="F436" s="4">
        <f t="shared" si="49"/>
        <v>800</v>
      </c>
      <c r="G436" s="5">
        <f t="shared" si="55"/>
        <v>1.01</v>
      </c>
      <c r="H436" s="6" t="str">
        <f t="shared" si="50"/>
        <v>INSERT INTO public.coupon (plancode, age, "year", couponrate, benefittype, benefitrate, premiumrate) VALUES('EN60', 17, 14, 8, 'A',800, 1.01);</v>
      </c>
      <c r="I436" s="6" t="str">
        <f t="shared" si="51"/>
        <v>{"age":"17", "year":"14", "couponrate":"8", "benefittype":"A", "benefitrate":"800", "premiumrate":"1.01"}</v>
      </c>
      <c r="J436" s="6" t="str">
        <f t="shared" si="52"/>
        <v>,</v>
      </c>
    </row>
    <row r="437" spans="1:10">
      <c r="A437" s="4" t="str">
        <f>'EN60'!A$3</f>
        <v>EN60</v>
      </c>
      <c r="B437" s="4">
        <f t="shared" si="53"/>
        <v>17</v>
      </c>
      <c r="C437" s="4">
        <f t="shared" si="54"/>
        <v>15</v>
      </c>
      <c r="D437" s="4">
        <f t="shared" si="48"/>
        <v>8</v>
      </c>
      <c r="E437" s="4" t="s">
        <v>27</v>
      </c>
      <c r="F437" s="4">
        <f t="shared" si="49"/>
        <v>800</v>
      </c>
      <c r="G437" s="5">
        <f t="shared" si="55"/>
        <v>1.01</v>
      </c>
      <c r="H437" s="6" t="str">
        <f t="shared" si="50"/>
        <v>INSERT INTO public.coupon (plancode, age, "year", couponrate, benefittype, benefitrate, premiumrate) VALUES('EN60', 17, 15, 8, 'A',800, 1.01);</v>
      </c>
      <c r="I437" s="6" t="str">
        <f t="shared" si="51"/>
        <v>{"age":"17", "year":"15", "couponrate":"8", "benefittype":"A", "benefitrate":"800", "premiumrate":"1.01"}</v>
      </c>
      <c r="J437" s="6" t="str">
        <f t="shared" si="52"/>
        <v>,</v>
      </c>
    </row>
    <row r="438" spans="1:10">
      <c r="A438" s="4" t="str">
        <f>'EN60'!A$3</f>
        <v>EN60</v>
      </c>
      <c r="B438" s="4">
        <f t="shared" si="53"/>
        <v>17</v>
      </c>
      <c r="C438" s="4">
        <f t="shared" si="54"/>
        <v>16</v>
      </c>
      <c r="D438" s="4">
        <f t="shared" si="48"/>
        <v>8</v>
      </c>
      <c r="E438" s="4" t="s">
        <v>27</v>
      </c>
      <c r="F438" s="4">
        <f t="shared" si="49"/>
        <v>800</v>
      </c>
      <c r="G438" s="5">
        <f t="shared" si="55"/>
        <v>1.01</v>
      </c>
      <c r="H438" s="6" t="str">
        <f t="shared" si="50"/>
        <v>INSERT INTO public.coupon (plancode, age, "year", couponrate, benefittype, benefitrate, premiumrate) VALUES('EN60', 17, 16, 8, 'A',800, 1.01);</v>
      </c>
      <c r="I438" s="6" t="str">
        <f t="shared" si="51"/>
        <v>{"age":"17", "year":"16", "couponrate":"8", "benefittype":"A", "benefitrate":"800", "premiumrate":"1.01"}</v>
      </c>
      <c r="J438" s="6" t="str">
        <f t="shared" si="52"/>
        <v>,</v>
      </c>
    </row>
    <row r="439" spans="1:10">
      <c r="A439" s="4" t="str">
        <f>'EN60'!A$3</f>
        <v>EN60</v>
      </c>
      <c r="B439" s="4">
        <f t="shared" si="53"/>
        <v>17</v>
      </c>
      <c r="C439" s="4">
        <f t="shared" si="54"/>
        <v>17</v>
      </c>
      <c r="D439" s="4">
        <f t="shared" si="48"/>
        <v>8</v>
      </c>
      <c r="E439" s="4" t="s">
        <v>27</v>
      </c>
      <c r="F439" s="4">
        <f t="shared" si="49"/>
        <v>800</v>
      </c>
      <c r="G439" s="5">
        <f t="shared" si="55"/>
        <v>1.01</v>
      </c>
      <c r="H439" s="6" t="str">
        <f t="shared" si="50"/>
        <v>INSERT INTO public.coupon (plancode, age, "year", couponrate, benefittype, benefitrate, premiumrate) VALUES('EN60', 17, 17, 8, 'A',800, 1.01);</v>
      </c>
      <c r="I439" s="6" t="str">
        <f t="shared" si="51"/>
        <v>{"age":"17", "year":"17", "couponrate":"8", "benefittype":"A", "benefitrate":"800", "premiumrate":"1.01"}</v>
      </c>
      <c r="J439" s="6" t="str">
        <f t="shared" si="52"/>
        <v>,</v>
      </c>
    </row>
    <row r="440" spans="1:10">
      <c r="A440" s="4" t="str">
        <f>'EN60'!A$3</f>
        <v>EN60</v>
      </c>
      <c r="B440" s="4">
        <f t="shared" si="53"/>
        <v>17</v>
      </c>
      <c r="C440" s="4">
        <f t="shared" si="54"/>
        <v>18</v>
      </c>
      <c r="D440" s="4">
        <f t="shared" si="48"/>
        <v>8</v>
      </c>
      <c r="E440" s="4" t="s">
        <v>27</v>
      </c>
      <c r="F440" s="4">
        <f t="shared" si="49"/>
        <v>800</v>
      </c>
      <c r="G440" s="5">
        <f t="shared" si="55"/>
        <v>1.01</v>
      </c>
      <c r="H440" s="6" t="str">
        <f t="shared" si="50"/>
        <v>INSERT INTO public.coupon (plancode, age, "year", couponrate, benefittype, benefitrate, premiumrate) VALUES('EN60', 17, 18, 8, 'A',800, 1.01);</v>
      </c>
      <c r="I440" s="6" t="str">
        <f t="shared" si="51"/>
        <v>{"age":"17", "year":"18", "couponrate":"8", "benefittype":"A", "benefitrate":"800", "premiumrate":"1.01"}</v>
      </c>
      <c r="J440" s="6" t="str">
        <f t="shared" si="52"/>
        <v>,</v>
      </c>
    </row>
    <row r="441" spans="1:10">
      <c r="A441" s="4" t="str">
        <f>'EN60'!A$3</f>
        <v>EN60</v>
      </c>
      <c r="B441" s="4">
        <f t="shared" si="53"/>
        <v>17</v>
      </c>
      <c r="C441" s="4">
        <f t="shared" si="54"/>
        <v>19</v>
      </c>
      <c r="D441" s="4">
        <f t="shared" si="48"/>
        <v>8</v>
      </c>
      <c r="E441" s="4" t="s">
        <v>27</v>
      </c>
      <c r="F441" s="4">
        <f t="shared" si="49"/>
        <v>800</v>
      </c>
      <c r="G441" s="5">
        <f t="shared" si="55"/>
        <v>1.01</v>
      </c>
      <c r="H441" s="6" t="str">
        <f t="shared" si="50"/>
        <v>INSERT INTO public.coupon (plancode, age, "year", couponrate, benefittype, benefitrate, premiumrate) VALUES('EN60', 17, 19, 8, 'A',800, 1.01);</v>
      </c>
      <c r="I441" s="6" t="str">
        <f t="shared" si="51"/>
        <v>{"age":"17", "year":"19", "couponrate":"8", "benefittype":"A", "benefitrate":"800", "premiumrate":"1.01"}</v>
      </c>
      <c r="J441" s="6" t="str">
        <f t="shared" si="52"/>
        <v>,</v>
      </c>
    </row>
    <row r="442" spans="1:10">
      <c r="A442" s="4" t="str">
        <f>'EN60'!A$3</f>
        <v>EN60</v>
      </c>
      <c r="B442" s="4">
        <f t="shared" si="53"/>
        <v>17</v>
      </c>
      <c r="C442" s="4">
        <f t="shared" si="54"/>
        <v>20</v>
      </c>
      <c r="D442" s="4">
        <f t="shared" si="48"/>
        <v>8</v>
      </c>
      <c r="E442" s="4" t="s">
        <v>27</v>
      </c>
      <c r="F442" s="4">
        <f t="shared" si="49"/>
        <v>800</v>
      </c>
      <c r="G442" s="5">
        <f t="shared" si="55"/>
        <v>1.01</v>
      </c>
      <c r="H442" s="6" t="str">
        <f t="shared" si="50"/>
        <v>INSERT INTO public.coupon (plancode, age, "year", couponrate, benefittype, benefitrate, premiumrate) VALUES('EN60', 17, 20, 8, 'A',800, 1.01);</v>
      </c>
      <c r="I442" s="6" t="str">
        <f t="shared" si="51"/>
        <v>{"age":"17", "year":"20", "couponrate":"8", "benefittype":"A", "benefitrate":"800", "premiumrate":"1.01"}</v>
      </c>
      <c r="J442" s="6" t="str">
        <f t="shared" si="52"/>
        <v>,</v>
      </c>
    </row>
    <row r="443" spans="1:10">
      <c r="A443" s="4" t="str">
        <f>'EN60'!A$3</f>
        <v>EN60</v>
      </c>
      <c r="B443" s="4">
        <f t="shared" si="53"/>
        <v>17</v>
      </c>
      <c r="C443" s="4">
        <f t="shared" si="54"/>
        <v>21</v>
      </c>
      <c r="D443" s="4">
        <f t="shared" si="48"/>
        <v>8</v>
      </c>
      <c r="E443" s="4" t="s">
        <v>27</v>
      </c>
      <c r="F443" s="4">
        <f t="shared" si="49"/>
        <v>800</v>
      </c>
      <c r="G443" s="5">
        <f t="shared" si="55"/>
        <v>1.01</v>
      </c>
      <c r="H443" s="6" t="str">
        <f t="shared" si="50"/>
        <v>INSERT INTO public.coupon (plancode, age, "year", couponrate, benefittype, benefitrate, premiumrate) VALUES('EN60', 17, 21, 8, 'A',800, 1.01);</v>
      </c>
      <c r="I443" s="6" t="str">
        <f t="shared" si="51"/>
        <v>{"age":"17", "year":"21", "couponrate":"8", "benefittype":"A", "benefitrate":"800", "premiumrate":"1.01"}</v>
      </c>
      <c r="J443" s="6" t="str">
        <f t="shared" si="52"/>
        <v>,</v>
      </c>
    </row>
    <row r="444" spans="1:10">
      <c r="A444" s="4" t="str">
        <f>'EN60'!A$3</f>
        <v>EN60</v>
      </c>
      <c r="B444" s="4">
        <f t="shared" si="53"/>
        <v>17</v>
      </c>
      <c r="C444" s="4">
        <f t="shared" si="54"/>
        <v>22</v>
      </c>
      <c r="D444" s="4">
        <f t="shared" si="48"/>
        <v>8</v>
      </c>
      <c r="E444" s="4" t="s">
        <v>27</v>
      </c>
      <c r="F444" s="4">
        <f t="shared" si="49"/>
        <v>800</v>
      </c>
      <c r="G444" s="5">
        <f t="shared" si="55"/>
        <v>1.01</v>
      </c>
      <c r="H444" s="6" t="str">
        <f t="shared" si="50"/>
        <v>INSERT INTO public.coupon (plancode, age, "year", couponrate, benefittype, benefitrate, premiumrate) VALUES('EN60', 17, 22, 8, 'A',800, 1.01);</v>
      </c>
      <c r="I444" s="6" t="str">
        <f t="shared" si="51"/>
        <v>{"age":"17", "year":"22", "couponrate":"8", "benefittype":"A", "benefitrate":"800", "premiumrate":"1.01"}</v>
      </c>
      <c r="J444" s="6" t="str">
        <f t="shared" si="52"/>
        <v>,</v>
      </c>
    </row>
    <row r="445" spans="1:10">
      <c r="A445" s="4" t="str">
        <f>'EN60'!A$3</f>
        <v>EN60</v>
      </c>
      <c r="B445" s="4">
        <f t="shared" si="53"/>
        <v>17</v>
      </c>
      <c r="C445" s="4">
        <f t="shared" si="54"/>
        <v>23</v>
      </c>
      <c r="D445" s="4">
        <f t="shared" si="48"/>
        <v>8</v>
      </c>
      <c r="E445" s="4" t="s">
        <v>27</v>
      </c>
      <c r="F445" s="4">
        <f t="shared" si="49"/>
        <v>800</v>
      </c>
      <c r="G445" s="5">
        <f t="shared" si="55"/>
        <v>1.01</v>
      </c>
      <c r="H445" s="6" t="str">
        <f t="shared" si="50"/>
        <v>INSERT INTO public.coupon (plancode, age, "year", couponrate, benefittype, benefitrate, premiumrate) VALUES('EN60', 17, 23, 8, 'A',800, 1.01);</v>
      </c>
      <c r="I445" s="6" t="str">
        <f t="shared" si="51"/>
        <v>{"age":"17", "year":"23", "couponrate":"8", "benefittype":"A", "benefitrate":"800", "premiumrate":"1.01"}</v>
      </c>
      <c r="J445" s="6" t="str">
        <f t="shared" si="52"/>
        <v>,</v>
      </c>
    </row>
    <row r="446" spans="1:10">
      <c r="A446" s="4" t="str">
        <f>'EN60'!A$3</f>
        <v>EN60</v>
      </c>
      <c r="B446" s="4">
        <f t="shared" si="53"/>
        <v>17</v>
      </c>
      <c r="C446" s="4">
        <f t="shared" si="54"/>
        <v>24</v>
      </c>
      <c r="D446" s="4">
        <f t="shared" si="48"/>
        <v>8</v>
      </c>
      <c r="E446" s="4" t="s">
        <v>27</v>
      </c>
      <c r="F446" s="4">
        <f t="shared" si="49"/>
        <v>800</v>
      </c>
      <c r="G446" s="5">
        <f t="shared" si="55"/>
        <v>1.01</v>
      </c>
      <c r="H446" s="6" t="str">
        <f t="shared" si="50"/>
        <v>INSERT INTO public.coupon (plancode, age, "year", couponrate, benefittype, benefitrate, premiumrate) VALUES('EN60', 17, 24, 8, 'A',800, 1.01);</v>
      </c>
      <c r="I446" s="6" t="str">
        <f t="shared" si="51"/>
        <v>{"age":"17", "year":"24", "couponrate":"8", "benefittype":"A", "benefitrate":"800", "premiumrate":"1.01"}</v>
      </c>
      <c r="J446" s="6" t="str">
        <f t="shared" si="52"/>
        <v>,</v>
      </c>
    </row>
    <row r="447" spans="1:10">
      <c r="A447" s="4" t="str">
        <f>'EN60'!A$3</f>
        <v>EN60</v>
      </c>
      <c r="B447" s="4">
        <f t="shared" si="53"/>
        <v>17</v>
      </c>
      <c r="C447" s="4">
        <f t="shared" si="54"/>
        <v>25</v>
      </c>
      <c r="D447" s="4">
        <f t="shared" si="48"/>
        <v>8</v>
      </c>
      <c r="E447" s="4" t="s">
        <v>27</v>
      </c>
      <c r="F447" s="4">
        <f t="shared" si="49"/>
        <v>800</v>
      </c>
      <c r="G447" s="5">
        <f t="shared" si="55"/>
        <v>1.01</v>
      </c>
      <c r="H447" s="6" t="str">
        <f t="shared" si="50"/>
        <v>INSERT INTO public.coupon (plancode, age, "year", couponrate, benefittype, benefitrate, premiumrate) VALUES('EN60', 17, 25, 8, 'A',800, 1.01);</v>
      </c>
      <c r="I447" s="6" t="str">
        <f t="shared" si="51"/>
        <v>{"age":"17", "year":"25", "couponrate":"8", "benefittype":"A", "benefitrate":"800", "premiumrate":"1.01"}</v>
      </c>
      <c r="J447" s="6" t="str">
        <f t="shared" si="52"/>
        <v>,</v>
      </c>
    </row>
    <row r="448" spans="1:10">
      <c r="A448" s="4" t="str">
        <f>'EN60'!A$3</f>
        <v>EN60</v>
      </c>
      <c r="B448" s="4">
        <f t="shared" si="53"/>
        <v>17</v>
      </c>
      <c r="C448" s="4">
        <f t="shared" si="54"/>
        <v>26</v>
      </c>
      <c r="D448" s="4">
        <f t="shared" si="48"/>
        <v>8</v>
      </c>
      <c r="E448" s="4" t="s">
        <v>27</v>
      </c>
      <c r="F448" s="4">
        <f t="shared" si="49"/>
        <v>800</v>
      </c>
      <c r="G448" s="5">
        <f t="shared" si="55"/>
        <v>1.01</v>
      </c>
      <c r="H448" s="6" t="str">
        <f t="shared" si="50"/>
        <v>INSERT INTO public.coupon (plancode, age, "year", couponrate, benefittype, benefitrate, premiumrate) VALUES('EN60', 17, 26, 8, 'A',800, 1.01);</v>
      </c>
      <c r="I448" s="6" t="str">
        <f t="shared" si="51"/>
        <v>{"age":"17", "year":"26", "couponrate":"8", "benefittype":"A", "benefitrate":"800", "premiumrate":"1.01"}</v>
      </c>
      <c r="J448" s="6" t="str">
        <f t="shared" si="52"/>
        <v>,</v>
      </c>
    </row>
    <row r="449" spans="1:10">
      <c r="A449" s="4" t="str">
        <f>'EN60'!A$3</f>
        <v>EN60</v>
      </c>
      <c r="B449" s="4">
        <f t="shared" si="53"/>
        <v>17</v>
      </c>
      <c r="C449" s="4">
        <f t="shared" si="54"/>
        <v>27</v>
      </c>
      <c r="D449" s="4">
        <f t="shared" si="48"/>
        <v>8</v>
      </c>
      <c r="E449" s="4" t="s">
        <v>27</v>
      </c>
      <c r="F449" s="4">
        <f t="shared" si="49"/>
        <v>800</v>
      </c>
      <c r="G449" s="5">
        <f t="shared" si="55"/>
        <v>1.01</v>
      </c>
      <c r="H449" s="6" t="str">
        <f t="shared" si="50"/>
        <v>INSERT INTO public.coupon (plancode, age, "year", couponrate, benefittype, benefitrate, premiumrate) VALUES('EN60', 17, 27, 8, 'A',800, 1.01);</v>
      </c>
      <c r="I449" s="6" t="str">
        <f t="shared" si="51"/>
        <v>{"age":"17", "year":"27", "couponrate":"8", "benefittype":"A", "benefitrate":"800", "premiumrate":"1.01"}</v>
      </c>
      <c r="J449" s="6" t="str">
        <f t="shared" si="52"/>
        <v>,</v>
      </c>
    </row>
    <row r="450" spans="1:10">
      <c r="A450" s="4" t="str">
        <f>'EN60'!A$3</f>
        <v>EN60</v>
      </c>
      <c r="B450" s="4">
        <f t="shared" si="53"/>
        <v>17</v>
      </c>
      <c r="C450" s="4">
        <f t="shared" si="54"/>
        <v>28</v>
      </c>
      <c r="D450" s="4">
        <f t="shared" si="48"/>
        <v>8</v>
      </c>
      <c r="E450" s="4" t="s">
        <v>27</v>
      </c>
      <c r="F450" s="4">
        <f t="shared" si="49"/>
        <v>800</v>
      </c>
      <c r="G450" s="5">
        <f t="shared" si="55"/>
        <v>1.01</v>
      </c>
      <c r="H450" s="6" t="str">
        <f t="shared" si="50"/>
        <v>INSERT INTO public.coupon (plancode, age, "year", couponrate, benefittype, benefitrate, premiumrate) VALUES('EN60', 17, 28, 8, 'A',800, 1.01);</v>
      </c>
      <c r="I450" s="6" t="str">
        <f t="shared" si="51"/>
        <v>{"age":"17", "year":"28", "couponrate":"8", "benefittype":"A", "benefitrate":"800", "premiumrate":"1.01"}</v>
      </c>
      <c r="J450" s="6" t="str">
        <f t="shared" si="52"/>
        <v>,</v>
      </c>
    </row>
    <row r="451" spans="1:10">
      <c r="A451" s="4" t="str">
        <f>'EN60'!A$3</f>
        <v>EN60</v>
      </c>
      <c r="B451" s="4">
        <f t="shared" si="53"/>
        <v>17</v>
      </c>
      <c r="C451" s="4">
        <f t="shared" si="54"/>
        <v>29</v>
      </c>
      <c r="D451" s="4">
        <f t="shared" si="48"/>
        <v>8</v>
      </c>
      <c r="E451" s="4" t="s">
        <v>27</v>
      </c>
      <c r="F451" s="4">
        <f t="shared" si="49"/>
        <v>800</v>
      </c>
      <c r="G451" s="5">
        <f t="shared" si="55"/>
        <v>1.01</v>
      </c>
      <c r="H451" s="6" t="str">
        <f t="shared" si="50"/>
        <v>INSERT INTO public.coupon (plancode, age, "year", couponrate, benefittype, benefitrate, premiumrate) VALUES('EN60', 17, 29, 8, 'A',800, 1.01);</v>
      </c>
      <c r="I451" s="6" t="str">
        <f t="shared" si="51"/>
        <v>{"age":"17", "year":"29", "couponrate":"8", "benefittype":"A", "benefitrate":"800", "premiumrate":"1.01"}</v>
      </c>
      <c r="J451" s="6" t="str">
        <f t="shared" si="52"/>
        <v>,</v>
      </c>
    </row>
    <row r="452" spans="1:10">
      <c r="A452" s="4" t="str">
        <f>'EN60'!A$3</f>
        <v>EN60</v>
      </c>
      <c r="B452" s="4">
        <f t="shared" si="53"/>
        <v>17</v>
      </c>
      <c r="C452" s="4">
        <f t="shared" si="54"/>
        <v>30</v>
      </c>
      <c r="D452" s="4">
        <f t="shared" si="48"/>
        <v>8</v>
      </c>
      <c r="E452" s="4" t="s">
        <v>27</v>
      </c>
      <c r="F452" s="4">
        <f t="shared" si="49"/>
        <v>800</v>
      </c>
      <c r="G452" s="5">
        <f t="shared" si="55"/>
        <v>1.01</v>
      </c>
      <c r="H452" s="6" t="str">
        <f t="shared" si="50"/>
        <v>INSERT INTO public.coupon (plancode, age, "year", couponrate, benefittype, benefitrate, premiumrate) VALUES('EN60', 17, 30, 8, 'A',800, 1.01);</v>
      </c>
      <c r="I452" s="6" t="str">
        <f t="shared" si="51"/>
        <v>{"age":"17", "year":"30", "couponrate":"8", "benefittype":"A", "benefitrate":"800", "premiumrate":"1.01"}</v>
      </c>
      <c r="J452" s="6" t="str">
        <f t="shared" si="52"/>
        <v>,</v>
      </c>
    </row>
    <row r="453" spans="1:10">
      <c r="A453" s="4" t="str">
        <f>'EN60'!A$3</f>
        <v>EN60</v>
      </c>
      <c r="B453" s="4">
        <f t="shared" si="53"/>
        <v>17</v>
      </c>
      <c r="C453" s="4">
        <f t="shared" si="54"/>
        <v>31</v>
      </c>
      <c r="D453" s="4">
        <f t="shared" si="48"/>
        <v>8</v>
      </c>
      <c r="E453" s="4" t="s">
        <v>27</v>
      </c>
      <c r="F453" s="4">
        <f t="shared" si="49"/>
        <v>800</v>
      </c>
      <c r="G453" s="5">
        <f t="shared" si="55"/>
        <v>1.01</v>
      </c>
      <c r="H453" s="6" t="str">
        <f t="shared" si="50"/>
        <v>INSERT INTO public.coupon (plancode, age, "year", couponrate, benefittype, benefitrate, premiumrate) VALUES('EN60', 17, 31, 8, 'A',800, 1.01);</v>
      </c>
      <c r="I453" s="6" t="str">
        <f t="shared" si="51"/>
        <v>{"age":"17", "year":"31", "couponrate":"8", "benefittype":"A", "benefitrate":"800", "premiumrate":"1.01"}</v>
      </c>
      <c r="J453" s="6" t="str">
        <f t="shared" si="52"/>
        <v>,</v>
      </c>
    </row>
    <row r="454" spans="1:10">
      <c r="A454" s="4" t="str">
        <f>'EN60'!A$3</f>
        <v>EN60</v>
      </c>
      <c r="B454" s="4">
        <f t="shared" si="53"/>
        <v>17</v>
      </c>
      <c r="C454" s="4">
        <f t="shared" si="54"/>
        <v>32</v>
      </c>
      <c r="D454" s="4">
        <f t="shared" si="48"/>
        <v>8</v>
      </c>
      <c r="E454" s="4" t="s">
        <v>27</v>
      </c>
      <c r="F454" s="4">
        <f t="shared" si="49"/>
        <v>800</v>
      </c>
      <c r="G454" s="5">
        <f t="shared" si="55"/>
        <v>1.01</v>
      </c>
      <c r="H454" s="6" t="str">
        <f t="shared" si="50"/>
        <v>INSERT INTO public.coupon (plancode, age, "year", couponrate, benefittype, benefitrate, premiumrate) VALUES('EN60', 17, 32, 8, 'A',800, 1.01);</v>
      </c>
      <c r="I454" s="6" t="str">
        <f t="shared" si="51"/>
        <v>{"age":"17", "year":"32", "couponrate":"8", "benefittype":"A", "benefitrate":"800", "premiumrate":"1.01"}</v>
      </c>
      <c r="J454" s="6" t="str">
        <f t="shared" si="52"/>
        <v>,</v>
      </c>
    </row>
    <row r="455" spans="1:10">
      <c r="A455" s="4" t="str">
        <f>'EN60'!A$3</f>
        <v>EN60</v>
      </c>
      <c r="B455" s="4">
        <f t="shared" si="53"/>
        <v>17</v>
      </c>
      <c r="C455" s="4">
        <f t="shared" si="54"/>
        <v>33</v>
      </c>
      <c r="D455" s="4">
        <f t="shared" si="48"/>
        <v>8</v>
      </c>
      <c r="E455" s="4" t="s">
        <v>27</v>
      </c>
      <c r="F455" s="4">
        <f t="shared" si="49"/>
        <v>800</v>
      </c>
      <c r="G455" s="5">
        <f t="shared" si="55"/>
        <v>1.01</v>
      </c>
      <c r="H455" s="6" t="str">
        <f t="shared" si="50"/>
        <v>INSERT INTO public.coupon (plancode, age, "year", couponrate, benefittype, benefitrate, premiumrate) VALUES('EN60', 17, 33, 8, 'A',800, 1.01);</v>
      </c>
      <c r="I455" s="6" t="str">
        <f t="shared" si="51"/>
        <v>{"age":"17", "year":"33", "couponrate":"8", "benefittype":"A", "benefitrate":"800", "premiumrate":"1.01"}</v>
      </c>
      <c r="J455" s="6" t="str">
        <f t="shared" si="52"/>
        <v>,</v>
      </c>
    </row>
    <row r="456" spans="1:10">
      <c r="A456" s="4" t="str">
        <f>'EN60'!A$3</f>
        <v>EN60</v>
      </c>
      <c r="B456" s="4">
        <f t="shared" si="53"/>
        <v>17</v>
      </c>
      <c r="C456" s="4">
        <f t="shared" si="54"/>
        <v>34</v>
      </c>
      <c r="D456" s="4">
        <f t="shared" si="48"/>
        <v>8</v>
      </c>
      <c r="E456" s="4" t="s">
        <v>27</v>
      </c>
      <c r="F456" s="4">
        <f t="shared" si="49"/>
        <v>800</v>
      </c>
      <c r="G456" s="5">
        <f t="shared" si="55"/>
        <v>1.01</v>
      </c>
      <c r="H456" s="6" t="str">
        <f t="shared" si="50"/>
        <v>INSERT INTO public.coupon (plancode, age, "year", couponrate, benefittype, benefitrate, premiumrate) VALUES('EN60', 17, 34, 8, 'A',800, 1.01);</v>
      </c>
      <c r="I456" s="6" t="str">
        <f t="shared" si="51"/>
        <v>{"age":"17", "year":"34", "couponrate":"8", "benefittype":"A", "benefitrate":"800", "premiumrate":"1.01"}</v>
      </c>
      <c r="J456" s="6" t="str">
        <f t="shared" si="52"/>
        <v>,</v>
      </c>
    </row>
    <row r="457" spans="1:10">
      <c r="A457" s="4" t="str">
        <f>'EN60'!A$3</f>
        <v>EN60</v>
      </c>
      <c r="B457" s="4">
        <f t="shared" si="53"/>
        <v>17</v>
      </c>
      <c r="C457" s="4">
        <f t="shared" si="54"/>
        <v>35</v>
      </c>
      <c r="D457" s="4">
        <f t="shared" si="48"/>
        <v>8</v>
      </c>
      <c r="E457" s="4" t="s">
        <v>27</v>
      </c>
      <c r="F457" s="4">
        <f t="shared" si="49"/>
        <v>800</v>
      </c>
      <c r="G457" s="5">
        <f t="shared" si="55"/>
        <v>1.01</v>
      </c>
      <c r="H457" s="6" t="str">
        <f t="shared" si="50"/>
        <v>INSERT INTO public.coupon (plancode, age, "year", couponrate, benefittype, benefitrate, premiumrate) VALUES('EN60', 17, 35, 8, 'A',800, 1.01);</v>
      </c>
      <c r="I457" s="6" t="str">
        <f t="shared" si="51"/>
        <v>{"age":"17", "year":"35", "couponrate":"8", "benefittype":"A", "benefitrate":"800", "premiumrate":"1.01"}</v>
      </c>
      <c r="J457" s="6" t="str">
        <f t="shared" si="52"/>
        <v>,</v>
      </c>
    </row>
    <row r="458" spans="1:10">
      <c r="A458" s="4" t="str">
        <f>'EN60'!A$3</f>
        <v>EN60</v>
      </c>
      <c r="B458" s="4">
        <f t="shared" si="53"/>
        <v>17</v>
      </c>
      <c r="C458" s="4">
        <f t="shared" si="54"/>
        <v>36</v>
      </c>
      <c r="D458" s="4">
        <f t="shared" si="48"/>
        <v>8</v>
      </c>
      <c r="E458" s="4" t="s">
        <v>27</v>
      </c>
      <c r="F458" s="4">
        <f t="shared" si="49"/>
        <v>800</v>
      </c>
      <c r="G458" s="5">
        <f t="shared" si="55"/>
        <v>1.01</v>
      </c>
      <c r="H458" s="6" t="str">
        <f t="shared" si="50"/>
        <v>INSERT INTO public.coupon (plancode, age, "year", couponrate, benefittype, benefitrate, premiumrate) VALUES('EN60', 17, 36, 8, 'A',800, 1.01);</v>
      </c>
      <c r="I458" s="6" t="str">
        <f t="shared" si="51"/>
        <v>{"age":"17", "year":"36", "couponrate":"8", "benefittype":"A", "benefitrate":"800", "premiumrate":"1.01"}</v>
      </c>
      <c r="J458" s="6" t="str">
        <f t="shared" si="52"/>
        <v>,</v>
      </c>
    </row>
    <row r="459" spans="1:10">
      <c r="A459" s="4" t="str">
        <f>'EN60'!A$3</f>
        <v>EN60</v>
      </c>
      <c r="B459" s="4">
        <f t="shared" si="53"/>
        <v>17</v>
      </c>
      <c r="C459" s="4">
        <f t="shared" si="54"/>
        <v>37</v>
      </c>
      <c r="D459" s="4">
        <f t="shared" si="48"/>
        <v>8</v>
      </c>
      <c r="E459" s="4" t="s">
        <v>27</v>
      </c>
      <c r="F459" s="4">
        <f t="shared" si="49"/>
        <v>800</v>
      </c>
      <c r="G459" s="5">
        <f t="shared" si="55"/>
        <v>1.01</v>
      </c>
      <c r="H459" s="6" t="str">
        <f t="shared" si="50"/>
        <v>INSERT INTO public.coupon (plancode, age, "year", couponrate, benefittype, benefitrate, premiumrate) VALUES('EN60', 17, 37, 8, 'A',800, 1.01);</v>
      </c>
      <c r="I459" s="6" t="str">
        <f t="shared" si="51"/>
        <v>{"age":"17", "year":"37", "couponrate":"8", "benefittype":"A", "benefitrate":"800", "premiumrate":"1.01"}</v>
      </c>
      <c r="J459" s="6" t="str">
        <f t="shared" si="52"/>
        <v>,</v>
      </c>
    </row>
    <row r="460" spans="1:10">
      <c r="A460" s="4" t="str">
        <f>'EN60'!A$3</f>
        <v>EN60</v>
      </c>
      <c r="B460" s="4">
        <f t="shared" si="53"/>
        <v>17</v>
      </c>
      <c r="C460" s="4">
        <f t="shared" si="54"/>
        <v>38</v>
      </c>
      <c r="D460" s="4">
        <f t="shared" si="48"/>
        <v>8</v>
      </c>
      <c r="E460" s="4" t="s">
        <v>27</v>
      </c>
      <c r="F460" s="4">
        <f t="shared" si="49"/>
        <v>800</v>
      </c>
      <c r="G460" s="5">
        <f t="shared" si="55"/>
        <v>1.01</v>
      </c>
      <c r="H460" s="6" t="str">
        <f t="shared" si="50"/>
        <v>INSERT INTO public.coupon (plancode, age, "year", couponrate, benefittype, benefitrate, premiumrate) VALUES('EN60', 17, 38, 8, 'A',800, 1.01);</v>
      </c>
      <c r="I460" s="6" t="str">
        <f t="shared" si="51"/>
        <v>{"age":"17", "year":"38", "couponrate":"8", "benefittype":"A", "benefitrate":"800", "premiumrate":"1.01"}</v>
      </c>
      <c r="J460" s="6" t="str">
        <f t="shared" si="52"/>
        <v>,</v>
      </c>
    </row>
    <row r="461" spans="1:10">
      <c r="A461" s="4" t="str">
        <f>'EN60'!A$3</f>
        <v>EN60</v>
      </c>
      <c r="B461" s="4">
        <f t="shared" si="53"/>
        <v>17</v>
      </c>
      <c r="C461" s="4">
        <f t="shared" si="54"/>
        <v>39</v>
      </c>
      <c r="D461" s="4">
        <f t="shared" si="48"/>
        <v>8</v>
      </c>
      <c r="E461" s="4" t="s">
        <v>27</v>
      </c>
      <c r="F461" s="4">
        <f t="shared" si="49"/>
        <v>800</v>
      </c>
      <c r="G461" s="5">
        <f t="shared" si="55"/>
        <v>1.01</v>
      </c>
      <c r="H461" s="6" t="str">
        <f t="shared" si="50"/>
        <v>INSERT INTO public.coupon (plancode, age, "year", couponrate, benefittype, benefitrate, premiumrate) VALUES('EN60', 17, 39, 8, 'A',800, 1.01);</v>
      </c>
      <c r="I461" s="6" t="str">
        <f t="shared" si="51"/>
        <v>{"age":"17", "year":"39", "couponrate":"8", "benefittype":"A", "benefitrate":"800", "premiumrate":"1.01"}</v>
      </c>
      <c r="J461" s="6" t="str">
        <f t="shared" si="52"/>
        <v>,</v>
      </c>
    </row>
    <row r="462" spans="1:10">
      <c r="A462" s="4" t="str">
        <f>'EN60'!A$3</f>
        <v>EN60</v>
      </c>
      <c r="B462" s="4">
        <f t="shared" si="53"/>
        <v>17</v>
      </c>
      <c r="C462" s="4">
        <f t="shared" si="54"/>
        <v>40</v>
      </c>
      <c r="D462" s="4">
        <f t="shared" si="48"/>
        <v>8</v>
      </c>
      <c r="E462" s="4" t="s">
        <v>27</v>
      </c>
      <c r="F462" s="4">
        <f t="shared" si="49"/>
        <v>800</v>
      </c>
      <c r="G462" s="5">
        <f t="shared" si="55"/>
        <v>1.01</v>
      </c>
      <c r="H462" s="6" t="str">
        <f t="shared" si="50"/>
        <v>INSERT INTO public.coupon (plancode, age, "year", couponrate, benefittype, benefitrate, premiumrate) VALUES('EN60', 17, 40, 8, 'A',800, 1.01);</v>
      </c>
      <c r="I462" s="6" t="str">
        <f t="shared" si="51"/>
        <v>{"age":"17", "year":"40", "couponrate":"8", "benefittype":"A", "benefitrate":"800", "premiumrate":"1.01"}</v>
      </c>
      <c r="J462" s="6" t="str">
        <f t="shared" si="52"/>
        <v>,</v>
      </c>
    </row>
    <row r="463" spans="1:10">
      <c r="A463" s="4" t="str">
        <f>'EN60'!A$3</f>
        <v>EN60</v>
      </c>
      <c r="B463" s="4">
        <f t="shared" si="53"/>
        <v>17</v>
      </c>
      <c r="C463" s="4">
        <f t="shared" si="54"/>
        <v>41</v>
      </c>
      <c r="D463" s="4">
        <f t="shared" si="48"/>
        <v>8</v>
      </c>
      <c r="E463" s="4" t="s">
        <v>27</v>
      </c>
      <c r="F463" s="4">
        <f t="shared" si="49"/>
        <v>800</v>
      </c>
      <c r="G463" s="5">
        <f t="shared" si="55"/>
        <v>1.01</v>
      </c>
      <c r="H463" s="6" t="str">
        <f t="shared" si="50"/>
        <v>INSERT INTO public.coupon (plancode, age, "year", couponrate, benefittype, benefitrate, premiumrate) VALUES('EN60', 17, 41, 8, 'A',800, 1.01);</v>
      </c>
      <c r="I463" s="6" t="str">
        <f t="shared" si="51"/>
        <v>{"age":"17", "year":"41", "couponrate":"8", "benefittype":"A", "benefitrate":"800", "premiumrate":"1.01"}</v>
      </c>
      <c r="J463" s="6" t="str">
        <f t="shared" si="52"/>
        <v>,</v>
      </c>
    </row>
    <row r="464" spans="1:10">
      <c r="A464" s="4" t="str">
        <f>'EN60'!A$3</f>
        <v>EN60</v>
      </c>
      <c r="B464" s="4">
        <f t="shared" si="53"/>
        <v>17</v>
      </c>
      <c r="C464" s="4">
        <f t="shared" si="54"/>
        <v>42</v>
      </c>
      <c r="D464" s="4">
        <f t="shared" si="48"/>
        <v>8</v>
      </c>
      <c r="E464" s="4" t="s">
        <v>27</v>
      </c>
      <c r="F464" s="4">
        <f t="shared" si="49"/>
        <v>800</v>
      </c>
      <c r="G464" s="5">
        <f t="shared" si="55"/>
        <v>1.01</v>
      </c>
      <c r="H464" s="6" t="str">
        <f t="shared" si="50"/>
        <v>INSERT INTO public.coupon (plancode, age, "year", couponrate, benefittype, benefitrate, premiumrate) VALUES('EN60', 17, 42, 8, 'A',800, 1.01);</v>
      </c>
      <c r="I464" s="6" t="str">
        <f t="shared" si="51"/>
        <v>{"age":"17", "year":"42", "couponrate":"8", "benefittype":"A", "benefitrate":"800", "premiumrate":"1.01"}</v>
      </c>
      <c r="J464" s="6" t="str">
        <f t="shared" si="52"/>
        <v>,</v>
      </c>
    </row>
    <row r="465" spans="1:10">
      <c r="A465" s="4" t="str">
        <f>'EN60'!A$3</f>
        <v>EN60</v>
      </c>
      <c r="B465" s="4">
        <f t="shared" si="53"/>
        <v>17</v>
      </c>
      <c r="C465" s="4">
        <f t="shared" si="54"/>
        <v>43</v>
      </c>
      <c r="D465" s="4">
        <f t="shared" si="48"/>
        <v>8</v>
      </c>
      <c r="E465" s="4" t="s">
        <v>27</v>
      </c>
      <c r="F465" s="4">
        <f t="shared" si="49"/>
        <v>800</v>
      </c>
      <c r="G465" s="5">
        <f t="shared" si="55"/>
        <v>1.01</v>
      </c>
      <c r="H465" s="6" t="str">
        <f t="shared" si="50"/>
        <v>INSERT INTO public.coupon (plancode, age, "year", couponrate, benefittype, benefitrate, premiumrate) VALUES('EN60', 17, 43, 8, 'A',800, 1.01);</v>
      </c>
      <c r="I465" s="6" t="str">
        <f t="shared" si="51"/>
        <v>{"age":"17", "year":"43", "couponrate":"8", "benefittype":"A", "benefitrate":"800", "premiumrate":"1.01"}</v>
      </c>
      <c r="J465" s="6" t="str">
        <f t="shared" si="52"/>
        <v>,</v>
      </c>
    </row>
    <row r="466" spans="1:10">
      <c r="A466" s="4" t="str">
        <f>'EN60'!A$3</f>
        <v>EN60</v>
      </c>
      <c r="B466" s="4">
        <f t="shared" si="53"/>
        <v>17</v>
      </c>
      <c r="C466" s="4">
        <f t="shared" si="54"/>
        <v>44</v>
      </c>
      <c r="D466" s="4">
        <f t="shared" si="48"/>
        <v>8</v>
      </c>
      <c r="E466" s="4" t="s">
        <v>27</v>
      </c>
      <c r="F466" s="4">
        <f t="shared" si="49"/>
        <v>800</v>
      </c>
      <c r="G466" s="5">
        <f t="shared" si="55"/>
        <v>1.01</v>
      </c>
      <c r="H466" s="6" t="str">
        <f t="shared" si="50"/>
        <v>INSERT INTO public.coupon (plancode, age, "year", couponrate, benefittype, benefitrate, premiumrate) VALUES('EN60', 17, 44, 8, 'A',800, 1.01);</v>
      </c>
      <c r="I466" s="6" t="str">
        <f t="shared" si="51"/>
        <v>{"age":"17", "year":"44", "couponrate":"8", "benefittype":"A", "benefitrate":"800", "premiumrate":"1.01"}</v>
      </c>
      <c r="J466" s="6" t="str">
        <f t="shared" si="52"/>
        <v>,</v>
      </c>
    </row>
    <row r="467" spans="1:10">
      <c r="A467" s="4" t="str">
        <f>'EN60'!A$3</f>
        <v>EN60</v>
      </c>
      <c r="B467" s="4">
        <f t="shared" si="53"/>
        <v>17</v>
      </c>
      <c r="C467" s="4">
        <f t="shared" si="54"/>
        <v>45</v>
      </c>
      <c r="D467" s="4">
        <f t="shared" si="48"/>
        <v>8</v>
      </c>
      <c r="E467" s="4" t="s">
        <v>27</v>
      </c>
      <c r="F467" s="4">
        <f t="shared" si="49"/>
        <v>800</v>
      </c>
      <c r="G467" s="5">
        <f t="shared" si="55"/>
        <v>1.01</v>
      </c>
      <c r="H467" s="6" t="str">
        <f t="shared" si="50"/>
        <v>INSERT INTO public.coupon (plancode, age, "year", couponrate, benefittype, benefitrate, premiumrate) VALUES('EN60', 17, 45, 8, 'A',800, 1.01);</v>
      </c>
      <c r="I467" s="6" t="str">
        <f t="shared" si="51"/>
        <v>{"age":"17", "year":"45", "couponrate":"8", "benefittype":"A", "benefitrate":"800", "premiumrate":"1.01"}</v>
      </c>
      <c r="J467" s="6" t="str">
        <f t="shared" si="52"/>
        <v>,</v>
      </c>
    </row>
    <row r="468" spans="1:10">
      <c r="A468" s="4" t="str">
        <f>'EN60'!A$3</f>
        <v>EN60</v>
      </c>
      <c r="B468" s="4">
        <f t="shared" si="53"/>
        <v>17</v>
      </c>
      <c r="C468" s="4">
        <f t="shared" si="54"/>
        <v>46</v>
      </c>
      <c r="D468" s="4">
        <f t="shared" si="48"/>
        <v>8</v>
      </c>
      <c r="E468" s="4" t="s">
        <v>27</v>
      </c>
      <c r="F468" s="4">
        <f t="shared" si="49"/>
        <v>800</v>
      </c>
      <c r="G468" s="5">
        <f t="shared" si="55"/>
        <v>1.01</v>
      </c>
      <c r="H468" s="6" t="str">
        <f t="shared" si="50"/>
        <v>INSERT INTO public.coupon (plancode, age, "year", couponrate, benefittype, benefitrate, premiumrate) VALUES('EN60', 17, 46, 8, 'A',800, 1.01);</v>
      </c>
      <c r="I468" s="6" t="str">
        <f t="shared" si="51"/>
        <v>{"age":"17", "year":"46", "couponrate":"8", "benefittype":"A", "benefitrate":"800", "premiumrate":"1.01"}</v>
      </c>
      <c r="J468" s="6" t="str">
        <f t="shared" si="52"/>
        <v>,</v>
      </c>
    </row>
    <row r="469" spans="1:10">
      <c r="A469" s="4" t="str">
        <f>'EN60'!A$3</f>
        <v>EN60</v>
      </c>
      <c r="B469" s="4">
        <f t="shared" si="53"/>
        <v>17</v>
      </c>
      <c r="C469" s="4">
        <f t="shared" si="54"/>
        <v>47</v>
      </c>
      <c r="D469" s="4">
        <f t="shared" si="48"/>
        <v>8</v>
      </c>
      <c r="E469" s="4" t="s">
        <v>27</v>
      </c>
      <c r="F469" s="4">
        <f t="shared" si="49"/>
        <v>800</v>
      </c>
      <c r="G469" s="5">
        <f t="shared" si="55"/>
        <v>1.01</v>
      </c>
      <c r="H469" s="6" t="str">
        <f t="shared" si="50"/>
        <v>INSERT INTO public.coupon (plancode, age, "year", couponrate, benefittype, benefitrate, premiumrate) VALUES('EN60', 17, 47, 8, 'A',800, 1.01);</v>
      </c>
      <c r="I469" s="6" t="str">
        <f t="shared" si="51"/>
        <v>{"age":"17", "year":"47", "couponrate":"8", "benefittype":"A", "benefitrate":"800", "premiumrate":"1.01"}</v>
      </c>
      <c r="J469" s="6" t="str">
        <f t="shared" si="52"/>
        <v>,</v>
      </c>
    </row>
    <row r="470" spans="1:10">
      <c r="A470" s="4" t="str">
        <f>'EN60'!A$3</f>
        <v>EN60</v>
      </c>
      <c r="B470" s="4">
        <f t="shared" si="53"/>
        <v>17</v>
      </c>
      <c r="C470" s="4">
        <f t="shared" si="54"/>
        <v>48</v>
      </c>
      <c r="D470" s="4">
        <f t="shared" si="48"/>
        <v>8</v>
      </c>
      <c r="E470" s="4" t="s">
        <v>27</v>
      </c>
      <c r="F470" s="4">
        <f t="shared" si="49"/>
        <v>800</v>
      </c>
      <c r="G470" s="5">
        <f t="shared" si="55"/>
        <v>1.01</v>
      </c>
      <c r="H470" s="6" t="str">
        <f t="shared" si="50"/>
        <v>INSERT INTO public.coupon (plancode, age, "year", couponrate, benefittype, benefitrate, premiumrate) VALUES('EN60', 17, 48, 8, 'A',800, 1.01);</v>
      </c>
      <c r="I470" s="6" t="str">
        <f t="shared" si="51"/>
        <v>{"age":"17", "year":"48", "couponrate":"8", "benefittype":"A", "benefitrate":"800", "premiumrate":"1.01"}</v>
      </c>
      <c r="J470" s="6" t="str">
        <f t="shared" si="52"/>
        <v>,</v>
      </c>
    </row>
    <row r="471" spans="1:10">
      <c r="A471" s="4" t="str">
        <f>'EN60'!A$3</f>
        <v>EN60</v>
      </c>
      <c r="B471" s="4">
        <f t="shared" si="53"/>
        <v>17</v>
      </c>
      <c r="C471" s="4">
        <f t="shared" si="54"/>
        <v>49</v>
      </c>
      <c r="D471" s="4">
        <f t="shared" si="48"/>
        <v>8</v>
      </c>
      <c r="E471" s="4" t="s">
        <v>27</v>
      </c>
      <c r="F471" s="4">
        <f t="shared" si="49"/>
        <v>800</v>
      </c>
      <c r="G471" s="5">
        <f t="shared" si="55"/>
        <v>1.01</v>
      </c>
      <c r="H471" s="6" t="str">
        <f t="shared" si="50"/>
        <v>INSERT INTO public.coupon (plancode, age, "year", couponrate, benefittype, benefitrate, premiumrate) VALUES('EN60', 17, 49, 8, 'A',800, 1.01);</v>
      </c>
      <c r="I471" s="6" t="str">
        <f t="shared" si="51"/>
        <v>{"age":"17", "year":"49", "couponrate":"8", "benefittype":"A", "benefitrate":"800", "premiumrate":"1.01"}</v>
      </c>
      <c r="J471" s="6" t="str">
        <f t="shared" si="52"/>
        <v>,</v>
      </c>
    </row>
    <row r="472" spans="1:10">
      <c r="A472" s="4" t="str">
        <f>'EN60'!A$3</f>
        <v>EN60</v>
      </c>
      <c r="B472" s="4">
        <f t="shared" si="53"/>
        <v>17</v>
      </c>
      <c r="C472" s="4">
        <f t="shared" si="54"/>
        <v>50</v>
      </c>
      <c r="D472" s="4">
        <f t="shared" si="48"/>
        <v>8</v>
      </c>
      <c r="E472" s="4" t="s">
        <v>27</v>
      </c>
      <c r="F472" s="4">
        <f t="shared" si="49"/>
        <v>800</v>
      </c>
      <c r="G472" s="5">
        <f t="shared" si="55"/>
        <v>1.01</v>
      </c>
      <c r="H472" s="6" t="str">
        <f t="shared" si="50"/>
        <v>INSERT INTO public.coupon (plancode, age, "year", couponrate, benefittype, benefitrate, premiumrate) VALUES('EN60', 17, 50, 8, 'A',800, 1.01);</v>
      </c>
      <c r="I472" s="6" t="str">
        <f t="shared" si="51"/>
        <v>{"age":"17", "year":"50", "couponrate":"8", "benefittype":"A", "benefitrate":"800", "premiumrate":"1.01"}</v>
      </c>
      <c r="J472" s="6" t="str">
        <f t="shared" si="52"/>
        <v>,</v>
      </c>
    </row>
    <row r="473" spans="1:10">
      <c r="A473" s="4" t="str">
        <f>'EN60'!A$3</f>
        <v>EN60</v>
      </c>
      <c r="B473" s="4">
        <f t="shared" si="53"/>
        <v>17</v>
      </c>
      <c r="C473" s="4">
        <f t="shared" si="54"/>
        <v>51</v>
      </c>
      <c r="D473" s="4">
        <f t="shared" si="48"/>
        <v>8</v>
      </c>
      <c r="E473" s="4" t="s">
        <v>27</v>
      </c>
      <c r="F473" s="4">
        <f t="shared" si="49"/>
        <v>800</v>
      </c>
      <c r="G473" s="5">
        <f t="shared" si="55"/>
        <v>1.01</v>
      </c>
      <c r="H473" s="6" t="str">
        <f t="shared" si="50"/>
        <v>INSERT INTO public.coupon (plancode, age, "year", couponrate, benefittype, benefitrate, premiumrate) VALUES('EN60', 17, 51, 8, 'A',800, 1.01);</v>
      </c>
      <c r="I473" s="6" t="str">
        <f t="shared" si="51"/>
        <v>{"age":"17", "year":"51", "couponrate":"8", "benefittype":"A", "benefitrate":"800", "premiumrate":"1.01"}</v>
      </c>
      <c r="J473" s="6" t="str">
        <f t="shared" si="52"/>
        <v>,</v>
      </c>
    </row>
    <row r="474" spans="1:10">
      <c r="A474" s="4" t="str">
        <f>'EN60'!A$3</f>
        <v>EN60</v>
      </c>
      <c r="B474" s="4">
        <f t="shared" si="53"/>
        <v>17</v>
      </c>
      <c r="C474" s="4">
        <f t="shared" si="54"/>
        <v>52</v>
      </c>
      <c r="D474" s="4">
        <f t="shared" si="48"/>
        <v>8</v>
      </c>
      <c r="E474" s="4" t="s">
        <v>27</v>
      </c>
      <c r="F474" s="4">
        <f t="shared" si="49"/>
        <v>800</v>
      </c>
      <c r="G474" s="5">
        <f t="shared" si="55"/>
        <v>1.01</v>
      </c>
      <c r="H474" s="6" t="str">
        <f t="shared" si="50"/>
        <v>INSERT INTO public.coupon (plancode, age, "year", couponrate, benefittype, benefitrate, premiumrate) VALUES('EN60', 17, 52, 8, 'A',800, 1.01);</v>
      </c>
      <c r="I474" s="6" t="str">
        <f t="shared" si="51"/>
        <v>{"age":"17", "year":"52", "couponrate":"8", "benefittype":"A", "benefitrate":"800", "premiumrate":"1.01"}</v>
      </c>
      <c r="J474" s="6" t="str">
        <f t="shared" si="52"/>
        <v>,</v>
      </c>
    </row>
    <row r="475" spans="1:10">
      <c r="A475" s="4" t="str">
        <f>'EN60'!A$3</f>
        <v>EN60</v>
      </c>
      <c r="B475" s="4">
        <f t="shared" si="53"/>
        <v>17</v>
      </c>
      <c r="C475" s="4">
        <f t="shared" si="54"/>
        <v>53</v>
      </c>
      <c r="D475" s="4">
        <f t="shared" si="48"/>
        <v>8</v>
      </c>
      <c r="E475" s="4" t="s">
        <v>27</v>
      </c>
      <c r="F475" s="4">
        <f t="shared" si="49"/>
        <v>800</v>
      </c>
      <c r="G475" s="5">
        <f t="shared" si="55"/>
        <v>1.01</v>
      </c>
      <c r="H475" s="6" t="str">
        <f t="shared" si="50"/>
        <v>INSERT INTO public.coupon (plancode, age, "year", couponrate, benefittype, benefitrate, premiumrate) VALUES('EN60', 17, 53, 8, 'A',800, 1.01);</v>
      </c>
      <c r="I475" s="6" t="str">
        <f t="shared" si="51"/>
        <v>{"age":"17", "year":"53", "couponrate":"8", "benefittype":"A", "benefitrate":"800", "premiumrate":"1.01"}</v>
      </c>
      <c r="J475" s="6" t="str">
        <f t="shared" si="52"/>
        <v>,</v>
      </c>
    </row>
    <row r="476" spans="1:10">
      <c r="A476" s="4" t="str">
        <f>'EN60'!A$3</f>
        <v>EN60</v>
      </c>
      <c r="B476" s="4">
        <f t="shared" si="53"/>
        <v>17</v>
      </c>
      <c r="C476" s="4">
        <f t="shared" si="54"/>
        <v>54</v>
      </c>
      <c r="D476" s="4">
        <f t="shared" si="48"/>
        <v>8</v>
      </c>
      <c r="E476" s="4" t="s">
        <v>27</v>
      </c>
      <c r="F476" s="4">
        <f t="shared" si="49"/>
        <v>800</v>
      </c>
      <c r="G476" s="5">
        <f t="shared" si="55"/>
        <v>1.01</v>
      </c>
      <c r="H476" s="6" t="str">
        <f t="shared" si="50"/>
        <v>INSERT INTO public.coupon (plancode, age, "year", couponrate, benefittype, benefitrate, premiumrate) VALUES('EN60', 17, 54, 8, 'A',800, 1.01);</v>
      </c>
      <c r="I476" s="6" t="str">
        <f t="shared" si="51"/>
        <v>{"age":"17", "year":"54", "couponrate":"8", "benefittype":"A", "benefitrate":"800", "premiumrate":"1.01"}</v>
      </c>
      <c r="J476" s="6" t="str">
        <f t="shared" si="52"/>
        <v>,</v>
      </c>
    </row>
    <row r="477" spans="1:10">
      <c r="A477" s="4" t="str">
        <f>'EN60'!A$3</f>
        <v>EN60</v>
      </c>
      <c r="B477" s="4">
        <f t="shared" si="53"/>
        <v>17</v>
      </c>
      <c r="C477" s="4">
        <f t="shared" si="54"/>
        <v>55</v>
      </c>
      <c r="D477" s="4">
        <f t="shared" si="48"/>
        <v>8</v>
      </c>
      <c r="E477" s="4" t="s">
        <v>27</v>
      </c>
      <c r="F477" s="4">
        <f t="shared" si="49"/>
        <v>800</v>
      </c>
      <c r="G477" s="5">
        <f t="shared" si="55"/>
        <v>1.01</v>
      </c>
      <c r="H477" s="6" t="str">
        <f t="shared" si="50"/>
        <v>INSERT INTO public.coupon (plancode, age, "year", couponrate, benefittype, benefitrate, premiumrate) VALUES('EN60', 17, 55, 8, 'A',800, 1.01);</v>
      </c>
      <c r="I477" s="6" t="str">
        <f t="shared" si="51"/>
        <v>{"age":"17", "year":"55", "couponrate":"8", "benefittype":"A", "benefitrate":"800", "premiumrate":"1.01"}</v>
      </c>
      <c r="J477" s="6" t="str">
        <f t="shared" si="52"/>
        <v>,</v>
      </c>
    </row>
    <row r="478" spans="1:10">
      <c r="A478" s="4" t="str">
        <f>'EN60'!A$3</f>
        <v>EN60</v>
      </c>
      <c r="B478" s="4">
        <f t="shared" si="53"/>
        <v>17</v>
      </c>
      <c r="C478" s="4">
        <f t="shared" si="54"/>
        <v>56</v>
      </c>
      <c r="D478" s="4">
        <f t="shared" si="48"/>
        <v>8</v>
      </c>
      <c r="E478" s="4" t="s">
        <v>27</v>
      </c>
      <c r="F478" s="4">
        <f t="shared" si="49"/>
        <v>800</v>
      </c>
      <c r="G478" s="5">
        <f t="shared" si="55"/>
        <v>1.01</v>
      </c>
      <c r="H478" s="6" t="str">
        <f t="shared" si="50"/>
        <v>INSERT INTO public.coupon (plancode, age, "year", couponrate, benefittype, benefitrate, premiumrate) VALUES('EN60', 17, 56, 8, 'A',800, 1.01);</v>
      </c>
      <c r="I478" s="6" t="str">
        <f t="shared" si="51"/>
        <v>{"age":"17", "year":"56", "couponrate":"8", "benefittype":"A", "benefitrate":"800", "premiumrate":"1.01"}</v>
      </c>
      <c r="J478" s="6" t="str">
        <f t="shared" si="52"/>
        <v>,</v>
      </c>
    </row>
    <row r="479" spans="1:10">
      <c r="A479" s="4" t="str">
        <f>'EN60'!A$3</f>
        <v>EN60</v>
      </c>
      <c r="B479" s="4">
        <f t="shared" si="53"/>
        <v>17</v>
      </c>
      <c r="C479" s="4">
        <f t="shared" si="54"/>
        <v>57</v>
      </c>
      <c r="D479" s="4">
        <f t="shared" si="48"/>
        <v>8</v>
      </c>
      <c r="E479" s="4" t="s">
        <v>27</v>
      </c>
      <c r="F479" s="4">
        <f t="shared" si="49"/>
        <v>800</v>
      </c>
      <c r="G479" s="5">
        <f t="shared" si="55"/>
        <v>1.01</v>
      </c>
      <c r="H479" s="6" t="str">
        <f t="shared" si="50"/>
        <v>INSERT INTO public.coupon (plancode, age, "year", couponrate, benefittype, benefitrate, premiumrate) VALUES('EN60', 17, 57, 8, 'A',800, 1.01);</v>
      </c>
      <c r="I479" s="6" t="str">
        <f t="shared" si="51"/>
        <v>{"age":"17", "year":"57", "couponrate":"8", "benefittype":"A", "benefitrate":"800", "premiumrate":"1.01"}</v>
      </c>
      <c r="J479" s="6" t="str">
        <f t="shared" si="52"/>
        <v>,</v>
      </c>
    </row>
    <row r="480" spans="1:10">
      <c r="A480" s="4" t="str">
        <f>'EN60'!A$3</f>
        <v>EN60</v>
      </c>
      <c r="B480" s="4">
        <f t="shared" si="53"/>
        <v>17</v>
      </c>
      <c r="C480" s="4">
        <f t="shared" si="54"/>
        <v>58</v>
      </c>
      <c r="D480" s="4">
        <f t="shared" si="48"/>
        <v>8</v>
      </c>
      <c r="E480" s="4" t="s">
        <v>27</v>
      </c>
      <c r="F480" s="4">
        <f t="shared" si="49"/>
        <v>800</v>
      </c>
      <c r="G480" s="5">
        <f t="shared" si="55"/>
        <v>1.01</v>
      </c>
      <c r="H480" s="6" t="str">
        <f t="shared" si="50"/>
        <v>INSERT INTO public.coupon (plancode, age, "year", couponrate, benefittype, benefitrate, premiumrate) VALUES('EN60', 17, 58, 8, 'A',800, 1.01);</v>
      </c>
      <c r="I480" s="6" t="str">
        <f t="shared" si="51"/>
        <v>{"age":"17", "year":"58", "couponrate":"8", "benefittype":"A", "benefitrate":"800", "premiumrate":"1.01"}</v>
      </c>
      <c r="J480" s="6" t="str">
        <f t="shared" si="52"/>
        <v>,</v>
      </c>
    </row>
    <row r="481" spans="1:10">
      <c r="A481" s="4" t="str">
        <f>'EN60'!A$3</f>
        <v>EN60</v>
      </c>
      <c r="B481" s="4">
        <f t="shared" si="53"/>
        <v>17</v>
      </c>
      <c r="C481" s="4">
        <f t="shared" si="54"/>
        <v>59</v>
      </c>
      <c r="D481" s="4">
        <f t="shared" si="48"/>
        <v>8</v>
      </c>
      <c r="E481" s="4" t="s">
        <v>27</v>
      </c>
      <c r="F481" s="4">
        <f t="shared" si="49"/>
        <v>800</v>
      </c>
      <c r="G481" s="5">
        <f t="shared" si="55"/>
        <v>1.01</v>
      </c>
      <c r="H481" s="6" t="str">
        <f t="shared" si="50"/>
        <v>INSERT INTO public.coupon (plancode, age, "year", couponrate, benefittype, benefitrate, premiumrate) VALUES('EN60', 17, 59, 8, 'A',800, 1.01);</v>
      </c>
      <c r="I481" s="6" t="str">
        <f t="shared" si="51"/>
        <v>{"age":"17", "year":"59", "couponrate":"8", "benefittype":"A", "benefitrate":"800", "premiumrate":"1.01"}</v>
      </c>
      <c r="J481" s="6" t="str">
        <f t="shared" si="52"/>
        <v>,</v>
      </c>
    </row>
    <row r="482" spans="1:10">
      <c r="A482" s="4" t="str">
        <f>'EN60'!A$3</f>
        <v>EN60</v>
      </c>
      <c r="B482" s="4">
        <f t="shared" si="53"/>
        <v>17</v>
      </c>
      <c r="C482" s="4">
        <f t="shared" si="54"/>
        <v>60</v>
      </c>
      <c r="D482" s="4">
        <f t="shared" si="48"/>
        <v>8</v>
      </c>
      <c r="E482" s="4" t="s">
        <v>27</v>
      </c>
      <c r="F482" s="4">
        <f t="shared" si="49"/>
        <v>800</v>
      </c>
      <c r="G482" s="5">
        <f t="shared" si="55"/>
        <v>1.01</v>
      </c>
      <c r="H482" s="6" t="str">
        <f t="shared" si="50"/>
        <v>INSERT INTO public.coupon (plancode, age, "year", couponrate, benefittype, benefitrate, premiumrate) VALUES('EN60', 17, 60, 8, 'A',800, 1.01);</v>
      </c>
      <c r="I482" s="6" t="str">
        <f t="shared" si="51"/>
        <v>{"age":"17", "year":"60", "couponrate":"8", "benefittype":"A", "benefitrate":"800", "premiumrate":"1.01"}</v>
      </c>
      <c r="J482" s="6" t="str">
        <f t="shared" si="52"/>
        <v>,</v>
      </c>
    </row>
    <row r="483" spans="1:10">
      <c r="A483" s="4" t="str">
        <f>'EN60'!A$3</f>
        <v>EN60</v>
      </c>
      <c r="B483" s="4">
        <f t="shared" si="53"/>
        <v>17</v>
      </c>
      <c r="C483" s="4">
        <f t="shared" si="54"/>
        <v>61</v>
      </c>
      <c r="D483" s="4">
        <f t="shared" si="48"/>
        <v>8</v>
      </c>
      <c r="E483" s="4" t="s">
        <v>27</v>
      </c>
      <c r="F483" s="4">
        <f t="shared" si="49"/>
        <v>800</v>
      </c>
      <c r="G483" s="5">
        <f t="shared" si="55"/>
        <v>1.01</v>
      </c>
      <c r="H483" s="6" t="str">
        <f t="shared" si="50"/>
        <v>INSERT INTO public.coupon (plancode, age, "year", couponrate, benefittype, benefitrate, premiumrate) VALUES('EN60', 17, 61, 8, 'A',800, 1.01);</v>
      </c>
      <c r="I483" s="6" t="str">
        <f t="shared" si="51"/>
        <v>{"age":"17", "year":"61", "couponrate":"8", "benefittype":"A", "benefitrate":"800", "premiumrate":"1.01"}</v>
      </c>
      <c r="J483" s="6" t="str">
        <f t="shared" si="52"/>
        <v>,</v>
      </c>
    </row>
    <row r="484" spans="1:10">
      <c r="A484" s="4" t="str">
        <f>'EN60'!A$3</f>
        <v>EN60</v>
      </c>
      <c r="B484" s="4">
        <f t="shared" si="53"/>
        <v>17</v>
      </c>
      <c r="C484" s="4">
        <f t="shared" si="54"/>
        <v>62</v>
      </c>
      <c r="D484" s="4">
        <f t="shared" si="48"/>
        <v>8</v>
      </c>
      <c r="E484" s="4" t="s">
        <v>27</v>
      </c>
      <c r="F484" s="4">
        <f t="shared" si="49"/>
        <v>800</v>
      </c>
      <c r="G484" s="5">
        <f t="shared" si="55"/>
        <v>1.01</v>
      </c>
      <c r="H484" s="6" t="str">
        <f t="shared" si="50"/>
        <v>INSERT INTO public.coupon (plancode, age, "year", couponrate, benefittype, benefitrate, premiumrate) VALUES('EN60', 17, 62, 8, 'A',800, 1.01);</v>
      </c>
      <c r="I484" s="6" t="str">
        <f t="shared" si="51"/>
        <v>{"age":"17", "year":"62", "couponrate":"8", "benefittype":"A", "benefitrate":"800", "premiumrate":"1.01"}</v>
      </c>
      <c r="J484" s="6" t="str">
        <f t="shared" si="52"/>
        <v>,</v>
      </c>
    </row>
    <row r="485" spans="1:10">
      <c r="A485" s="4" t="str">
        <f>'EN60'!A$3</f>
        <v>EN60</v>
      </c>
      <c r="B485" s="4">
        <f t="shared" si="53"/>
        <v>17</v>
      </c>
      <c r="C485" s="4">
        <f t="shared" si="54"/>
        <v>63</v>
      </c>
      <c r="D485" s="4">
        <f t="shared" si="48"/>
        <v>0</v>
      </c>
      <c r="E485" s="4" t="s">
        <v>27</v>
      </c>
      <c r="F485" s="4">
        <f t="shared" si="49"/>
        <v>800</v>
      </c>
      <c r="G485" s="5">
        <f t="shared" si="55"/>
        <v>1.01</v>
      </c>
      <c r="H485" s="6" t="str">
        <f t="shared" si="50"/>
        <v>INSERT INTO public.coupon (plancode, age, "year", couponrate, benefittype, benefitrate, premiumrate) VALUES('EN60', 17, 63, 0, 'A',800, 1.01);</v>
      </c>
      <c r="I485" s="6" t="str">
        <f t="shared" si="51"/>
        <v>{"age":"17", "year":"63", "couponrate":"0", "benefittype":"A", "benefitrate":"800", "premiumrate":"1.01"}</v>
      </c>
    </row>
    <row r="486" spans="1:10">
      <c r="C486" s="6"/>
      <c r="I486" s="6" t="s">
        <v>28</v>
      </c>
    </row>
    <row r="487" spans="1:10">
      <c r="A487" s="3" t="s">
        <v>2</v>
      </c>
      <c r="B487" s="3" t="s">
        <v>23</v>
      </c>
      <c r="C487" s="3" t="s">
        <v>24</v>
      </c>
      <c r="D487" s="3" t="s">
        <v>25</v>
      </c>
      <c r="E487" s="3" t="s">
        <v>8</v>
      </c>
      <c r="F487" s="3" t="s">
        <v>26</v>
      </c>
      <c r="G487" s="3" t="s">
        <v>4</v>
      </c>
      <c r="I487" s="6" t="str">
        <f>"[{""plancode"":"""&amp;A488&amp;""",""returncash"":"""&amp;B$7&amp;""",""ytable"":"""&amp;C$7&amp;""",""maturerate"":"""&amp;B$3&amp;""",""maturepmrate"":"""&amp;C$3&amp;""",""coupon"":["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488" spans="1:10">
      <c r="A488" s="4" t="str">
        <f>'EN60'!A$3</f>
        <v>EN60</v>
      </c>
      <c r="B488" s="8">
        <v>18</v>
      </c>
      <c r="C488" s="4">
        <v>1</v>
      </c>
      <c r="D488" s="4">
        <f t="shared" ref="D488:D549" si="56">IF(C488+B488=80,0,8)</f>
        <v>8</v>
      </c>
      <c r="E488" s="4" t="s">
        <v>27</v>
      </c>
      <c r="F488" s="4">
        <f t="shared" ref="F488:F549" si="57">IF(C488&gt;7, 800, C488*100)</f>
        <v>100</v>
      </c>
      <c r="G488" s="5">
        <f>'EN60'!C$3</f>
        <v>1.01</v>
      </c>
      <c r="H488" s="6" t="str">
        <f t="shared" ref="H488:H549" si="58">"INSERT INTO public.coupon ("&amp;A$11&amp;", "&amp;B$11&amp;", """&amp;C$11&amp;""", "&amp;D$11&amp;", "&amp;E$11&amp;", "&amp;F$11&amp;", "&amp;G$11&amp;") VALUES('"&amp;A488&amp;"', "&amp;B488&amp;", "&amp;C488&amp;", "&amp;D488&amp;", '"&amp;E488&amp;"',"&amp;F488&amp;", "&amp;G488&amp;");"</f>
        <v>INSERT INTO public.coupon (plancode, age, "year", couponrate, benefittype, benefitrate, premiumrate) VALUES('EN60', 18, 1, 8, 'A',100, 1.01);</v>
      </c>
      <c r="I488" s="6" t="str">
        <f t="shared" ref="I488:I549" si="59">"{""age"":"""&amp;B488&amp;""", ""year"":"""&amp;C488&amp;""", ""couponrate"":"""&amp;D488&amp;""", ""benefittype"":"""&amp;E488&amp;""", ""benefitrate"":"""&amp;F488&amp;""", """&amp;G$11&amp;""":"""&amp;G488&amp;"""}"</f>
        <v>{"age":"18", "year":"1", "couponrate":"8", "benefittype":"A", "benefitrate":"100", "premiumrate":"1.01"}</v>
      </c>
      <c r="J488" s="6" t="str">
        <f t="shared" ref="J488:J548" si="60">IF(OR(I489="]", I488="[", I488="]"), "", ",")</f>
        <v>,</v>
      </c>
    </row>
    <row r="489" spans="1:10">
      <c r="A489" s="4" t="str">
        <f>'EN60'!A$3</f>
        <v>EN60</v>
      </c>
      <c r="B489" s="4">
        <f t="shared" ref="B489:B549" si="61">B488</f>
        <v>18</v>
      </c>
      <c r="C489" s="4">
        <f t="shared" ref="C489:C549" si="62">C488+1</f>
        <v>2</v>
      </c>
      <c r="D489" s="4">
        <f t="shared" si="56"/>
        <v>8</v>
      </c>
      <c r="E489" s="4" t="s">
        <v>27</v>
      </c>
      <c r="F489" s="4">
        <f t="shared" si="57"/>
        <v>200</v>
      </c>
      <c r="G489" s="5">
        <f t="shared" ref="G489:G549" si="63">G488</f>
        <v>1.01</v>
      </c>
      <c r="H489" s="6" t="str">
        <f t="shared" si="58"/>
        <v>INSERT INTO public.coupon (plancode, age, "year", couponrate, benefittype, benefitrate, premiumrate) VALUES('EN60', 18, 2, 8, 'A',200, 1.01);</v>
      </c>
      <c r="I489" s="6" t="str">
        <f t="shared" si="59"/>
        <v>{"age":"18", "year":"2", "couponrate":"8", "benefittype":"A", "benefitrate":"200", "premiumrate":"1.01"}</v>
      </c>
      <c r="J489" s="6" t="str">
        <f t="shared" si="60"/>
        <v>,</v>
      </c>
    </row>
    <row r="490" spans="1:10">
      <c r="A490" s="4" t="str">
        <f>'EN60'!A$3</f>
        <v>EN60</v>
      </c>
      <c r="B490" s="4">
        <f t="shared" si="61"/>
        <v>18</v>
      </c>
      <c r="C490" s="4">
        <f t="shared" si="62"/>
        <v>3</v>
      </c>
      <c r="D490" s="4">
        <f t="shared" si="56"/>
        <v>8</v>
      </c>
      <c r="E490" s="4" t="s">
        <v>27</v>
      </c>
      <c r="F490" s="4">
        <f t="shared" si="57"/>
        <v>300</v>
      </c>
      <c r="G490" s="5">
        <f t="shared" si="63"/>
        <v>1.01</v>
      </c>
      <c r="H490" s="6" t="str">
        <f t="shared" si="58"/>
        <v>INSERT INTO public.coupon (plancode, age, "year", couponrate, benefittype, benefitrate, premiumrate) VALUES('EN60', 18, 3, 8, 'A',300, 1.01);</v>
      </c>
      <c r="I490" s="6" t="str">
        <f t="shared" si="59"/>
        <v>{"age":"18", "year":"3", "couponrate":"8", "benefittype":"A", "benefitrate":"300", "premiumrate":"1.01"}</v>
      </c>
      <c r="J490" s="6" t="str">
        <f t="shared" si="60"/>
        <v>,</v>
      </c>
    </row>
    <row r="491" spans="1:10">
      <c r="A491" s="4" t="str">
        <f>'EN60'!A$3</f>
        <v>EN60</v>
      </c>
      <c r="B491" s="4">
        <f t="shared" si="61"/>
        <v>18</v>
      </c>
      <c r="C491" s="4">
        <f t="shared" si="62"/>
        <v>4</v>
      </c>
      <c r="D491" s="4">
        <f t="shared" si="56"/>
        <v>8</v>
      </c>
      <c r="E491" s="4" t="s">
        <v>27</v>
      </c>
      <c r="F491" s="4">
        <f t="shared" si="57"/>
        <v>400</v>
      </c>
      <c r="G491" s="5">
        <f t="shared" si="63"/>
        <v>1.01</v>
      </c>
      <c r="H491" s="6" t="str">
        <f t="shared" si="58"/>
        <v>INSERT INTO public.coupon (plancode, age, "year", couponrate, benefittype, benefitrate, premiumrate) VALUES('EN60', 18, 4, 8, 'A',400, 1.01);</v>
      </c>
      <c r="I491" s="6" t="str">
        <f t="shared" si="59"/>
        <v>{"age":"18", "year":"4", "couponrate":"8", "benefittype":"A", "benefitrate":"400", "premiumrate":"1.01"}</v>
      </c>
      <c r="J491" s="6" t="str">
        <f t="shared" si="60"/>
        <v>,</v>
      </c>
    </row>
    <row r="492" spans="1:10">
      <c r="A492" s="4" t="str">
        <f>'EN60'!A$3</f>
        <v>EN60</v>
      </c>
      <c r="B492" s="4">
        <f t="shared" si="61"/>
        <v>18</v>
      </c>
      <c r="C492" s="4">
        <f t="shared" si="62"/>
        <v>5</v>
      </c>
      <c r="D492" s="4">
        <f t="shared" si="56"/>
        <v>8</v>
      </c>
      <c r="E492" s="4" t="s">
        <v>27</v>
      </c>
      <c r="F492" s="4">
        <f t="shared" si="57"/>
        <v>500</v>
      </c>
      <c r="G492" s="5">
        <f t="shared" si="63"/>
        <v>1.01</v>
      </c>
      <c r="H492" s="6" t="str">
        <f t="shared" si="58"/>
        <v>INSERT INTO public.coupon (plancode, age, "year", couponrate, benefittype, benefitrate, premiumrate) VALUES('EN60', 18, 5, 8, 'A',500, 1.01);</v>
      </c>
      <c r="I492" s="6" t="str">
        <f t="shared" si="59"/>
        <v>{"age":"18", "year":"5", "couponrate":"8", "benefittype":"A", "benefitrate":"500", "premiumrate":"1.01"}</v>
      </c>
      <c r="J492" s="6" t="str">
        <f t="shared" si="60"/>
        <v>,</v>
      </c>
    </row>
    <row r="493" spans="1:10">
      <c r="A493" s="4" t="str">
        <f>'EN60'!A$3</f>
        <v>EN60</v>
      </c>
      <c r="B493" s="4">
        <f t="shared" si="61"/>
        <v>18</v>
      </c>
      <c r="C493" s="4">
        <f t="shared" si="62"/>
        <v>6</v>
      </c>
      <c r="D493" s="4">
        <f t="shared" si="56"/>
        <v>8</v>
      </c>
      <c r="E493" s="4" t="s">
        <v>27</v>
      </c>
      <c r="F493" s="4">
        <f t="shared" si="57"/>
        <v>600</v>
      </c>
      <c r="G493" s="5">
        <f t="shared" si="63"/>
        <v>1.01</v>
      </c>
      <c r="H493" s="6" t="str">
        <f t="shared" si="58"/>
        <v>INSERT INTO public.coupon (plancode, age, "year", couponrate, benefittype, benefitrate, premiumrate) VALUES('EN60', 18, 6, 8, 'A',600, 1.01);</v>
      </c>
      <c r="I493" s="6" t="str">
        <f t="shared" si="59"/>
        <v>{"age":"18", "year":"6", "couponrate":"8", "benefittype":"A", "benefitrate":"600", "premiumrate":"1.01"}</v>
      </c>
      <c r="J493" s="6" t="str">
        <f t="shared" si="60"/>
        <v>,</v>
      </c>
    </row>
    <row r="494" spans="1:10">
      <c r="A494" s="4" t="str">
        <f>'EN60'!A$3</f>
        <v>EN60</v>
      </c>
      <c r="B494" s="4">
        <f t="shared" si="61"/>
        <v>18</v>
      </c>
      <c r="C494" s="4">
        <f t="shared" si="62"/>
        <v>7</v>
      </c>
      <c r="D494" s="4">
        <f t="shared" si="56"/>
        <v>8</v>
      </c>
      <c r="E494" s="4" t="s">
        <v>27</v>
      </c>
      <c r="F494" s="4">
        <f t="shared" si="57"/>
        <v>700</v>
      </c>
      <c r="G494" s="5">
        <f t="shared" si="63"/>
        <v>1.01</v>
      </c>
      <c r="H494" s="6" t="str">
        <f t="shared" si="58"/>
        <v>INSERT INTO public.coupon (plancode, age, "year", couponrate, benefittype, benefitrate, premiumrate) VALUES('EN60', 18, 7, 8, 'A',700, 1.01);</v>
      </c>
      <c r="I494" s="6" t="str">
        <f t="shared" si="59"/>
        <v>{"age":"18", "year":"7", "couponrate":"8", "benefittype":"A", "benefitrate":"700", "premiumrate":"1.01"}</v>
      </c>
      <c r="J494" s="6" t="str">
        <f t="shared" si="60"/>
        <v>,</v>
      </c>
    </row>
    <row r="495" spans="1:10">
      <c r="A495" s="4" t="str">
        <f>'EN60'!A$3</f>
        <v>EN60</v>
      </c>
      <c r="B495" s="4">
        <f t="shared" si="61"/>
        <v>18</v>
      </c>
      <c r="C495" s="4">
        <f t="shared" si="62"/>
        <v>8</v>
      </c>
      <c r="D495" s="4">
        <f t="shared" si="56"/>
        <v>8</v>
      </c>
      <c r="E495" s="4" t="s">
        <v>27</v>
      </c>
      <c r="F495" s="4">
        <f t="shared" si="57"/>
        <v>800</v>
      </c>
      <c r="G495" s="5">
        <f t="shared" si="63"/>
        <v>1.01</v>
      </c>
      <c r="H495" s="6" t="str">
        <f t="shared" si="58"/>
        <v>INSERT INTO public.coupon (plancode, age, "year", couponrate, benefittype, benefitrate, premiumrate) VALUES('EN60', 18, 8, 8, 'A',800, 1.01);</v>
      </c>
      <c r="I495" s="6" t="str">
        <f t="shared" si="59"/>
        <v>{"age":"18", "year":"8", "couponrate":"8", "benefittype":"A", "benefitrate":"800", "premiumrate":"1.01"}</v>
      </c>
      <c r="J495" s="6" t="str">
        <f t="shared" si="60"/>
        <v>,</v>
      </c>
    </row>
    <row r="496" spans="1:10">
      <c r="A496" s="4" t="str">
        <f>'EN60'!A$3</f>
        <v>EN60</v>
      </c>
      <c r="B496" s="4">
        <f t="shared" si="61"/>
        <v>18</v>
      </c>
      <c r="C496" s="4">
        <f t="shared" si="62"/>
        <v>9</v>
      </c>
      <c r="D496" s="4">
        <f t="shared" si="56"/>
        <v>8</v>
      </c>
      <c r="E496" s="4" t="s">
        <v>27</v>
      </c>
      <c r="F496" s="4">
        <f t="shared" si="57"/>
        <v>800</v>
      </c>
      <c r="G496" s="5">
        <f t="shared" si="63"/>
        <v>1.01</v>
      </c>
      <c r="H496" s="6" t="str">
        <f t="shared" si="58"/>
        <v>INSERT INTO public.coupon (plancode, age, "year", couponrate, benefittype, benefitrate, premiumrate) VALUES('EN60', 18, 9, 8, 'A',800, 1.01);</v>
      </c>
      <c r="I496" s="6" t="str">
        <f t="shared" si="59"/>
        <v>{"age":"18", "year":"9", "couponrate":"8", "benefittype":"A", "benefitrate":"800", "premiumrate":"1.01"}</v>
      </c>
      <c r="J496" s="6" t="str">
        <f t="shared" si="60"/>
        <v>,</v>
      </c>
    </row>
    <row r="497" spans="1:10">
      <c r="A497" s="4" t="str">
        <f>'EN60'!A$3</f>
        <v>EN60</v>
      </c>
      <c r="B497" s="4">
        <f t="shared" si="61"/>
        <v>18</v>
      </c>
      <c r="C497" s="4">
        <f t="shared" si="62"/>
        <v>10</v>
      </c>
      <c r="D497" s="4">
        <f t="shared" si="56"/>
        <v>8</v>
      </c>
      <c r="E497" s="4" t="s">
        <v>27</v>
      </c>
      <c r="F497" s="4">
        <f t="shared" si="57"/>
        <v>800</v>
      </c>
      <c r="G497" s="5">
        <f t="shared" si="63"/>
        <v>1.01</v>
      </c>
      <c r="H497" s="6" t="str">
        <f t="shared" si="58"/>
        <v>INSERT INTO public.coupon (plancode, age, "year", couponrate, benefittype, benefitrate, premiumrate) VALUES('EN60', 18, 10, 8, 'A',800, 1.01);</v>
      </c>
      <c r="I497" s="6" t="str">
        <f t="shared" si="59"/>
        <v>{"age":"18", "year":"10", "couponrate":"8", "benefittype":"A", "benefitrate":"800", "premiumrate":"1.01"}</v>
      </c>
      <c r="J497" s="6" t="str">
        <f t="shared" si="60"/>
        <v>,</v>
      </c>
    </row>
    <row r="498" spans="1:10">
      <c r="A498" s="4" t="str">
        <f>'EN60'!A$3</f>
        <v>EN60</v>
      </c>
      <c r="B498" s="4">
        <f t="shared" si="61"/>
        <v>18</v>
      </c>
      <c r="C498" s="4">
        <f t="shared" si="62"/>
        <v>11</v>
      </c>
      <c r="D498" s="4">
        <f t="shared" si="56"/>
        <v>8</v>
      </c>
      <c r="E498" s="4" t="s">
        <v>27</v>
      </c>
      <c r="F498" s="4">
        <f t="shared" si="57"/>
        <v>800</v>
      </c>
      <c r="G498" s="5">
        <f t="shared" si="63"/>
        <v>1.01</v>
      </c>
      <c r="H498" s="6" t="str">
        <f t="shared" si="58"/>
        <v>INSERT INTO public.coupon (plancode, age, "year", couponrate, benefittype, benefitrate, premiumrate) VALUES('EN60', 18, 11, 8, 'A',800, 1.01);</v>
      </c>
      <c r="I498" s="6" t="str">
        <f t="shared" si="59"/>
        <v>{"age":"18", "year":"11", "couponrate":"8", "benefittype":"A", "benefitrate":"800", "premiumrate":"1.01"}</v>
      </c>
      <c r="J498" s="6" t="str">
        <f t="shared" si="60"/>
        <v>,</v>
      </c>
    </row>
    <row r="499" spans="1:10">
      <c r="A499" s="4" t="str">
        <f>'EN60'!A$3</f>
        <v>EN60</v>
      </c>
      <c r="B499" s="4">
        <f t="shared" si="61"/>
        <v>18</v>
      </c>
      <c r="C499" s="4">
        <f t="shared" si="62"/>
        <v>12</v>
      </c>
      <c r="D499" s="4">
        <f t="shared" si="56"/>
        <v>8</v>
      </c>
      <c r="E499" s="4" t="s">
        <v>27</v>
      </c>
      <c r="F499" s="4">
        <f t="shared" si="57"/>
        <v>800</v>
      </c>
      <c r="G499" s="5">
        <f t="shared" si="63"/>
        <v>1.01</v>
      </c>
      <c r="H499" s="6" t="str">
        <f t="shared" si="58"/>
        <v>INSERT INTO public.coupon (plancode, age, "year", couponrate, benefittype, benefitrate, premiumrate) VALUES('EN60', 18, 12, 8, 'A',800, 1.01);</v>
      </c>
      <c r="I499" s="6" t="str">
        <f t="shared" si="59"/>
        <v>{"age":"18", "year":"12", "couponrate":"8", "benefittype":"A", "benefitrate":"800", "premiumrate":"1.01"}</v>
      </c>
      <c r="J499" s="6" t="str">
        <f t="shared" si="60"/>
        <v>,</v>
      </c>
    </row>
    <row r="500" spans="1:10">
      <c r="A500" s="4" t="str">
        <f>'EN60'!A$3</f>
        <v>EN60</v>
      </c>
      <c r="B500" s="4">
        <f t="shared" si="61"/>
        <v>18</v>
      </c>
      <c r="C500" s="4">
        <f t="shared" si="62"/>
        <v>13</v>
      </c>
      <c r="D500" s="4">
        <f t="shared" si="56"/>
        <v>8</v>
      </c>
      <c r="E500" s="4" t="s">
        <v>27</v>
      </c>
      <c r="F500" s="4">
        <f t="shared" si="57"/>
        <v>800</v>
      </c>
      <c r="G500" s="5">
        <f t="shared" si="63"/>
        <v>1.01</v>
      </c>
      <c r="H500" s="6" t="str">
        <f t="shared" si="58"/>
        <v>INSERT INTO public.coupon (plancode, age, "year", couponrate, benefittype, benefitrate, premiumrate) VALUES('EN60', 18, 13, 8, 'A',800, 1.01);</v>
      </c>
      <c r="I500" s="6" t="str">
        <f t="shared" si="59"/>
        <v>{"age":"18", "year":"13", "couponrate":"8", "benefittype":"A", "benefitrate":"800", "premiumrate":"1.01"}</v>
      </c>
      <c r="J500" s="6" t="str">
        <f t="shared" si="60"/>
        <v>,</v>
      </c>
    </row>
    <row r="501" spans="1:10">
      <c r="A501" s="4" t="str">
        <f>'EN60'!A$3</f>
        <v>EN60</v>
      </c>
      <c r="B501" s="4">
        <f t="shared" si="61"/>
        <v>18</v>
      </c>
      <c r="C501" s="4">
        <f t="shared" si="62"/>
        <v>14</v>
      </c>
      <c r="D501" s="4">
        <f t="shared" si="56"/>
        <v>8</v>
      </c>
      <c r="E501" s="4" t="s">
        <v>27</v>
      </c>
      <c r="F501" s="4">
        <f t="shared" si="57"/>
        <v>800</v>
      </c>
      <c r="G501" s="5">
        <f t="shared" si="63"/>
        <v>1.01</v>
      </c>
      <c r="H501" s="6" t="str">
        <f t="shared" si="58"/>
        <v>INSERT INTO public.coupon (plancode, age, "year", couponrate, benefittype, benefitrate, premiumrate) VALUES('EN60', 18, 14, 8, 'A',800, 1.01);</v>
      </c>
      <c r="I501" s="6" t="str">
        <f t="shared" si="59"/>
        <v>{"age":"18", "year":"14", "couponrate":"8", "benefittype":"A", "benefitrate":"800", "premiumrate":"1.01"}</v>
      </c>
      <c r="J501" s="6" t="str">
        <f t="shared" si="60"/>
        <v>,</v>
      </c>
    </row>
    <row r="502" spans="1:10">
      <c r="A502" s="4" t="str">
        <f>'EN60'!A$3</f>
        <v>EN60</v>
      </c>
      <c r="B502" s="4">
        <f t="shared" si="61"/>
        <v>18</v>
      </c>
      <c r="C502" s="4">
        <f t="shared" si="62"/>
        <v>15</v>
      </c>
      <c r="D502" s="4">
        <f t="shared" si="56"/>
        <v>8</v>
      </c>
      <c r="E502" s="4" t="s">
        <v>27</v>
      </c>
      <c r="F502" s="4">
        <f t="shared" si="57"/>
        <v>800</v>
      </c>
      <c r="G502" s="5">
        <f t="shared" si="63"/>
        <v>1.01</v>
      </c>
      <c r="H502" s="6" t="str">
        <f t="shared" si="58"/>
        <v>INSERT INTO public.coupon (plancode, age, "year", couponrate, benefittype, benefitrate, premiumrate) VALUES('EN60', 18, 15, 8, 'A',800, 1.01);</v>
      </c>
      <c r="I502" s="6" t="str">
        <f t="shared" si="59"/>
        <v>{"age":"18", "year":"15", "couponrate":"8", "benefittype":"A", "benefitrate":"800", "premiumrate":"1.01"}</v>
      </c>
      <c r="J502" s="6" t="str">
        <f t="shared" si="60"/>
        <v>,</v>
      </c>
    </row>
    <row r="503" spans="1:10">
      <c r="A503" s="4" t="str">
        <f>'EN60'!A$3</f>
        <v>EN60</v>
      </c>
      <c r="B503" s="4">
        <f t="shared" si="61"/>
        <v>18</v>
      </c>
      <c r="C503" s="4">
        <f t="shared" si="62"/>
        <v>16</v>
      </c>
      <c r="D503" s="4">
        <f t="shared" si="56"/>
        <v>8</v>
      </c>
      <c r="E503" s="4" t="s">
        <v>27</v>
      </c>
      <c r="F503" s="4">
        <f t="shared" si="57"/>
        <v>800</v>
      </c>
      <c r="G503" s="5">
        <f t="shared" si="63"/>
        <v>1.01</v>
      </c>
      <c r="H503" s="6" t="str">
        <f t="shared" si="58"/>
        <v>INSERT INTO public.coupon (plancode, age, "year", couponrate, benefittype, benefitrate, premiumrate) VALUES('EN60', 18, 16, 8, 'A',800, 1.01);</v>
      </c>
      <c r="I503" s="6" t="str">
        <f t="shared" si="59"/>
        <v>{"age":"18", "year":"16", "couponrate":"8", "benefittype":"A", "benefitrate":"800", "premiumrate":"1.01"}</v>
      </c>
      <c r="J503" s="6" t="str">
        <f t="shared" si="60"/>
        <v>,</v>
      </c>
    </row>
    <row r="504" spans="1:10">
      <c r="A504" s="4" t="str">
        <f>'EN60'!A$3</f>
        <v>EN60</v>
      </c>
      <c r="B504" s="4">
        <f t="shared" si="61"/>
        <v>18</v>
      </c>
      <c r="C504" s="4">
        <f t="shared" si="62"/>
        <v>17</v>
      </c>
      <c r="D504" s="4">
        <f t="shared" si="56"/>
        <v>8</v>
      </c>
      <c r="E504" s="4" t="s">
        <v>27</v>
      </c>
      <c r="F504" s="4">
        <f t="shared" si="57"/>
        <v>800</v>
      </c>
      <c r="G504" s="5">
        <f t="shared" si="63"/>
        <v>1.01</v>
      </c>
      <c r="H504" s="6" t="str">
        <f t="shared" si="58"/>
        <v>INSERT INTO public.coupon (plancode, age, "year", couponrate, benefittype, benefitrate, premiumrate) VALUES('EN60', 18, 17, 8, 'A',800, 1.01);</v>
      </c>
      <c r="I504" s="6" t="str">
        <f t="shared" si="59"/>
        <v>{"age":"18", "year":"17", "couponrate":"8", "benefittype":"A", "benefitrate":"800", "premiumrate":"1.01"}</v>
      </c>
      <c r="J504" s="6" t="str">
        <f t="shared" si="60"/>
        <v>,</v>
      </c>
    </row>
    <row r="505" spans="1:10">
      <c r="A505" s="4" t="str">
        <f>'EN60'!A$3</f>
        <v>EN60</v>
      </c>
      <c r="B505" s="4">
        <f t="shared" si="61"/>
        <v>18</v>
      </c>
      <c r="C505" s="4">
        <f t="shared" si="62"/>
        <v>18</v>
      </c>
      <c r="D505" s="4">
        <f t="shared" si="56"/>
        <v>8</v>
      </c>
      <c r="E505" s="4" t="s">
        <v>27</v>
      </c>
      <c r="F505" s="4">
        <f t="shared" si="57"/>
        <v>800</v>
      </c>
      <c r="G505" s="5">
        <f t="shared" si="63"/>
        <v>1.01</v>
      </c>
      <c r="H505" s="6" t="str">
        <f t="shared" si="58"/>
        <v>INSERT INTO public.coupon (plancode, age, "year", couponrate, benefittype, benefitrate, premiumrate) VALUES('EN60', 18, 18, 8, 'A',800, 1.01);</v>
      </c>
      <c r="I505" s="6" t="str">
        <f t="shared" si="59"/>
        <v>{"age":"18", "year":"18", "couponrate":"8", "benefittype":"A", "benefitrate":"800", "premiumrate":"1.01"}</v>
      </c>
      <c r="J505" s="6" t="str">
        <f t="shared" si="60"/>
        <v>,</v>
      </c>
    </row>
    <row r="506" spans="1:10">
      <c r="A506" s="4" t="str">
        <f>'EN60'!A$3</f>
        <v>EN60</v>
      </c>
      <c r="B506" s="4">
        <f t="shared" si="61"/>
        <v>18</v>
      </c>
      <c r="C506" s="4">
        <f t="shared" si="62"/>
        <v>19</v>
      </c>
      <c r="D506" s="4">
        <f t="shared" si="56"/>
        <v>8</v>
      </c>
      <c r="E506" s="4" t="s">
        <v>27</v>
      </c>
      <c r="F506" s="4">
        <f t="shared" si="57"/>
        <v>800</v>
      </c>
      <c r="G506" s="5">
        <f t="shared" si="63"/>
        <v>1.01</v>
      </c>
      <c r="H506" s="6" t="str">
        <f t="shared" si="58"/>
        <v>INSERT INTO public.coupon (plancode, age, "year", couponrate, benefittype, benefitrate, premiumrate) VALUES('EN60', 18, 19, 8, 'A',800, 1.01);</v>
      </c>
      <c r="I506" s="6" t="str">
        <f t="shared" si="59"/>
        <v>{"age":"18", "year":"19", "couponrate":"8", "benefittype":"A", "benefitrate":"800", "premiumrate":"1.01"}</v>
      </c>
      <c r="J506" s="6" t="str">
        <f t="shared" si="60"/>
        <v>,</v>
      </c>
    </row>
    <row r="507" spans="1:10">
      <c r="A507" s="4" t="str">
        <f>'EN60'!A$3</f>
        <v>EN60</v>
      </c>
      <c r="B507" s="4">
        <f t="shared" si="61"/>
        <v>18</v>
      </c>
      <c r="C507" s="4">
        <f t="shared" si="62"/>
        <v>20</v>
      </c>
      <c r="D507" s="4">
        <f t="shared" si="56"/>
        <v>8</v>
      </c>
      <c r="E507" s="4" t="s">
        <v>27</v>
      </c>
      <c r="F507" s="4">
        <f t="shared" si="57"/>
        <v>800</v>
      </c>
      <c r="G507" s="5">
        <f t="shared" si="63"/>
        <v>1.01</v>
      </c>
      <c r="H507" s="6" t="str">
        <f t="shared" si="58"/>
        <v>INSERT INTO public.coupon (plancode, age, "year", couponrate, benefittype, benefitrate, premiumrate) VALUES('EN60', 18, 20, 8, 'A',800, 1.01);</v>
      </c>
      <c r="I507" s="6" t="str">
        <f t="shared" si="59"/>
        <v>{"age":"18", "year":"20", "couponrate":"8", "benefittype":"A", "benefitrate":"800", "premiumrate":"1.01"}</v>
      </c>
      <c r="J507" s="6" t="str">
        <f t="shared" si="60"/>
        <v>,</v>
      </c>
    </row>
    <row r="508" spans="1:10">
      <c r="A508" s="4" t="str">
        <f>'EN60'!A$3</f>
        <v>EN60</v>
      </c>
      <c r="B508" s="4">
        <f t="shared" si="61"/>
        <v>18</v>
      </c>
      <c r="C508" s="4">
        <f t="shared" si="62"/>
        <v>21</v>
      </c>
      <c r="D508" s="4">
        <f t="shared" si="56"/>
        <v>8</v>
      </c>
      <c r="E508" s="4" t="s">
        <v>27</v>
      </c>
      <c r="F508" s="4">
        <f t="shared" si="57"/>
        <v>800</v>
      </c>
      <c r="G508" s="5">
        <f t="shared" si="63"/>
        <v>1.01</v>
      </c>
      <c r="H508" s="6" t="str">
        <f t="shared" si="58"/>
        <v>INSERT INTO public.coupon (plancode, age, "year", couponrate, benefittype, benefitrate, premiumrate) VALUES('EN60', 18, 21, 8, 'A',800, 1.01);</v>
      </c>
      <c r="I508" s="6" t="str">
        <f t="shared" si="59"/>
        <v>{"age":"18", "year":"21", "couponrate":"8", "benefittype":"A", "benefitrate":"800", "premiumrate":"1.01"}</v>
      </c>
      <c r="J508" s="6" t="str">
        <f t="shared" si="60"/>
        <v>,</v>
      </c>
    </row>
    <row r="509" spans="1:10">
      <c r="A509" s="4" t="str">
        <f>'EN60'!A$3</f>
        <v>EN60</v>
      </c>
      <c r="B509" s="4">
        <f t="shared" si="61"/>
        <v>18</v>
      </c>
      <c r="C509" s="4">
        <f t="shared" si="62"/>
        <v>22</v>
      </c>
      <c r="D509" s="4">
        <f t="shared" si="56"/>
        <v>8</v>
      </c>
      <c r="E509" s="4" t="s">
        <v>27</v>
      </c>
      <c r="F509" s="4">
        <f t="shared" si="57"/>
        <v>800</v>
      </c>
      <c r="G509" s="5">
        <f t="shared" si="63"/>
        <v>1.01</v>
      </c>
      <c r="H509" s="6" t="str">
        <f t="shared" si="58"/>
        <v>INSERT INTO public.coupon (plancode, age, "year", couponrate, benefittype, benefitrate, premiumrate) VALUES('EN60', 18, 22, 8, 'A',800, 1.01);</v>
      </c>
      <c r="I509" s="6" t="str">
        <f t="shared" si="59"/>
        <v>{"age":"18", "year":"22", "couponrate":"8", "benefittype":"A", "benefitrate":"800", "premiumrate":"1.01"}</v>
      </c>
      <c r="J509" s="6" t="str">
        <f t="shared" si="60"/>
        <v>,</v>
      </c>
    </row>
    <row r="510" spans="1:10">
      <c r="A510" s="4" t="str">
        <f>'EN60'!A$3</f>
        <v>EN60</v>
      </c>
      <c r="B510" s="4">
        <f t="shared" si="61"/>
        <v>18</v>
      </c>
      <c r="C510" s="4">
        <f t="shared" si="62"/>
        <v>23</v>
      </c>
      <c r="D510" s="4">
        <f t="shared" si="56"/>
        <v>8</v>
      </c>
      <c r="E510" s="4" t="s">
        <v>27</v>
      </c>
      <c r="F510" s="4">
        <f t="shared" si="57"/>
        <v>800</v>
      </c>
      <c r="G510" s="5">
        <f t="shared" si="63"/>
        <v>1.01</v>
      </c>
      <c r="H510" s="6" t="str">
        <f t="shared" si="58"/>
        <v>INSERT INTO public.coupon (plancode, age, "year", couponrate, benefittype, benefitrate, premiumrate) VALUES('EN60', 18, 23, 8, 'A',800, 1.01);</v>
      </c>
      <c r="I510" s="6" t="str">
        <f t="shared" si="59"/>
        <v>{"age":"18", "year":"23", "couponrate":"8", "benefittype":"A", "benefitrate":"800", "premiumrate":"1.01"}</v>
      </c>
      <c r="J510" s="6" t="str">
        <f t="shared" si="60"/>
        <v>,</v>
      </c>
    </row>
    <row r="511" spans="1:10">
      <c r="A511" s="4" t="str">
        <f>'EN60'!A$3</f>
        <v>EN60</v>
      </c>
      <c r="B511" s="4">
        <f t="shared" si="61"/>
        <v>18</v>
      </c>
      <c r="C511" s="4">
        <f t="shared" si="62"/>
        <v>24</v>
      </c>
      <c r="D511" s="4">
        <f t="shared" si="56"/>
        <v>8</v>
      </c>
      <c r="E511" s="4" t="s">
        <v>27</v>
      </c>
      <c r="F511" s="4">
        <f t="shared" si="57"/>
        <v>800</v>
      </c>
      <c r="G511" s="5">
        <f t="shared" si="63"/>
        <v>1.01</v>
      </c>
      <c r="H511" s="6" t="str">
        <f t="shared" si="58"/>
        <v>INSERT INTO public.coupon (plancode, age, "year", couponrate, benefittype, benefitrate, premiumrate) VALUES('EN60', 18, 24, 8, 'A',800, 1.01);</v>
      </c>
      <c r="I511" s="6" t="str">
        <f t="shared" si="59"/>
        <v>{"age":"18", "year":"24", "couponrate":"8", "benefittype":"A", "benefitrate":"800", "premiumrate":"1.01"}</v>
      </c>
      <c r="J511" s="6" t="str">
        <f t="shared" si="60"/>
        <v>,</v>
      </c>
    </row>
    <row r="512" spans="1:10">
      <c r="A512" s="4" t="str">
        <f>'EN60'!A$3</f>
        <v>EN60</v>
      </c>
      <c r="B512" s="4">
        <f t="shared" si="61"/>
        <v>18</v>
      </c>
      <c r="C512" s="4">
        <f t="shared" si="62"/>
        <v>25</v>
      </c>
      <c r="D512" s="4">
        <f t="shared" si="56"/>
        <v>8</v>
      </c>
      <c r="E512" s="4" t="s">
        <v>27</v>
      </c>
      <c r="F512" s="4">
        <f t="shared" si="57"/>
        <v>800</v>
      </c>
      <c r="G512" s="5">
        <f t="shared" si="63"/>
        <v>1.01</v>
      </c>
      <c r="H512" s="6" t="str">
        <f t="shared" si="58"/>
        <v>INSERT INTO public.coupon (plancode, age, "year", couponrate, benefittype, benefitrate, premiumrate) VALUES('EN60', 18, 25, 8, 'A',800, 1.01);</v>
      </c>
      <c r="I512" s="6" t="str">
        <f t="shared" si="59"/>
        <v>{"age":"18", "year":"25", "couponrate":"8", "benefittype":"A", "benefitrate":"800", "premiumrate":"1.01"}</v>
      </c>
      <c r="J512" s="6" t="str">
        <f t="shared" si="60"/>
        <v>,</v>
      </c>
    </row>
    <row r="513" spans="1:10">
      <c r="A513" s="4" t="str">
        <f>'EN60'!A$3</f>
        <v>EN60</v>
      </c>
      <c r="B513" s="4">
        <f t="shared" si="61"/>
        <v>18</v>
      </c>
      <c r="C513" s="4">
        <f t="shared" si="62"/>
        <v>26</v>
      </c>
      <c r="D513" s="4">
        <f t="shared" si="56"/>
        <v>8</v>
      </c>
      <c r="E513" s="4" t="s">
        <v>27</v>
      </c>
      <c r="F513" s="4">
        <f t="shared" si="57"/>
        <v>800</v>
      </c>
      <c r="G513" s="5">
        <f t="shared" si="63"/>
        <v>1.01</v>
      </c>
      <c r="H513" s="6" t="str">
        <f t="shared" si="58"/>
        <v>INSERT INTO public.coupon (plancode, age, "year", couponrate, benefittype, benefitrate, premiumrate) VALUES('EN60', 18, 26, 8, 'A',800, 1.01);</v>
      </c>
      <c r="I513" s="6" t="str">
        <f t="shared" si="59"/>
        <v>{"age":"18", "year":"26", "couponrate":"8", "benefittype":"A", "benefitrate":"800", "premiumrate":"1.01"}</v>
      </c>
      <c r="J513" s="6" t="str">
        <f t="shared" si="60"/>
        <v>,</v>
      </c>
    </row>
    <row r="514" spans="1:10">
      <c r="A514" s="4" t="str">
        <f>'EN60'!A$3</f>
        <v>EN60</v>
      </c>
      <c r="B514" s="4">
        <f t="shared" si="61"/>
        <v>18</v>
      </c>
      <c r="C514" s="4">
        <f t="shared" si="62"/>
        <v>27</v>
      </c>
      <c r="D514" s="4">
        <f t="shared" si="56"/>
        <v>8</v>
      </c>
      <c r="E514" s="4" t="s">
        <v>27</v>
      </c>
      <c r="F514" s="4">
        <f t="shared" si="57"/>
        <v>800</v>
      </c>
      <c r="G514" s="5">
        <f t="shared" si="63"/>
        <v>1.01</v>
      </c>
      <c r="H514" s="6" t="str">
        <f t="shared" si="58"/>
        <v>INSERT INTO public.coupon (plancode, age, "year", couponrate, benefittype, benefitrate, premiumrate) VALUES('EN60', 18, 27, 8, 'A',800, 1.01);</v>
      </c>
      <c r="I514" s="6" t="str">
        <f t="shared" si="59"/>
        <v>{"age":"18", "year":"27", "couponrate":"8", "benefittype":"A", "benefitrate":"800", "premiumrate":"1.01"}</v>
      </c>
      <c r="J514" s="6" t="str">
        <f t="shared" si="60"/>
        <v>,</v>
      </c>
    </row>
    <row r="515" spans="1:10">
      <c r="A515" s="4" t="str">
        <f>'EN60'!A$3</f>
        <v>EN60</v>
      </c>
      <c r="B515" s="4">
        <f t="shared" si="61"/>
        <v>18</v>
      </c>
      <c r="C515" s="4">
        <f t="shared" si="62"/>
        <v>28</v>
      </c>
      <c r="D515" s="4">
        <f t="shared" si="56"/>
        <v>8</v>
      </c>
      <c r="E515" s="4" t="s">
        <v>27</v>
      </c>
      <c r="F515" s="4">
        <f t="shared" si="57"/>
        <v>800</v>
      </c>
      <c r="G515" s="5">
        <f t="shared" si="63"/>
        <v>1.01</v>
      </c>
      <c r="H515" s="6" t="str">
        <f t="shared" si="58"/>
        <v>INSERT INTO public.coupon (plancode, age, "year", couponrate, benefittype, benefitrate, premiumrate) VALUES('EN60', 18, 28, 8, 'A',800, 1.01);</v>
      </c>
      <c r="I515" s="6" t="str">
        <f t="shared" si="59"/>
        <v>{"age":"18", "year":"28", "couponrate":"8", "benefittype":"A", "benefitrate":"800", "premiumrate":"1.01"}</v>
      </c>
      <c r="J515" s="6" t="str">
        <f t="shared" si="60"/>
        <v>,</v>
      </c>
    </row>
    <row r="516" spans="1:10">
      <c r="A516" s="4" t="str">
        <f>'EN60'!A$3</f>
        <v>EN60</v>
      </c>
      <c r="B516" s="4">
        <f t="shared" si="61"/>
        <v>18</v>
      </c>
      <c r="C516" s="4">
        <f t="shared" si="62"/>
        <v>29</v>
      </c>
      <c r="D516" s="4">
        <f t="shared" si="56"/>
        <v>8</v>
      </c>
      <c r="E516" s="4" t="s">
        <v>27</v>
      </c>
      <c r="F516" s="4">
        <f t="shared" si="57"/>
        <v>800</v>
      </c>
      <c r="G516" s="5">
        <f t="shared" si="63"/>
        <v>1.01</v>
      </c>
      <c r="H516" s="6" t="str">
        <f t="shared" si="58"/>
        <v>INSERT INTO public.coupon (plancode, age, "year", couponrate, benefittype, benefitrate, premiumrate) VALUES('EN60', 18, 29, 8, 'A',800, 1.01);</v>
      </c>
      <c r="I516" s="6" t="str">
        <f t="shared" si="59"/>
        <v>{"age":"18", "year":"29", "couponrate":"8", "benefittype":"A", "benefitrate":"800", "premiumrate":"1.01"}</v>
      </c>
      <c r="J516" s="6" t="str">
        <f t="shared" si="60"/>
        <v>,</v>
      </c>
    </row>
    <row r="517" spans="1:10">
      <c r="A517" s="4" t="str">
        <f>'EN60'!A$3</f>
        <v>EN60</v>
      </c>
      <c r="B517" s="4">
        <f t="shared" si="61"/>
        <v>18</v>
      </c>
      <c r="C517" s="4">
        <f t="shared" si="62"/>
        <v>30</v>
      </c>
      <c r="D517" s="4">
        <f t="shared" si="56"/>
        <v>8</v>
      </c>
      <c r="E517" s="4" t="s">
        <v>27</v>
      </c>
      <c r="F517" s="4">
        <f t="shared" si="57"/>
        <v>800</v>
      </c>
      <c r="G517" s="5">
        <f t="shared" si="63"/>
        <v>1.01</v>
      </c>
      <c r="H517" s="6" t="str">
        <f t="shared" si="58"/>
        <v>INSERT INTO public.coupon (plancode, age, "year", couponrate, benefittype, benefitrate, premiumrate) VALUES('EN60', 18, 30, 8, 'A',800, 1.01);</v>
      </c>
      <c r="I517" s="6" t="str">
        <f t="shared" si="59"/>
        <v>{"age":"18", "year":"30", "couponrate":"8", "benefittype":"A", "benefitrate":"800", "premiumrate":"1.01"}</v>
      </c>
      <c r="J517" s="6" t="str">
        <f t="shared" si="60"/>
        <v>,</v>
      </c>
    </row>
    <row r="518" spans="1:10">
      <c r="A518" s="4" t="str">
        <f>'EN60'!A$3</f>
        <v>EN60</v>
      </c>
      <c r="B518" s="4">
        <f t="shared" si="61"/>
        <v>18</v>
      </c>
      <c r="C518" s="4">
        <f t="shared" si="62"/>
        <v>31</v>
      </c>
      <c r="D518" s="4">
        <f t="shared" si="56"/>
        <v>8</v>
      </c>
      <c r="E518" s="4" t="s">
        <v>27</v>
      </c>
      <c r="F518" s="4">
        <f t="shared" si="57"/>
        <v>800</v>
      </c>
      <c r="G518" s="5">
        <f t="shared" si="63"/>
        <v>1.01</v>
      </c>
      <c r="H518" s="6" t="str">
        <f t="shared" si="58"/>
        <v>INSERT INTO public.coupon (plancode, age, "year", couponrate, benefittype, benefitrate, premiumrate) VALUES('EN60', 18, 31, 8, 'A',800, 1.01);</v>
      </c>
      <c r="I518" s="6" t="str">
        <f t="shared" si="59"/>
        <v>{"age":"18", "year":"31", "couponrate":"8", "benefittype":"A", "benefitrate":"800", "premiumrate":"1.01"}</v>
      </c>
      <c r="J518" s="6" t="str">
        <f t="shared" si="60"/>
        <v>,</v>
      </c>
    </row>
    <row r="519" spans="1:10">
      <c r="A519" s="4" t="str">
        <f>'EN60'!A$3</f>
        <v>EN60</v>
      </c>
      <c r="B519" s="4">
        <f t="shared" si="61"/>
        <v>18</v>
      </c>
      <c r="C519" s="4">
        <f t="shared" si="62"/>
        <v>32</v>
      </c>
      <c r="D519" s="4">
        <f t="shared" si="56"/>
        <v>8</v>
      </c>
      <c r="E519" s="4" t="s">
        <v>27</v>
      </c>
      <c r="F519" s="4">
        <f t="shared" si="57"/>
        <v>800</v>
      </c>
      <c r="G519" s="5">
        <f t="shared" si="63"/>
        <v>1.01</v>
      </c>
      <c r="H519" s="6" t="str">
        <f t="shared" si="58"/>
        <v>INSERT INTO public.coupon (plancode, age, "year", couponrate, benefittype, benefitrate, premiumrate) VALUES('EN60', 18, 32, 8, 'A',800, 1.01);</v>
      </c>
      <c r="I519" s="6" t="str">
        <f t="shared" si="59"/>
        <v>{"age":"18", "year":"32", "couponrate":"8", "benefittype":"A", "benefitrate":"800", "premiumrate":"1.01"}</v>
      </c>
      <c r="J519" s="6" t="str">
        <f t="shared" si="60"/>
        <v>,</v>
      </c>
    </row>
    <row r="520" spans="1:10">
      <c r="A520" s="4" t="str">
        <f>'EN60'!A$3</f>
        <v>EN60</v>
      </c>
      <c r="B520" s="4">
        <f t="shared" si="61"/>
        <v>18</v>
      </c>
      <c r="C520" s="4">
        <f t="shared" si="62"/>
        <v>33</v>
      </c>
      <c r="D520" s="4">
        <f t="shared" si="56"/>
        <v>8</v>
      </c>
      <c r="E520" s="4" t="s">
        <v>27</v>
      </c>
      <c r="F520" s="4">
        <f t="shared" si="57"/>
        <v>800</v>
      </c>
      <c r="G520" s="5">
        <f t="shared" si="63"/>
        <v>1.01</v>
      </c>
      <c r="H520" s="6" t="str">
        <f t="shared" si="58"/>
        <v>INSERT INTO public.coupon (plancode, age, "year", couponrate, benefittype, benefitrate, premiumrate) VALUES('EN60', 18, 33, 8, 'A',800, 1.01);</v>
      </c>
      <c r="I520" s="6" t="str">
        <f t="shared" si="59"/>
        <v>{"age":"18", "year":"33", "couponrate":"8", "benefittype":"A", "benefitrate":"800", "premiumrate":"1.01"}</v>
      </c>
      <c r="J520" s="6" t="str">
        <f t="shared" si="60"/>
        <v>,</v>
      </c>
    </row>
    <row r="521" spans="1:10">
      <c r="A521" s="4" t="str">
        <f>'EN60'!A$3</f>
        <v>EN60</v>
      </c>
      <c r="B521" s="4">
        <f t="shared" si="61"/>
        <v>18</v>
      </c>
      <c r="C521" s="4">
        <f t="shared" si="62"/>
        <v>34</v>
      </c>
      <c r="D521" s="4">
        <f t="shared" si="56"/>
        <v>8</v>
      </c>
      <c r="E521" s="4" t="s">
        <v>27</v>
      </c>
      <c r="F521" s="4">
        <f t="shared" si="57"/>
        <v>800</v>
      </c>
      <c r="G521" s="5">
        <f t="shared" si="63"/>
        <v>1.01</v>
      </c>
      <c r="H521" s="6" t="str">
        <f t="shared" si="58"/>
        <v>INSERT INTO public.coupon (plancode, age, "year", couponrate, benefittype, benefitrate, premiumrate) VALUES('EN60', 18, 34, 8, 'A',800, 1.01);</v>
      </c>
      <c r="I521" s="6" t="str">
        <f t="shared" si="59"/>
        <v>{"age":"18", "year":"34", "couponrate":"8", "benefittype":"A", "benefitrate":"800", "premiumrate":"1.01"}</v>
      </c>
      <c r="J521" s="6" t="str">
        <f t="shared" si="60"/>
        <v>,</v>
      </c>
    </row>
    <row r="522" spans="1:10">
      <c r="A522" s="4" t="str">
        <f>'EN60'!A$3</f>
        <v>EN60</v>
      </c>
      <c r="B522" s="4">
        <f t="shared" si="61"/>
        <v>18</v>
      </c>
      <c r="C522" s="4">
        <f t="shared" si="62"/>
        <v>35</v>
      </c>
      <c r="D522" s="4">
        <f t="shared" si="56"/>
        <v>8</v>
      </c>
      <c r="E522" s="4" t="s">
        <v>27</v>
      </c>
      <c r="F522" s="4">
        <f t="shared" si="57"/>
        <v>800</v>
      </c>
      <c r="G522" s="5">
        <f t="shared" si="63"/>
        <v>1.01</v>
      </c>
      <c r="H522" s="6" t="str">
        <f t="shared" si="58"/>
        <v>INSERT INTO public.coupon (plancode, age, "year", couponrate, benefittype, benefitrate, premiumrate) VALUES('EN60', 18, 35, 8, 'A',800, 1.01);</v>
      </c>
      <c r="I522" s="6" t="str">
        <f t="shared" si="59"/>
        <v>{"age":"18", "year":"35", "couponrate":"8", "benefittype":"A", "benefitrate":"800", "premiumrate":"1.01"}</v>
      </c>
      <c r="J522" s="6" t="str">
        <f t="shared" si="60"/>
        <v>,</v>
      </c>
    </row>
    <row r="523" spans="1:10">
      <c r="A523" s="4" t="str">
        <f>'EN60'!A$3</f>
        <v>EN60</v>
      </c>
      <c r="B523" s="4">
        <f t="shared" si="61"/>
        <v>18</v>
      </c>
      <c r="C523" s="4">
        <f t="shared" si="62"/>
        <v>36</v>
      </c>
      <c r="D523" s="4">
        <f t="shared" si="56"/>
        <v>8</v>
      </c>
      <c r="E523" s="4" t="s">
        <v>27</v>
      </c>
      <c r="F523" s="4">
        <f t="shared" si="57"/>
        <v>800</v>
      </c>
      <c r="G523" s="5">
        <f t="shared" si="63"/>
        <v>1.01</v>
      </c>
      <c r="H523" s="6" t="str">
        <f t="shared" si="58"/>
        <v>INSERT INTO public.coupon (plancode, age, "year", couponrate, benefittype, benefitrate, premiumrate) VALUES('EN60', 18, 36, 8, 'A',800, 1.01);</v>
      </c>
      <c r="I523" s="6" t="str">
        <f t="shared" si="59"/>
        <v>{"age":"18", "year":"36", "couponrate":"8", "benefittype":"A", "benefitrate":"800", "premiumrate":"1.01"}</v>
      </c>
      <c r="J523" s="6" t="str">
        <f t="shared" si="60"/>
        <v>,</v>
      </c>
    </row>
    <row r="524" spans="1:10">
      <c r="A524" s="4" t="str">
        <f>'EN60'!A$3</f>
        <v>EN60</v>
      </c>
      <c r="B524" s="4">
        <f t="shared" si="61"/>
        <v>18</v>
      </c>
      <c r="C524" s="4">
        <f t="shared" si="62"/>
        <v>37</v>
      </c>
      <c r="D524" s="4">
        <f t="shared" si="56"/>
        <v>8</v>
      </c>
      <c r="E524" s="4" t="s">
        <v>27</v>
      </c>
      <c r="F524" s="4">
        <f t="shared" si="57"/>
        <v>800</v>
      </c>
      <c r="G524" s="5">
        <f t="shared" si="63"/>
        <v>1.01</v>
      </c>
      <c r="H524" s="6" t="str">
        <f t="shared" si="58"/>
        <v>INSERT INTO public.coupon (plancode, age, "year", couponrate, benefittype, benefitrate, premiumrate) VALUES('EN60', 18, 37, 8, 'A',800, 1.01);</v>
      </c>
      <c r="I524" s="6" t="str">
        <f t="shared" si="59"/>
        <v>{"age":"18", "year":"37", "couponrate":"8", "benefittype":"A", "benefitrate":"800", "premiumrate":"1.01"}</v>
      </c>
      <c r="J524" s="6" t="str">
        <f t="shared" si="60"/>
        <v>,</v>
      </c>
    </row>
    <row r="525" spans="1:10">
      <c r="A525" s="4" t="str">
        <f>'EN60'!A$3</f>
        <v>EN60</v>
      </c>
      <c r="B525" s="4">
        <f t="shared" si="61"/>
        <v>18</v>
      </c>
      <c r="C525" s="4">
        <f t="shared" si="62"/>
        <v>38</v>
      </c>
      <c r="D525" s="4">
        <f t="shared" si="56"/>
        <v>8</v>
      </c>
      <c r="E525" s="4" t="s">
        <v>27</v>
      </c>
      <c r="F525" s="4">
        <f t="shared" si="57"/>
        <v>800</v>
      </c>
      <c r="G525" s="5">
        <f t="shared" si="63"/>
        <v>1.01</v>
      </c>
      <c r="H525" s="6" t="str">
        <f t="shared" si="58"/>
        <v>INSERT INTO public.coupon (plancode, age, "year", couponrate, benefittype, benefitrate, premiumrate) VALUES('EN60', 18, 38, 8, 'A',800, 1.01);</v>
      </c>
      <c r="I525" s="6" t="str">
        <f t="shared" si="59"/>
        <v>{"age":"18", "year":"38", "couponrate":"8", "benefittype":"A", "benefitrate":"800", "premiumrate":"1.01"}</v>
      </c>
      <c r="J525" s="6" t="str">
        <f t="shared" si="60"/>
        <v>,</v>
      </c>
    </row>
    <row r="526" spans="1:10">
      <c r="A526" s="4" t="str">
        <f>'EN60'!A$3</f>
        <v>EN60</v>
      </c>
      <c r="B526" s="4">
        <f t="shared" si="61"/>
        <v>18</v>
      </c>
      <c r="C526" s="4">
        <f t="shared" si="62"/>
        <v>39</v>
      </c>
      <c r="D526" s="4">
        <f t="shared" si="56"/>
        <v>8</v>
      </c>
      <c r="E526" s="4" t="s">
        <v>27</v>
      </c>
      <c r="F526" s="4">
        <f t="shared" si="57"/>
        <v>800</v>
      </c>
      <c r="G526" s="5">
        <f t="shared" si="63"/>
        <v>1.01</v>
      </c>
      <c r="H526" s="6" t="str">
        <f t="shared" si="58"/>
        <v>INSERT INTO public.coupon (plancode, age, "year", couponrate, benefittype, benefitrate, premiumrate) VALUES('EN60', 18, 39, 8, 'A',800, 1.01);</v>
      </c>
      <c r="I526" s="6" t="str">
        <f t="shared" si="59"/>
        <v>{"age":"18", "year":"39", "couponrate":"8", "benefittype":"A", "benefitrate":"800", "premiumrate":"1.01"}</v>
      </c>
      <c r="J526" s="6" t="str">
        <f t="shared" si="60"/>
        <v>,</v>
      </c>
    </row>
    <row r="527" spans="1:10">
      <c r="A527" s="4" t="str">
        <f>'EN60'!A$3</f>
        <v>EN60</v>
      </c>
      <c r="B527" s="4">
        <f t="shared" si="61"/>
        <v>18</v>
      </c>
      <c r="C527" s="4">
        <f t="shared" si="62"/>
        <v>40</v>
      </c>
      <c r="D527" s="4">
        <f t="shared" si="56"/>
        <v>8</v>
      </c>
      <c r="E527" s="4" t="s">
        <v>27</v>
      </c>
      <c r="F527" s="4">
        <f t="shared" si="57"/>
        <v>800</v>
      </c>
      <c r="G527" s="5">
        <f t="shared" si="63"/>
        <v>1.01</v>
      </c>
      <c r="H527" s="6" t="str">
        <f t="shared" si="58"/>
        <v>INSERT INTO public.coupon (plancode, age, "year", couponrate, benefittype, benefitrate, premiumrate) VALUES('EN60', 18, 40, 8, 'A',800, 1.01);</v>
      </c>
      <c r="I527" s="6" t="str">
        <f t="shared" si="59"/>
        <v>{"age":"18", "year":"40", "couponrate":"8", "benefittype":"A", "benefitrate":"800", "premiumrate":"1.01"}</v>
      </c>
      <c r="J527" s="6" t="str">
        <f t="shared" si="60"/>
        <v>,</v>
      </c>
    </row>
    <row r="528" spans="1:10">
      <c r="A528" s="4" t="str">
        <f>'EN60'!A$3</f>
        <v>EN60</v>
      </c>
      <c r="B528" s="4">
        <f t="shared" si="61"/>
        <v>18</v>
      </c>
      <c r="C528" s="4">
        <f t="shared" si="62"/>
        <v>41</v>
      </c>
      <c r="D528" s="4">
        <f t="shared" si="56"/>
        <v>8</v>
      </c>
      <c r="E528" s="4" t="s">
        <v>27</v>
      </c>
      <c r="F528" s="4">
        <f t="shared" si="57"/>
        <v>800</v>
      </c>
      <c r="G528" s="5">
        <f t="shared" si="63"/>
        <v>1.01</v>
      </c>
      <c r="H528" s="6" t="str">
        <f t="shared" si="58"/>
        <v>INSERT INTO public.coupon (plancode, age, "year", couponrate, benefittype, benefitrate, premiumrate) VALUES('EN60', 18, 41, 8, 'A',800, 1.01);</v>
      </c>
      <c r="I528" s="6" t="str">
        <f t="shared" si="59"/>
        <v>{"age":"18", "year":"41", "couponrate":"8", "benefittype":"A", "benefitrate":"800", "premiumrate":"1.01"}</v>
      </c>
      <c r="J528" s="6" t="str">
        <f t="shared" si="60"/>
        <v>,</v>
      </c>
    </row>
    <row r="529" spans="1:10">
      <c r="A529" s="4" t="str">
        <f>'EN60'!A$3</f>
        <v>EN60</v>
      </c>
      <c r="B529" s="4">
        <f t="shared" si="61"/>
        <v>18</v>
      </c>
      <c r="C529" s="4">
        <f t="shared" si="62"/>
        <v>42</v>
      </c>
      <c r="D529" s="4">
        <f t="shared" si="56"/>
        <v>8</v>
      </c>
      <c r="E529" s="4" t="s">
        <v>27</v>
      </c>
      <c r="F529" s="4">
        <f t="shared" si="57"/>
        <v>800</v>
      </c>
      <c r="G529" s="5">
        <f t="shared" si="63"/>
        <v>1.01</v>
      </c>
      <c r="H529" s="6" t="str">
        <f t="shared" si="58"/>
        <v>INSERT INTO public.coupon (plancode, age, "year", couponrate, benefittype, benefitrate, premiumrate) VALUES('EN60', 18, 42, 8, 'A',800, 1.01);</v>
      </c>
      <c r="I529" s="6" t="str">
        <f t="shared" si="59"/>
        <v>{"age":"18", "year":"42", "couponrate":"8", "benefittype":"A", "benefitrate":"800", "premiumrate":"1.01"}</v>
      </c>
      <c r="J529" s="6" t="str">
        <f t="shared" si="60"/>
        <v>,</v>
      </c>
    </row>
    <row r="530" spans="1:10">
      <c r="A530" s="4" t="str">
        <f>'EN60'!A$3</f>
        <v>EN60</v>
      </c>
      <c r="B530" s="4">
        <f t="shared" si="61"/>
        <v>18</v>
      </c>
      <c r="C530" s="4">
        <f t="shared" si="62"/>
        <v>43</v>
      </c>
      <c r="D530" s="4">
        <f t="shared" si="56"/>
        <v>8</v>
      </c>
      <c r="E530" s="4" t="s">
        <v>27</v>
      </c>
      <c r="F530" s="4">
        <f t="shared" si="57"/>
        <v>800</v>
      </c>
      <c r="G530" s="5">
        <f t="shared" si="63"/>
        <v>1.01</v>
      </c>
      <c r="H530" s="6" t="str">
        <f t="shared" si="58"/>
        <v>INSERT INTO public.coupon (plancode, age, "year", couponrate, benefittype, benefitrate, premiumrate) VALUES('EN60', 18, 43, 8, 'A',800, 1.01);</v>
      </c>
      <c r="I530" s="6" t="str">
        <f t="shared" si="59"/>
        <v>{"age":"18", "year":"43", "couponrate":"8", "benefittype":"A", "benefitrate":"800", "premiumrate":"1.01"}</v>
      </c>
      <c r="J530" s="6" t="str">
        <f t="shared" si="60"/>
        <v>,</v>
      </c>
    </row>
    <row r="531" spans="1:10">
      <c r="A531" s="4" t="str">
        <f>'EN60'!A$3</f>
        <v>EN60</v>
      </c>
      <c r="B531" s="4">
        <f t="shared" si="61"/>
        <v>18</v>
      </c>
      <c r="C531" s="4">
        <f t="shared" si="62"/>
        <v>44</v>
      </c>
      <c r="D531" s="4">
        <f t="shared" si="56"/>
        <v>8</v>
      </c>
      <c r="E531" s="4" t="s">
        <v>27</v>
      </c>
      <c r="F531" s="4">
        <f t="shared" si="57"/>
        <v>800</v>
      </c>
      <c r="G531" s="5">
        <f t="shared" si="63"/>
        <v>1.01</v>
      </c>
      <c r="H531" s="6" t="str">
        <f t="shared" si="58"/>
        <v>INSERT INTO public.coupon (plancode, age, "year", couponrate, benefittype, benefitrate, premiumrate) VALUES('EN60', 18, 44, 8, 'A',800, 1.01);</v>
      </c>
      <c r="I531" s="6" t="str">
        <f t="shared" si="59"/>
        <v>{"age":"18", "year":"44", "couponrate":"8", "benefittype":"A", "benefitrate":"800", "premiumrate":"1.01"}</v>
      </c>
      <c r="J531" s="6" t="str">
        <f t="shared" si="60"/>
        <v>,</v>
      </c>
    </row>
    <row r="532" spans="1:10">
      <c r="A532" s="4" t="str">
        <f>'EN60'!A$3</f>
        <v>EN60</v>
      </c>
      <c r="B532" s="4">
        <f t="shared" si="61"/>
        <v>18</v>
      </c>
      <c r="C532" s="4">
        <f t="shared" si="62"/>
        <v>45</v>
      </c>
      <c r="D532" s="4">
        <f t="shared" si="56"/>
        <v>8</v>
      </c>
      <c r="E532" s="4" t="s">
        <v>27</v>
      </c>
      <c r="F532" s="4">
        <f t="shared" si="57"/>
        <v>800</v>
      </c>
      <c r="G532" s="5">
        <f t="shared" si="63"/>
        <v>1.01</v>
      </c>
      <c r="H532" s="6" t="str">
        <f t="shared" si="58"/>
        <v>INSERT INTO public.coupon (plancode, age, "year", couponrate, benefittype, benefitrate, premiumrate) VALUES('EN60', 18, 45, 8, 'A',800, 1.01);</v>
      </c>
      <c r="I532" s="6" t="str">
        <f t="shared" si="59"/>
        <v>{"age":"18", "year":"45", "couponrate":"8", "benefittype":"A", "benefitrate":"800", "premiumrate":"1.01"}</v>
      </c>
      <c r="J532" s="6" t="str">
        <f t="shared" si="60"/>
        <v>,</v>
      </c>
    </row>
    <row r="533" spans="1:10">
      <c r="A533" s="4" t="str">
        <f>'EN60'!A$3</f>
        <v>EN60</v>
      </c>
      <c r="B533" s="4">
        <f t="shared" si="61"/>
        <v>18</v>
      </c>
      <c r="C533" s="4">
        <f t="shared" si="62"/>
        <v>46</v>
      </c>
      <c r="D533" s="4">
        <f t="shared" si="56"/>
        <v>8</v>
      </c>
      <c r="E533" s="4" t="s">
        <v>27</v>
      </c>
      <c r="F533" s="4">
        <f t="shared" si="57"/>
        <v>800</v>
      </c>
      <c r="G533" s="5">
        <f t="shared" si="63"/>
        <v>1.01</v>
      </c>
      <c r="H533" s="6" t="str">
        <f t="shared" si="58"/>
        <v>INSERT INTO public.coupon (plancode, age, "year", couponrate, benefittype, benefitrate, premiumrate) VALUES('EN60', 18, 46, 8, 'A',800, 1.01);</v>
      </c>
      <c r="I533" s="6" t="str">
        <f t="shared" si="59"/>
        <v>{"age":"18", "year":"46", "couponrate":"8", "benefittype":"A", "benefitrate":"800", "premiumrate":"1.01"}</v>
      </c>
      <c r="J533" s="6" t="str">
        <f t="shared" si="60"/>
        <v>,</v>
      </c>
    </row>
    <row r="534" spans="1:10">
      <c r="A534" s="4" t="str">
        <f>'EN60'!A$3</f>
        <v>EN60</v>
      </c>
      <c r="B534" s="4">
        <f t="shared" si="61"/>
        <v>18</v>
      </c>
      <c r="C534" s="4">
        <f t="shared" si="62"/>
        <v>47</v>
      </c>
      <c r="D534" s="4">
        <f t="shared" si="56"/>
        <v>8</v>
      </c>
      <c r="E534" s="4" t="s">
        <v>27</v>
      </c>
      <c r="F534" s="4">
        <f t="shared" si="57"/>
        <v>800</v>
      </c>
      <c r="G534" s="5">
        <f t="shared" si="63"/>
        <v>1.01</v>
      </c>
      <c r="H534" s="6" t="str">
        <f t="shared" si="58"/>
        <v>INSERT INTO public.coupon (plancode, age, "year", couponrate, benefittype, benefitrate, premiumrate) VALUES('EN60', 18, 47, 8, 'A',800, 1.01);</v>
      </c>
      <c r="I534" s="6" t="str">
        <f t="shared" si="59"/>
        <v>{"age":"18", "year":"47", "couponrate":"8", "benefittype":"A", "benefitrate":"800", "premiumrate":"1.01"}</v>
      </c>
      <c r="J534" s="6" t="str">
        <f t="shared" si="60"/>
        <v>,</v>
      </c>
    </row>
    <row r="535" spans="1:10">
      <c r="A535" s="4" t="str">
        <f>'EN60'!A$3</f>
        <v>EN60</v>
      </c>
      <c r="B535" s="4">
        <f t="shared" si="61"/>
        <v>18</v>
      </c>
      <c r="C535" s="4">
        <f t="shared" si="62"/>
        <v>48</v>
      </c>
      <c r="D535" s="4">
        <f t="shared" si="56"/>
        <v>8</v>
      </c>
      <c r="E535" s="4" t="s">
        <v>27</v>
      </c>
      <c r="F535" s="4">
        <f t="shared" si="57"/>
        <v>800</v>
      </c>
      <c r="G535" s="5">
        <f t="shared" si="63"/>
        <v>1.01</v>
      </c>
      <c r="H535" s="6" t="str">
        <f t="shared" si="58"/>
        <v>INSERT INTO public.coupon (plancode, age, "year", couponrate, benefittype, benefitrate, premiumrate) VALUES('EN60', 18, 48, 8, 'A',800, 1.01);</v>
      </c>
      <c r="I535" s="6" t="str">
        <f t="shared" si="59"/>
        <v>{"age":"18", "year":"48", "couponrate":"8", "benefittype":"A", "benefitrate":"800", "premiumrate":"1.01"}</v>
      </c>
      <c r="J535" s="6" t="str">
        <f t="shared" si="60"/>
        <v>,</v>
      </c>
    </row>
    <row r="536" spans="1:10">
      <c r="A536" s="4" t="str">
        <f>'EN60'!A$3</f>
        <v>EN60</v>
      </c>
      <c r="B536" s="4">
        <f t="shared" si="61"/>
        <v>18</v>
      </c>
      <c r="C536" s="4">
        <f t="shared" si="62"/>
        <v>49</v>
      </c>
      <c r="D536" s="4">
        <f t="shared" si="56"/>
        <v>8</v>
      </c>
      <c r="E536" s="4" t="s">
        <v>27</v>
      </c>
      <c r="F536" s="4">
        <f t="shared" si="57"/>
        <v>800</v>
      </c>
      <c r="G536" s="5">
        <f t="shared" si="63"/>
        <v>1.01</v>
      </c>
      <c r="H536" s="6" t="str">
        <f t="shared" si="58"/>
        <v>INSERT INTO public.coupon (plancode, age, "year", couponrate, benefittype, benefitrate, premiumrate) VALUES('EN60', 18, 49, 8, 'A',800, 1.01);</v>
      </c>
      <c r="I536" s="6" t="str">
        <f t="shared" si="59"/>
        <v>{"age":"18", "year":"49", "couponrate":"8", "benefittype":"A", "benefitrate":"800", "premiumrate":"1.01"}</v>
      </c>
      <c r="J536" s="6" t="str">
        <f t="shared" si="60"/>
        <v>,</v>
      </c>
    </row>
    <row r="537" spans="1:10">
      <c r="A537" s="4" t="str">
        <f>'EN60'!A$3</f>
        <v>EN60</v>
      </c>
      <c r="B537" s="4">
        <f t="shared" si="61"/>
        <v>18</v>
      </c>
      <c r="C537" s="4">
        <f t="shared" si="62"/>
        <v>50</v>
      </c>
      <c r="D537" s="4">
        <f t="shared" si="56"/>
        <v>8</v>
      </c>
      <c r="E537" s="4" t="s">
        <v>27</v>
      </c>
      <c r="F537" s="4">
        <f t="shared" si="57"/>
        <v>800</v>
      </c>
      <c r="G537" s="5">
        <f t="shared" si="63"/>
        <v>1.01</v>
      </c>
      <c r="H537" s="6" t="str">
        <f t="shared" si="58"/>
        <v>INSERT INTO public.coupon (plancode, age, "year", couponrate, benefittype, benefitrate, premiumrate) VALUES('EN60', 18, 50, 8, 'A',800, 1.01);</v>
      </c>
      <c r="I537" s="6" t="str">
        <f t="shared" si="59"/>
        <v>{"age":"18", "year":"50", "couponrate":"8", "benefittype":"A", "benefitrate":"800", "premiumrate":"1.01"}</v>
      </c>
      <c r="J537" s="6" t="str">
        <f t="shared" si="60"/>
        <v>,</v>
      </c>
    </row>
    <row r="538" spans="1:10">
      <c r="A538" s="4" t="str">
        <f>'EN60'!A$3</f>
        <v>EN60</v>
      </c>
      <c r="B538" s="4">
        <f t="shared" si="61"/>
        <v>18</v>
      </c>
      <c r="C538" s="4">
        <f t="shared" si="62"/>
        <v>51</v>
      </c>
      <c r="D538" s="4">
        <f t="shared" si="56"/>
        <v>8</v>
      </c>
      <c r="E538" s="4" t="s">
        <v>27</v>
      </c>
      <c r="F538" s="4">
        <f t="shared" si="57"/>
        <v>800</v>
      </c>
      <c r="G538" s="5">
        <f t="shared" si="63"/>
        <v>1.01</v>
      </c>
      <c r="H538" s="6" t="str">
        <f t="shared" si="58"/>
        <v>INSERT INTO public.coupon (plancode, age, "year", couponrate, benefittype, benefitrate, premiumrate) VALUES('EN60', 18, 51, 8, 'A',800, 1.01);</v>
      </c>
      <c r="I538" s="6" t="str">
        <f t="shared" si="59"/>
        <v>{"age":"18", "year":"51", "couponrate":"8", "benefittype":"A", "benefitrate":"800", "premiumrate":"1.01"}</v>
      </c>
      <c r="J538" s="6" t="str">
        <f t="shared" si="60"/>
        <v>,</v>
      </c>
    </row>
    <row r="539" spans="1:10">
      <c r="A539" s="4" t="str">
        <f>'EN60'!A$3</f>
        <v>EN60</v>
      </c>
      <c r="B539" s="4">
        <f t="shared" si="61"/>
        <v>18</v>
      </c>
      <c r="C539" s="4">
        <f t="shared" si="62"/>
        <v>52</v>
      </c>
      <c r="D539" s="4">
        <f t="shared" si="56"/>
        <v>8</v>
      </c>
      <c r="E539" s="4" t="s">
        <v>27</v>
      </c>
      <c r="F539" s="4">
        <f t="shared" si="57"/>
        <v>800</v>
      </c>
      <c r="G539" s="5">
        <f t="shared" si="63"/>
        <v>1.01</v>
      </c>
      <c r="H539" s="6" t="str">
        <f t="shared" si="58"/>
        <v>INSERT INTO public.coupon (plancode, age, "year", couponrate, benefittype, benefitrate, premiumrate) VALUES('EN60', 18, 52, 8, 'A',800, 1.01);</v>
      </c>
      <c r="I539" s="6" t="str">
        <f t="shared" si="59"/>
        <v>{"age":"18", "year":"52", "couponrate":"8", "benefittype":"A", "benefitrate":"800", "premiumrate":"1.01"}</v>
      </c>
      <c r="J539" s="6" t="str">
        <f t="shared" si="60"/>
        <v>,</v>
      </c>
    </row>
    <row r="540" spans="1:10">
      <c r="A540" s="4" t="str">
        <f>'EN60'!A$3</f>
        <v>EN60</v>
      </c>
      <c r="B540" s="4">
        <f t="shared" si="61"/>
        <v>18</v>
      </c>
      <c r="C540" s="4">
        <f t="shared" si="62"/>
        <v>53</v>
      </c>
      <c r="D540" s="4">
        <f t="shared" si="56"/>
        <v>8</v>
      </c>
      <c r="E540" s="4" t="s">
        <v>27</v>
      </c>
      <c r="F540" s="4">
        <f t="shared" si="57"/>
        <v>800</v>
      </c>
      <c r="G540" s="5">
        <f t="shared" si="63"/>
        <v>1.01</v>
      </c>
      <c r="H540" s="6" t="str">
        <f t="shared" si="58"/>
        <v>INSERT INTO public.coupon (plancode, age, "year", couponrate, benefittype, benefitrate, premiumrate) VALUES('EN60', 18, 53, 8, 'A',800, 1.01);</v>
      </c>
      <c r="I540" s="6" t="str">
        <f t="shared" si="59"/>
        <v>{"age":"18", "year":"53", "couponrate":"8", "benefittype":"A", "benefitrate":"800", "premiumrate":"1.01"}</v>
      </c>
      <c r="J540" s="6" t="str">
        <f t="shared" si="60"/>
        <v>,</v>
      </c>
    </row>
    <row r="541" spans="1:10">
      <c r="A541" s="4" t="str">
        <f>'EN60'!A$3</f>
        <v>EN60</v>
      </c>
      <c r="B541" s="4">
        <f t="shared" si="61"/>
        <v>18</v>
      </c>
      <c r="C541" s="4">
        <f t="shared" si="62"/>
        <v>54</v>
      </c>
      <c r="D541" s="4">
        <f t="shared" si="56"/>
        <v>8</v>
      </c>
      <c r="E541" s="4" t="s">
        <v>27</v>
      </c>
      <c r="F541" s="4">
        <f t="shared" si="57"/>
        <v>800</v>
      </c>
      <c r="G541" s="5">
        <f t="shared" si="63"/>
        <v>1.01</v>
      </c>
      <c r="H541" s="6" t="str">
        <f t="shared" si="58"/>
        <v>INSERT INTO public.coupon (plancode, age, "year", couponrate, benefittype, benefitrate, premiumrate) VALUES('EN60', 18, 54, 8, 'A',800, 1.01);</v>
      </c>
      <c r="I541" s="6" t="str">
        <f t="shared" si="59"/>
        <v>{"age":"18", "year":"54", "couponrate":"8", "benefittype":"A", "benefitrate":"800", "premiumrate":"1.01"}</v>
      </c>
      <c r="J541" s="6" t="str">
        <f t="shared" si="60"/>
        <v>,</v>
      </c>
    </row>
    <row r="542" spans="1:10">
      <c r="A542" s="4" t="str">
        <f>'EN60'!A$3</f>
        <v>EN60</v>
      </c>
      <c r="B542" s="4">
        <f t="shared" si="61"/>
        <v>18</v>
      </c>
      <c r="C542" s="4">
        <f t="shared" si="62"/>
        <v>55</v>
      </c>
      <c r="D542" s="4">
        <f t="shared" si="56"/>
        <v>8</v>
      </c>
      <c r="E542" s="4" t="s">
        <v>27</v>
      </c>
      <c r="F542" s="4">
        <f t="shared" si="57"/>
        <v>800</v>
      </c>
      <c r="G542" s="5">
        <f t="shared" si="63"/>
        <v>1.01</v>
      </c>
      <c r="H542" s="6" t="str">
        <f t="shared" si="58"/>
        <v>INSERT INTO public.coupon (plancode, age, "year", couponrate, benefittype, benefitrate, premiumrate) VALUES('EN60', 18, 55, 8, 'A',800, 1.01);</v>
      </c>
      <c r="I542" s="6" t="str">
        <f t="shared" si="59"/>
        <v>{"age":"18", "year":"55", "couponrate":"8", "benefittype":"A", "benefitrate":"800", "premiumrate":"1.01"}</v>
      </c>
      <c r="J542" s="6" t="str">
        <f t="shared" si="60"/>
        <v>,</v>
      </c>
    </row>
    <row r="543" spans="1:10">
      <c r="A543" s="4" t="str">
        <f>'EN60'!A$3</f>
        <v>EN60</v>
      </c>
      <c r="B543" s="4">
        <f t="shared" si="61"/>
        <v>18</v>
      </c>
      <c r="C543" s="4">
        <f t="shared" si="62"/>
        <v>56</v>
      </c>
      <c r="D543" s="4">
        <f t="shared" si="56"/>
        <v>8</v>
      </c>
      <c r="E543" s="4" t="s">
        <v>27</v>
      </c>
      <c r="F543" s="4">
        <f t="shared" si="57"/>
        <v>800</v>
      </c>
      <c r="G543" s="5">
        <f t="shared" si="63"/>
        <v>1.01</v>
      </c>
      <c r="H543" s="6" t="str">
        <f t="shared" si="58"/>
        <v>INSERT INTO public.coupon (plancode, age, "year", couponrate, benefittype, benefitrate, premiumrate) VALUES('EN60', 18, 56, 8, 'A',800, 1.01);</v>
      </c>
      <c r="I543" s="6" t="str">
        <f t="shared" si="59"/>
        <v>{"age":"18", "year":"56", "couponrate":"8", "benefittype":"A", "benefitrate":"800", "premiumrate":"1.01"}</v>
      </c>
      <c r="J543" s="6" t="str">
        <f t="shared" si="60"/>
        <v>,</v>
      </c>
    </row>
    <row r="544" spans="1:10">
      <c r="A544" s="4" t="str">
        <f>'EN60'!A$3</f>
        <v>EN60</v>
      </c>
      <c r="B544" s="4">
        <f t="shared" si="61"/>
        <v>18</v>
      </c>
      <c r="C544" s="4">
        <f t="shared" si="62"/>
        <v>57</v>
      </c>
      <c r="D544" s="4">
        <f t="shared" si="56"/>
        <v>8</v>
      </c>
      <c r="E544" s="4" t="s">
        <v>27</v>
      </c>
      <c r="F544" s="4">
        <f t="shared" si="57"/>
        <v>800</v>
      </c>
      <c r="G544" s="5">
        <f t="shared" si="63"/>
        <v>1.01</v>
      </c>
      <c r="H544" s="6" t="str">
        <f t="shared" si="58"/>
        <v>INSERT INTO public.coupon (plancode, age, "year", couponrate, benefittype, benefitrate, premiumrate) VALUES('EN60', 18, 57, 8, 'A',800, 1.01);</v>
      </c>
      <c r="I544" s="6" t="str">
        <f t="shared" si="59"/>
        <v>{"age":"18", "year":"57", "couponrate":"8", "benefittype":"A", "benefitrate":"800", "premiumrate":"1.01"}</v>
      </c>
      <c r="J544" s="6" t="str">
        <f t="shared" si="60"/>
        <v>,</v>
      </c>
    </row>
    <row r="545" spans="1:10">
      <c r="A545" s="4" t="str">
        <f>'EN60'!A$3</f>
        <v>EN60</v>
      </c>
      <c r="B545" s="4">
        <f t="shared" si="61"/>
        <v>18</v>
      </c>
      <c r="C545" s="4">
        <f t="shared" si="62"/>
        <v>58</v>
      </c>
      <c r="D545" s="4">
        <f t="shared" si="56"/>
        <v>8</v>
      </c>
      <c r="E545" s="4" t="s">
        <v>27</v>
      </c>
      <c r="F545" s="4">
        <f t="shared" si="57"/>
        <v>800</v>
      </c>
      <c r="G545" s="5">
        <f t="shared" si="63"/>
        <v>1.01</v>
      </c>
      <c r="H545" s="6" t="str">
        <f t="shared" si="58"/>
        <v>INSERT INTO public.coupon (plancode, age, "year", couponrate, benefittype, benefitrate, premiumrate) VALUES('EN60', 18, 58, 8, 'A',800, 1.01);</v>
      </c>
      <c r="I545" s="6" t="str">
        <f t="shared" si="59"/>
        <v>{"age":"18", "year":"58", "couponrate":"8", "benefittype":"A", "benefitrate":"800", "premiumrate":"1.01"}</v>
      </c>
      <c r="J545" s="6" t="str">
        <f t="shared" si="60"/>
        <v>,</v>
      </c>
    </row>
    <row r="546" spans="1:10">
      <c r="A546" s="4" t="str">
        <f>'EN60'!A$3</f>
        <v>EN60</v>
      </c>
      <c r="B546" s="4">
        <f t="shared" si="61"/>
        <v>18</v>
      </c>
      <c r="C546" s="4">
        <f t="shared" si="62"/>
        <v>59</v>
      </c>
      <c r="D546" s="4">
        <f t="shared" si="56"/>
        <v>8</v>
      </c>
      <c r="E546" s="4" t="s">
        <v>27</v>
      </c>
      <c r="F546" s="4">
        <f t="shared" si="57"/>
        <v>800</v>
      </c>
      <c r="G546" s="5">
        <f t="shared" si="63"/>
        <v>1.01</v>
      </c>
      <c r="H546" s="6" t="str">
        <f t="shared" si="58"/>
        <v>INSERT INTO public.coupon (plancode, age, "year", couponrate, benefittype, benefitrate, premiumrate) VALUES('EN60', 18, 59, 8, 'A',800, 1.01);</v>
      </c>
      <c r="I546" s="6" t="str">
        <f t="shared" si="59"/>
        <v>{"age":"18", "year":"59", "couponrate":"8", "benefittype":"A", "benefitrate":"800", "premiumrate":"1.01"}</v>
      </c>
      <c r="J546" s="6" t="str">
        <f t="shared" si="60"/>
        <v>,</v>
      </c>
    </row>
    <row r="547" spans="1:10">
      <c r="A547" s="4" t="str">
        <f>'EN60'!A$3</f>
        <v>EN60</v>
      </c>
      <c r="B547" s="4">
        <f t="shared" si="61"/>
        <v>18</v>
      </c>
      <c r="C547" s="4">
        <f t="shared" si="62"/>
        <v>60</v>
      </c>
      <c r="D547" s="4">
        <f t="shared" si="56"/>
        <v>8</v>
      </c>
      <c r="E547" s="4" t="s">
        <v>27</v>
      </c>
      <c r="F547" s="4">
        <f t="shared" si="57"/>
        <v>800</v>
      </c>
      <c r="G547" s="5">
        <f t="shared" si="63"/>
        <v>1.01</v>
      </c>
      <c r="H547" s="6" t="str">
        <f t="shared" si="58"/>
        <v>INSERT INTO public.coupon (plancode, age, "year", couponrate, benefittype, benefitrate, premiumrate) VALUES('EN60', 18, 60, 8, 'A',800, 1.01);</v>
      </c>
      <c r="I547" s="6" t="str">
        <f t="shared" si="59"/>
        <v>{"age":"18", "year":"60", "couponrate":"8", "benefittype":"A", "benefitrate":"800", "premiumrate":"1.01"}</v>
      </c>
      <c r="J547" s="6" t="str">
        <f t="shared" si="60"/>
        <v>,</v>
      </c>
    </row>
    <row r="548" spans="1:10">
      <c r="A548" s="4" t="str">
        <f>'EN60'!A$3</f>
        <v>EN60</v>
      </c>
      <c r="B548" s="4">
        <f t="shared" si="61"/>
        <v>18</v>
      </c>
      <c r="C548" s="4">
        <f t="shared" si="62"/>
        <v>61</v>
      </c>
      <c r="D548" s="4">
        <f t="shared" si="56"/>
        <v>8</v>
      </c>
      <c r="E548" s="4" t="s">
        <v>27</v>
      </c>
      <c r="F548" s="4">
        <f t="shared" si="57"/>
        <v>800</v>
      </c>
      <c r="G548" s="5">
        <f t="shared" si="63"/>
        <v>1.01</v>
      </c>
      <c r="H548" s="6" t="str">
        <f t="shared" si="58"/>
        <v>INSERT INTO public.coupon (plancode, age, "year", couponrate, benefittype, benefitrate, premiumrate) VALUES('EN60', 18, 61, 8, 'A',800, 1.01);</v>
      </c>
      <c r="I548" s="6" t="str">
        <f t="shared" si="59"/>
        <v>{"age":"18", "year":"61", "couponrate":"8", "benefittype":"A", "benefitrate":"800", "premiumrate":"1.01"}</v>
      </c>
      <c r="J548" s="6" t="str">
        <f t="shared" si="60"/>
        <v>,</v>
      </c>
    </row>
    <row r="549" spans="1:10">
      <c r="A549" s="4" t="str">
        <f>'EN60'!A$3</f>
        <v>EN60</v>
      </c>
      <c r="B549" s="4">
        <f t="shared" si="61"/>
        <v>18</v>
      </c>
      <c r="C549" s="4">
        <f t="shared" si="62"/>
        <v>62</v>
      </c>
      <c r="D549" s="4">
        <f t="shared" si="56"/>
        <v>0</v>
      </c>
      <c r="E549" s="4" t="s">
        <v>27</v>
      </c>
      <c r="F549" s="4">
        <f t="shared" si="57"/>
        <v>800</v>
      </c>
      <c r="G549" s="5">
        <f t="shared" si="63"/>
        <v>1.01</v>
      </c>
      <c r="H549" s="6" t="str">
        <f t="shared" si="58"/>
        <v>INSERT INTO public.coupon (plancode, age, "year", couponrate, benefittype, benefitrate, premiumrate) VALUES('EN60', 18, 62, 0, 'A',800, 1.01);</v>
      </c>
      <c r="I549" s="6" t="str">
        <f t="shared" si="59"/>
        <v>{"age":"18", "year":"62", "couponrate":"0", "benefittype":"A", "benefitrate":"800", "premiumrate":"1.01"}</v>
      </c>
    </row>
    <row r="550" spans="1:10">
      <c r="C550" s="6"/>
      <c r="I550" s="6" t="s">
        <v>28</v>
      </c>
    </row>
    <row r="551" spans="1:10">
      <c r="A551" s="3" t="s">
        <v>2</v>
      </c>
      <c r="B551" s="3" t="s">
        <v>23</v>
      </c>
      <c r="C551" s="3" t="s">
        <v>24</v>
      </c>
      <c r="D551" s="3" t="s">
        <v>25</v>
      </c>
      <c r="E551" s="3" t="s">
        <v>8</v>
      </c>
      <c r="F551" s="3" t="s">
        <v>26</v>
      </c>
      <c r="G551" s="3" t="s">
        <v>4</v>
      </c>
      <c r="I551" s="6" t="str">
        <f>"[{""plancode"":"""&amp;A552&amp;""",""returncash"":"""&amp;B$7&amp;""",""ytable"":"""&amp;C$7&amp;""",""maturerate"":"""&amp;B$3&amp;""",""maturepmrate"":"""&amp;C$3&amp;""",""coupon"":["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552" spans="1:10">
      <c r="A552" s="4" t="str">
        <f>'EN60'!A$3</f>
        <v>EN60</v>
      </c>
      <c r="B552" s="8">
        <v>19</v>
      </c>
      <c r="C552" s="4">
        <v>1</v>
      </c>
      <c r="D552" s="4">
        <f t="shared" ref="D552:D612" si="64">IF(C552+B552=80,0,8)</f>
        <v>8</v>
      </c>
      <c r="E552" s="4" t="s">
        <v>27</v>
      </c>
      <c r="F552" s="4">
        <f t="shared" ref="F552:F612" si="65">IF(C552&gt;7, 800, C552*100)</f>
        <v>100</v>
      </c>
      <c r="G552" s="5">
        <f>'EN60'!C$3</f>
        <v>1.01</v>
      </c>
      <c r="H552" s="6" t="str">
        <f t="shared" ref="H552:H612" si="66">"INSERT INTO public.coupon ("&amp;A$11&amp;", "&amp;B$11&amp;", """&amp;C$11&amp;""", "&amp;D$11&amp;", "&amp;E$11&amp;", "&amp;F$11&amp;", "&amp;G$11&amp;") VALUES('"&amp;A552&amp;"', "&amp;B552&amp;", "&amp;C552&amp;", "&amp;D552&amp;", '"&amp;E552&amp;"',"&amp;F552&amp;", "&amp;G552&amp;");"</f>
        <v>INSERT INTO public.coupon (plancode, age, "year", couponrate, benefittype, benefitrate, premiumrate) VALUES('EN60', 19, 1, 8, 'A',100, 1.01);</v>
      </c>
      <c r="I552" s="6" t="str">
        <f t="shared" ref="I552:I612" si="67">"{""age"":"""&amp;B552&amp;""", ""year"":"""&amp;C552&amp;""", ""couponrate"":"""&amp;D552&amp;""", ""benefittype"":"""&amp;E552&amp;""", ""benefitrate"":"""&amp;F552&amp;""", """&amp;G$11&amp;""":"""&amp;G552&amp;"""}"</f>
        <v>{"age":"19", "year":"1", "couponrate":"8", "benefittype":"A", "benefitrate":"100", "premiumrate":"1.01"}</v>
      </c>
      <c r="J552" s="6" t="str">
        <f t="shared" ref="J552:J611" si="68">IF(OR(I553="]", I552="[", I552="]"), "", ",")</f>
        <v>,</v>
      </c>
    </row>
    <row r="553" spans="1:10">
      <c r="A553" s="4" t="str">
        <f>'EN60'!A$3</f>
        <v>EN60</v>
      </c>
      <c r="B553" s="4">
        <f t="shared" ref="B553:B612" si="69">B552</f>
        <v>19</v>
      </c>
      <c r="C553" s="4">
        <f t="shared" ref="C553:C612" si="70">C552+1</f>
        <v>2</v>
      </c>
      <c r="D553" s="4">
        <f t="shared" si="64"/>
        <v>8</v>
      </c>
      <c r="E553" s="4" t="s">
        <v>27</v>
      </c>
      <c r="F553" s="4">
        <f t="shared" si="65"/>
        <v>200</v>
      </c>
      <c r="G553" s="5">
        <f t="shared" ref="G553:G612" si="71">G552</f>
        <v>1.01</v>
      </c>
      <c r="H553" s="6" t="str">
        <f t="shared" si="66"/>
        <v>INSERT INTO public.coupon (plancode, age, "year", couponrate, benefittype, benefitrate, premiumrate) VALUES('EN60', 19, 2, 8, 'A',200, 1.01);</v>
      </c>
      <c r="I553" s="6" t="str">
        <f t="shared" si="67"/>
        <v>{"age":"19", "year":"2", "couponrate":"8", "benefittype":"A", "benefitrate":"200", "premiumrate":"1.01"}</v>
      </c>
      <c r="J553" s="6" t="str">
        <f t="shared" si="68"/>
        <v>,</v>
      </c>
    </row>
    <row r="554" spans="1:10">
      <c r="A554" s="4" t="str">
        <f>'EN60'!A$3</f>
        <v>EN60</v>
      </c>
      <c r="B554" s="4">
        <f t="shared" si="69"/>
        <v>19</v>
      </c>
      <c r="C554" s="4">
        <f t="shared" si="70"/>
        <v>3</v>
      </c>
      <c r="D554" s="4">
        <f t="shared" si="64"/>
        <v>8</v>
      </c>
      <c r="E554" s="4" t="s">
        <v>27</v>
      </c>
      <c r="F554" s="4">
        <f t="shared" si="65"/>
        <v>300</v>
      </c>
      <c r="G554" s="5">
        <f t="shared" si="71"/>
        <v>1.01</v>
      </c>
      <c r="H554" s="6" t="str">
        <f t="shared" si="66"/>
        <v>INSERT INTO public.coupon (plancode, age, "year", couponrate, benefittype, benefitrate, premiumrate) VALUES('EN60', 19, 3, 8, 'A',300, 1.01);</v>
      </c>
      <c r="I554" s="6" t="str">
        <f t="shared" si="67"/>
        <v>{"age":"19", "year":"3", "couponrate":"8", "benefittype":"A", "benefitrate":"300", "premiumrate":"1.01"}</v>
      </c>
      <c r="J554" s="6" t="str">
        <f t="shared" si="68"/>
        <v>,</v>
      </c>
    </row>
    <row r="555" spans="1:10">
      <c r="A555" s="4" t="str">
        <f>'EN60'!A$3</f>
        <v>EN60</v>
      </c>
      <c r="B555" s="4">
        <f t="shared" si="69"/>
        <v>19</v>
      </c>
      <c r="C555" s="4">
        <f t="shared" si="70"/>
        <v>4</v>
      </c>
      <c r="D555" s="4">
        <f t="shared" si="64"/>
        <v>8</v>
      </c>
      <c r="E555" s="4" t="s">
        <v>27</v>
      </c>
      <c r="F555" s="4">
        <f t="shared" si="65"/>
        <v>400</v>
      </c>
      <c r="G555" s="5">
        <f t="shared" si="71"/>
        <v>1.01</v>
      </c>
      <c r="H555" s="6" t="str">
        <f t="shared" si="66"/>
        <v>INSERT INTO public.coupon (plancode, age, "year", couponrate, benefittype, benefitrate, premiumrate) VALUES('EN60', 19, 4, 8, 'A',400, 1.01);</v>
      </c>
      <c r="I555" s="6" t="str">
        <f t="shared" si="67"/>
        <v>{"age":"19", "year":"4", "couponrate":"8", "benefittype":"A", "benefitrate":"400", "premiumrate":"1.01"}</v>
      </c>
      <c r="J555" s="6" t="str">
        <f t="shared" si="68"/>
        <v>,</v>
      </c>
    </row>
    <row r="556" spans="1:10">
      <c r="A556" s="4" t="str">
        <f>'EN60'!A$3</f>
        <v>EN60</v>
      </c>
      <c r="B556" s="4">
        <f t="shared" si="69"/>
        <v>19</v>
      </c>
      <c r="C556" s="4">
        <f t="shared" si="70"/>
        <v>5</v>
      </c>
      <c r="D556" s="4">
        <f t="shared" si="64"/>
        <v>8</v>
      </c>
      <c r="E556" s="4" t="s">
        <v>27</v>
      </c>
      <c r="F556" s="4">
        <f t="shared" si="65"/>
        <v>500</v>
      </c>
      <c r="G556" s="5">
        <f t="shared" si="71"/>
        <v>1.01</v>
      </c>
      <c r="H556" s="6" t="str">
        <f t="shared" si="66"/>
        <v>INSERT INTO public.coupon (plancode, age, "year", couponrate, benefittype, benefitrate, premiumrate) VALUES('EN60', 19, 5, 8, 'A',500, 1.01);</v>
      </c>
      <c r="I556" s="6" t="str">
        <f t="shared" si="67"/>
        <v>{"age":"19", "year":"5", "couponrate":"8", "benefittype":"A", "benefitrate":"500", "premiumrate":"1.01"}</v>
      </c>
      <c r="J556" s="6" t="str">
        <f t="shared" si="68"/>
        <v>,</v>
      </c>
    </row>
    <row r="557" spans="1:10">
      <c r="A557" s="4" t="str">
        <f>'EN60'!A$3</f>
        <v>EN60</v>
      </c>
      <c r="B557" s="4">
        <f t="shared" si="69"/>
        <v>19</v>
      </c>
      <c r="C557" s="4">
        <f t="shared" si="70"/>
        <v>6</v>
      </c>
      <c r="D557" s="4">
        <f t="shared" si="64"/>
        <v>8</v>
      </c>
      <c r="E557" s="4" t="s">
        <v>27</v>
      </c>
      <c r="F557" s="4">
        <f t="shared" si="65"/>
        <v>600</v>
      </c>
      <c r="G557" s="5">
        <f t="shared" si="71"/>
        <v>1.01</v>
      </c>
      <c r="H557" s="6" t="str">
        <f t="shared" si="66"/>
        <v>INSERT INTO public.coupon (plancode, age, "year", couponrate, benefittype, benefitrate, premiumrate) VALUES('EN60', 19, 6, 8, 'A',600, 1.01);</v>
      </c>
      <c r="I557" s="6" t="str">
        <f t="shared" si="67"/>
        <v>{"age":"19", "year":"6", "couponrate":"8", "benefittype":"A", "benefitrate":"600", "premiumrate":"1.01"}</v>
      </c>
      <c r="J557" s="6" t="str">
        <f t="shared" si="68"/>
        <v>,</v>
      </c>
    </row>
    <row r="558" spans="1:10">
      <c r="A558" s="4" t="str">
        <f>'EN60'!A$3</f>
        <v>EN60</v>
      </c>
      <c r="B558" s="4">
        <f t="shared" si="69"/>
        <v>19</v>
      </c>
      <c r="C558" s="4">
        <f t="shared" si="70"/>
        <v>7</v>
      </c>
      <c r="D558" s="4">
        <f t="shared" si="64"/>
        <v>8</v>
      </c>
      <c r="E558" s="4" t="s">
        <v>27</v>
      </c>
      <c r="F558" s="4">
        <f t="shared" si="65"/>
        <v>700</v>
      </c>
      <c r="G558" s="5">
        <f t="shared" si="71"/>
        <v>1.01</v>
      </c>
      <c r="H558" s="6" t="str">
        <f t="shared" si="66"/>
        <v>INSERT INTO public.coupon (plancode, age, "year", couponrate, benefittype, benefitrate, premiumrate) VALUES('EN60', 19, 7, 8, 'A',700, 1.01);</v>
      </c>
      <c r="I558" s="6" t="str">
        <f t="shared" si="67"/>
        <v>{"age":"19", "year":"7", "couponrate":"8", "benefittype":"A", "benefitrate":"700", "premiumrate":"1.01"}</v>
      </c>
      <c r="J558" s="6" t="str">
        <f t="shared" si="68"/>
        <v>,</v>
      </c>
    </row>
    <row r="559" spans="1:10">
      <c r="A559" s="4" t="str">
        <f>'EN60'!A$3</f>
        <v>EN60</v>
      </c>
      <c r="B559" s="4">
        <f t="shared" si="69"/>
        <v>19</v>
      </c>
      <c r="C559" s="4">
        <f t="shared" si="70"/>
        <v>8</v>
      </c>
      <c r="D559" s="4">
        <f t="shared" si="64"/>
        <v>8</v>
      </c>
      <c r="E559" s="4" t="s">
        <v>27</v>
      </c>
      <c r="F559" s="4">
        <f t="shared" si="65"/>
        <v>800</v>
      </c>
      <c r="G559" s="5">
        <f t="shared" si="71"/>
        <v>1.01</v>
      </c>
      <c r="H559" s="6" t="str">
        <f t="shared" si="66"/>
        <v>INSERT INTO public.coupon (plancode, age, "year", couponrate, benefittype, benefitrate, premiumrate) VALUES('EN60', 19, 8, 8, 'A',800, 1.01);</v>
      </c>
      <c r="I559" s="6" t="str">
        <f t="shared" si="67"/>
        <v>{"age":"19", "year":"8", "couponrate":"8", "benefittype":"A", "benefitrate":"800", "premiumrate":"1.01"}</v>
      </c>
      <c r="J559" s="6" t="str">
        <f t="shared" si="68"/>
        <v>,</v>
      </c>
    </row>
    <row r="560" spans="1:10">
      <c r="A560" s="4" t="str">
        <f>'EN60'!A$3</f>
        <v>EN60</v>
      </c>
      <c r="B560" s="4">
        <f t="shared" si="69"/>
        <v>19</v>
      </c>
      <c r="C560" s="4">
        <f t="shared" si="70"/>
        <v>9</v>
      </c>
      <c r="D560" s="4">
        <f t="shared" si="64"/>
        <v>8</v>
      </c>
      <c r="E560" s="4" t="s">
        <v>27</v>
      </c>
      <c r="F560" s="4">
        <f t="shared" si="65"/>
        <v>800</v>
      </c>
      <c r="G560" s="5">
        <f t="shared" si="71"/>
        <v>1.01</v>
      </c>
      <c r="H560" s="6" t="str">
        <f t="shared" si="66"/>
        <v>INSERT INTO public.coupon (plancode, age, "year", couponrate, benefittype, benefitrate, premiumrate) VALUES('EN60', 19, 9, 8, 'A',800, 1.01);</v>
      </c>
      <c r="I560" s="6" t="str">
        <f t="shared" si="67"/>
        <v>{"age":"19", "year":"9", "couponrate":"8", "benefittype":"A", "benefitrate":"800", "premiumrate":"1.01"}</v>
      </c>
      <c r="J560" s="6" t="str">
        <f t="shared" si="68"/>
        <v>,</v>
      </c>
    </row>
    <row r="561" spans="1:10">
      <c r="A561" s="4" t="str">
        <f>'EN60'!A$3</f>
        <v>EN60</v>
      </c>
      <c r="B561" s="4">
        <f t="shared" si="69"/>
        <v>19</v>
      </c>
      <c r="C561" s="4">
        <f t="shared" si="70"/>
        <v>10</v>
      </c>
      <c r="D561" s="4">
        <f t="shared" si="64"/>
        <v>8</v>
      </c>
      <c r="E561" s="4" t="s">
        <v>27</v>
      </c>
      <c r="F561" s="4">
        <f t="shared" si="65"/>
        <v>800</v>
      </c>
      <c r="G561" s="5">
        <f t="shared" si="71"/>
        <v>1.01</v>
      </c>
      <c r="H561" s="6" t="str">
        <f t="shared" si="66"/>
        <v>INSERT INTO public.coupon (plancode, age, "year", couponrate, benefittype, benefitrate, premiumrate) VALUES('EN60', 19, 10, 8, 'A',800, 1.01);</v>
      </c>
      <c r="I561" s="6" t="str">
        <f t="shared" si="67"/>
        <v>{"age":"19", "year":"10", "couponrate":"8", "benefittype":"A", "benefitrate":"800", "premiumrate":"1.01"}</v>
      </c>
      <c r="J561" s="6" t="str">
        <f t="shared" si="68"/>
        <v>,</v>
      </c>
    </row>
    <row r="562" spans="1:10">
      <c r="A562" s="4" t="str">
        <f>'EN60'!A$3</f>
        <v>EN60</v>
      </c>
      <c r="B562" s="4">
        <f t="shared" si="69"/>
        <v>19</v>
      </c>
      <c r="C562" s="4">
        <f t="shared" si="70"/>
        <v>11</v>
      </c>
      <c r="D562" s="4">
        <f t="shared" si="64"/>
        <v>8</v>
      </c>
      <c r="E562" s="4" t="s">
        <v>27</v>
      </c>
      <c r="F562" s="4">
        <f t="shared" si="65"/>
        <v>800</v>
      </c>
      <c r="G562" s="5">
        <f t="shared" si="71"/>
        <v>1.01</v>
      </c>
      <c r="H562" s="6" t="str">
        <f t="shared" si="66"/>
        <v>INSERT INTO public.coupon (plancode, age, "year", couponrate, benefittype, benefitrate, premiumrate) VALUES('EN60', 19, 11, 8, 'A',800, 1.01);</v>
      </c>
      <c r="I562" s="6" t="str">
        <f t="shared" si="67"/>
        <v>{"age":"19", "year":"11", "couponrate":"8", "benefittype":"A", "benefitrate":"800", "premiumrate":"1.01"}</v>
      </c>
      <c r="J562" s="6" t="str">
        <f t="shared" si="68"/>
        <v>,</v>
      </c>
    </row>
    <row r="563" spans="1:10">
      <c r="A563" s="4" t="str">
        <f>'EN60'!A$3</f>
        <v>EN60</v>
      </c>
      <c r="B563" s="4">
        <f t="shared" si="69"/>
        <v>19</v>
      </c>
      <c r="C563" s="4">
        <f t="shared" si="70"/>
        <v>12</v>
      </c>
      <c r="D563" s="4">
        <f t="shared" si="64"/>
        <v>8</v>
      </c>
      <c r="E563" s="4" t="s">
        <v>27</v>
      </c>
      <c r="F563" s="4">
        <f t="shared" si="65"/>
        <v>800</v>
      </c>
      <c r="G563" s="5">
        <f t="shared" si="71"/>
        <v>1.01</v>
      </c>
      <c r="H563" s="6" t="str">
        <f t="shared" si="66"/>
        <v>INSERT INTO public.coupon (plancode, age, "year", couponrate, benefittype, benefitrate, premiumrate) VALUES('EN60', 19, 12, 8, 'A',800, 1.01);</v>
      </c>
      <c r="I563" s="6" t="str">
        <f t="shared" si="67"/>
        <v>{"age":"19", "year":"12", "couponrate":"8", "benefittype":"A", "benefitrate":"800", "premiumrate":"1.01"}</v>
      </c>
      <c r="J563" s="6" t="str">
        <f t="shared" si="68"/>
        <v>,</v>
      </c>
    </row>
    <row r="564" spans="1:10">
      <c r="A564" s="4" t="str">
        <f>'EN60'!A$3</f>
        <v>EN60</v>
      </c>
      <c r="B564" s="4">
        <f t="shared" si="69"/>
        <v>19</v>
      </c>
      <c r="C564" s="4">
        <f t="shared" si="70"/>
        <v>13</v>
      </c>
      <c r="D564" s="4">
        <f t="shared" si="64"/>
        <v>8</v>
      </c>
      <c r="E564" s="4" t="s">
        <v>27</v>
      </c>
      <c r="F564" s="4">
        <f t="shared" si="65"/>
        <v>800</v>
      </c>
      <c r="G564" s="5">
        <f t="shared" si="71"/>
        <v>1.01</v>
      </c>
      <c r="H564" s="6" t="str">
        <f t="shared" si="66"/>
        <v>INSERT INTO public.coupon (plancode, age, "year", couponrate, benefittype, benefitrate, premiumrate) VALUES('EN60', 19, 13, 8, 'A',800, 1.01);</v>
      </c>
      <c r="I564" s="6" t="str">
        <f t="shared" si="67"/>
        <v>{"age":"19", "year":"13", "couponrate":"8", "benefittype":"A", "benefitrate":"800", "premiumrate":"1.01"}</v>
      </c>
      <c r="J564" s="6" t="str">
        <f t="shared" si="68"/>
        <v>,</v>
      </c>
    </row>
    <row r="565" spans="1:10">
      <c r="A565" s="4" t="str">
        <f>'EN60'!A$3</f>
        <v>EN60</v>
      </c>
      <c r="B565" s="4">
        <f t="shared" si="69"/>
        <v>19</v>
      </c>
      <c r="C565" s="4">
        <f t="shared" si="70"/>
        <v>14</v>
      </c>
      <c r="D565" s="4">
        <f t="shared" si="64"/>
        <v>8</v>
      </c>
      <c r="E565" s="4" t="s">
        <v>27</v>
      </c>
      <c r="F565" s="4">
        <f t="shared" si="65"/>
        <v>800</v>
      </c>
      <c r="G565" s="5">
        <f t="shared" si="71"/>
        <v>1.01</v>
      </c>
      <c r="H565" s="6" t="str">
        <f t="shared" si="66"/>
        <v>INSERT INTO public.coupon (plancode, age, "year", couponrate, benefittype, benefitrate, premiumrate) VALUES('EN60', 19, 14, 8, 'A',800, 1.01);</v>
      </c>
      <c r="I565" s="6" t="str">
        <f t="shared" si="67"/>
        <v>{"age":"19", "year":"14", "couponrate":"8", "benefittype":"A", "benefitrate":"800", "premiumrate":"1.01"}</v>
      </c>
      <c r="J565" s="6" t="str">
        <f t="shared" si="68"/>
        <v>,</v>
      </c>
    </row>
    <row r="566" spans="1:10">
      <c r="A566" s="4" t="str">
        <f>'EN60'!A$3</f>
        <v>EN60</v>
      </c>
      <c r="B566" s="4">
        <f t="shared" si="69"/>
        <v>19</v>
      </c>
      <c r="C566" s="4">
        <f t="shared" si="70"/>
        <v>15</v>
      </c>
      <c r="D566" s="4">
        <f t="shared" si="64"/>
        <v>8</v>
      </c>
      <c r="E566" s="4" t="s">
        <v>27</v>
      </c>
      <c r="F566" s="4">
        <f t="shared" si="65"/>
        <v>800</v>
      </c>
      <c r="G566" s="5">
        <f t="shared" si="71"/>
        <v>1.01</v>
      </c>
      <c r="H566" s="6" t="str">
        <f t="shared" si="66"/>
        <v>INSERT INTO public.coupon (plancode, age, "year", couponrate, benefittype, benefitrate, premiumrate) VALUES('EN60', 19, 15, 8, 'A',800, 1.01);</v>
      </c>
      <c r="I566" s="6" t="str">
        <f t="shared" si="67"/>
        <v>{"age":"19", "year":"15", "couponrate":"8", "benefittype":"A", "benefitrate":"800", "premiumrate":"1.01"}</v>
      </c>
      <c r="J566" s="6" t="str">
        <f t="shared" si="68"/>
        <v>,</v>
      </c>
    </row>
    <row r="567" spans="1:10">
      <c r="A567" s="4" t="str">
        <f>'EN60'!A$3</f>
        <v>EN60</v>
      </c>
      <c r="B567" s="4">
        <f t="shared" si="69"/>
        <v>19</v>
      </c>
      <c r="C567" s="4">
        <f t="shared" si="70"/>
        <v>16</v>
      </c>
      <c r="D567" s="4">
        <f t="shared" si="64"/>
        <v>8</v>
      </c>
      <c r="E567" s="4" t="s">
        <v>27</v>
      </c>
      <c r="F567" s="4">
        <f t="shared" si="65"/>
        <v>800</v>
      </c>
      <c r="G567" s="5">
        <f t="shared" si="71"/>
        <v>1.01</v>
      </c>
      <c r="H567" s="6" t="str">
        <f t="shared" si="66"/>
        <v>INSERT INTO public.coupon (plancode, age, "year", couponrate, benefittype, benefitrate, premiumrate) VALUES('EN60', 19, 16, 8, 'A',800, 1.01);</v>
      </c>
      <c r="I567" s="6" t="str">
        <f t="shared" si="67"/>
        <v>{"age":"19", "year":"16", "couponrate":"8", "benefittype":"A", "benefitrate":"800", "premiumrate":"1.01"}</v>
      </c>
      <c r="J567" s="6" t="str">
        <f t="shared" si="68"/>
        <v>,</v>
      </c>
    </row>
    <row r="568" spans="1:10">
      <c r="A568" s="4" t="str">
        <f>'EN60'!A$3</f>
        <v>EN60</v>
      </c>
      <c r="B568" s="4">
        <f t="shared" si="69"/>
        <v>19</v>
      </c>
      <c r="C568" s="4">
        <f t="shared" si="70"/>
        <v>17</v>
      </c>
      <c r="D568" s="4">
        <f t="shared" si="64"/>
        <v>8</v>
      </c>
      <c r="E568" s="4" t="s">
        <v>27</v>
      </c>
      <c r="F568" s="4">
        <f t="shared" si="65"/>
        <v>800</v>
      </c>
      <c r="G568" s="5">
        <f t="shared" si="71"/>
        <v>1.01</v>
      </c>
      <c r="H568" s="6" t="str">
        <f t="shared" si="66"/>
        <v>INSERT INTO public.coupon (plancode, age, "year", couponrate, benefittype, benefitrate, premiumrate) VALUES('EN60', 19, 17, 8, 'A',800, 1.01);</v>
      </c>
      <c r="I568" s="6" t="str">
        <f t="shared" si="67"/>
        <v>{"age":"19", "year":"17", "couponrate":"8", "benefittype":"A", "benefitrate":"800", "premiumrate":"1.01"}</v>
      </c>
      <c r="J568" s="6" t="str">
        <f t="shared" si="68"/>
        <v>,</v>
      </c>
    </row>
    <row r="569" spans="1:10">
      <c r="A569" s="4" t="str">
        <f>'EN60'!A$3</f>
        <v>EN60</v>
      </c>
      <c r="B569" s="4">
        <f t="shared" si="69"/>
        <v>19</v>
      </c>
      <c r="C569" s="4">
        <f t="shared" si="70"/>
        <v>18</v>
      </c>
      <c r="D569" s="4">
        <f t="shared" si="64"/>
        <v>8</v>
      </c>
      <c r="E569" s="4" t="s">
        <v>27</v>
      </c>
      <c r="F569" s="4">
        <f t="shared" si="65"/>
        <v>800</v>
      </c>
      <c r="G569" s="5">
        <f t="shared" si="71"/>
        <v>1.01</v>
      </c>
      <c r="H569" s="6" t="str">
        <f t="shared" si="66"/>
        <v>INSERT INTO public.coupon (plancode, age, "year", couponrate, benefittype, benefitrate, premiumrate) VALUES('EN60', 19, 18, 8, 'A',800, 1.01);</v>
      </c>
      <c r="I569" s="6" t="str">
        <f t="shared" si="67"/>
        <v>{"age":"19", "year":"18", "couponrate":"8", "benefittype":"A", "benefitrate":"800", "premiumrate":"1.01"}</v>
      </c>
      <c r="J569" s="6" t="str">
        <f t="shared" si="68"/>
        <v>,</v>
      </c>
    </row>
    <row r="570" spans="1:10">
      <c r="A570" s="4" t="str">
        <f>'EN60'!A$3</f>
        <v>EN60</v>
      </c>
      <c r="B570" s="4">
        <f t="shared" si="69"/>
        <v>19</v>
      </c>
      <c r="C570" s="4">
        <f t="shared" si="70"/>
        <v>19</v>
      </c>
      <c r="D570" s="4">
        <f t="shared" si="64"/>
        <v>8</v>
      </c>
      <c r="E570" s="4" t="s">
        <v>27</v>
      </c>
      <c r="F570" s="4">
        <f t="shared" si="65"/>
        <v>800</v>
      </c>
      <c r="G570" s="5">
        <f t="shared" si="71"/>
        <v>1.01</v>
      </c>
      <c r="H570" s="6" t="str">
        <f t="shared" si="66"/>
        <v>INSERT INTO public.coupon (plancode, age, "year", couponrate, benefittype, benefitrate, premiumrate) VALUES('EN60', 19, 19, 8, 'A',800, 1.01);</v>
      </c>
      <c r="I570" s="6" t="str">
        <f t="shared" si="67"/>
        <v>{"age":"19", "year":"19", "couponrate":"8", "benefittype":"A", "benefitrate":"800", "premiumrate":"1.01"}</v>
      </c>
      <c r="J570" s="6" t="str">
        <f t="shared" si="68"/>
        <v>,</v>
      </c>
    </row>
    <row r="571" spans="1:10">
      <c r="A571" s="4" t="str">
        <f>'EN60'!A$3</f>
        <v>EN60</v>
      </c>
      <c r="B571" s="4">
        <f t="shared" si="69"/>
        <v>19</v>
      </c>
      <c r="C571" s="4">
        <f t="shared" si="70"/>
        <v>20</v>
      </c>
      <c r="D571" s="4">
        <f t="shared" si="64"/>
        <v>8</v>
      </c>
      <c r="E571" s="4" t="s">
        <v>27</v>
      </c>
      <c r="F571" s="4">
        <f t="shared" si="65"/>
        <v>800</v>
      </c>
      <c r="G571" s="5">
        <f t="shared" si="71"/>
        <v>1.01</v>
      </c>
      <c r="H571" s="6" t="str">
        <f t="shared" si="66"/>
        <v>INSERT INTO public.coupon (plancode, age, "year", couponrate, benefittype, benefitrate, premiumrate) VALUES('EN60', 19, 20, 8, 'A',800, 1.01);</v>
      </c>
      <c r="I571" s="6" t="str">
        <f t="shared" si="67"/>
        <v>{"age":"19", "year":"20", "couponrate":"8", "benefittype":"A", "benefitrate":"800", "premiumrate":"1.01"}</v>
      </c>
      <c r="J571" s="6" t="str">
        <f t="shared" si="68"/>
        <v>,</v>
      </c>
    </row>
    <row r="572" spans="1:10">
      <c r="A572" s="4" t="str">
        <f>'EN60'!A$3</f>
        <v>EN60</v>
      </c>
      <c r="B572" s="4">
        <f t="shared" si="69"/>
        <v>19</v>
      </c>
      <c r="C572" s="4">
        <f t="shared" si="70"/>
        <v>21</v>
      </c>
      <c r="D572" s="4">
        <f t="shared" si="64"/>
        <v>8</v>
      </c>
      <c r="E572" s="4" t="s">
        <v>27</v>
      </c>
      <c r="F572" s="4">
        <f t="shared" si="65"/>
        <v>800</v>
      </c>
      <c r="G572" s="5">
        <f t="shared" si="71"/>
        <v>1.01</v>
      </c>
      <c r="H572" s="6" t="str">
        <f t="shared" si="66"/>
        <v>INSERT INTO public.coupon (plancode, age, "year", couponrate, benefittype, benefitrate, premiumrate) VALUES('EN60', 19, 21, 8, 'A',800, 1.01);</v>
      </c>
      <c r="I572" s="6" t="str">
        <f t="shared" si="67"/>
        <v>{"age":"19", "year":"21", "couponrate":"8", "benefittype":"A", "benefitrate":"800", "premiumrate":"1.01"}</v>
      </c>
      <c r="J572" s="6" t="str">
        <f t="shared" si="68"/>
        <v>,</v>
      </c>
    </row>
    <row r="573" spans="1:10">
      <c r="A573" s="4" t="str">
        <f>'EN60'!A$3</f>
        <v>EN60</v>
      </c>
      <c r="B573" s="4">
        <f t="shared" si="69"/>
        <v>19</v>
      </c>
      <c r="C573" s="4">
        <f t="shared" si="70"/>
        <v>22</v>
      </c>
      <c r="D573" s="4">
        <f t="shared" si="64"/>
        <v>8</v>
      </c>
      <c r="E573" s="4" t="s">
        <v>27</v>
      </c>
      <c r="F573" s="4">
        <f t="shared" si="65"/>
        <v>800</v>
      </c>
      <c r="G573" s="5">
        <f t="shared" si="71"/>
        <v>1.01</v>
      </c>
      <c r="H573" s="6" t="str">
        <f t="shared" si="66"/>
        <v>INSERT INTO public.coupon (plancode, age, "year", couponrate, benefittype, benefitrate, premiumrate) VALUES('EN60', 19, 22, 8, 'A',800, 1.01);</v>
      </c>
      <c r="I573" s="6" t="str">
        <f t="shared" si="67"/>
        <v>{"age":"19", "year":"22", "couponrate":"8", "benefittype":"A", "benefitrate":"800", "premiumrate":"1.01"}</v>
      </c>
      <c r="J573" s="6" t="str">
        <f t="shared" si="68"/>
        <v>,</v>
      </c>
    </row>
    <row r="574" spans="1:10">
      <c r="A574" s="4" t="str">
        <f>'EN60'!A$3</f>
        <v>EN60</v>
      </c>
      <c r="B574" s="4">
        <f t="shared" si="69"/>
        <v>19</v>
      </c>
      <c r="C574" s="4">
        <f t="shared" si="70"/>
        <v>23</v>
      </c>
      <c r="D574" s="4">
        <f t="shared" si="64"/>
        <v>8</v>
      </c>
      <c r="E574" s="4" t="s">
        <v>27</v>
      </c>
      <c r="F574" s="4">
        <f t="shared" si="65"/>
        <v>800</v>
      </c>
      <c r="G574" s="5">
        <f t="shared" si="71"/>
        <v>1.01</v>
      </c>
      <c r="H574" s="6" t="str">
        <f t="shared" si="66"/>
        <v>INSERT INTO public.coupon (plancode, age, "year", couponrate, benefittype, benefitrate, premiumrate) VALUES('EN60', 19, 23, 8, 'A',800, 1.01);</v>
      </c>
      <c r="I574" s="6" t="str">
        <f t="shared" si="67"/>
        <v>{"age":"19", "year":"23", "couponrate":"8", "benefittype":"A", "benefitrate":"800", "premiumrate":"1.01"}</v>
      </c>
      <c r="J574" s="6" t="str">
        <f t="shared" si="68"/>
        <v>,</v>
      </c>
    </row>
    <row r="575" spans="1:10">
      <c r="A575" s="4" t="str">
        <f>'EN60'!A$3</f>
        <v>EN60</v>
      </c>
      <c r="B575" s="4">
        <f t="shared" si="69"/>
        <v>19</v>
      </c>
      <c r="C575" s="4">
        <f t="shared" si="70"/>
        <v>24</v>
      </c>
      <c r="D575" s="4">
        <f t="shared" si="64"/>
        <v>8</v>
      </c>
      <c r="E575" s="4" t="s">
        <v>27</v>
      </c>
      <c r="F575" s="4">
        <f t="shared" si="65"/>
        <v>800</v>
      </c>
      <c r="G575" s="5">
        <f t="shared" si="71"/>
        <v>1.01</v>
      </c>
      <c r="H575" s="6" t="str">
        <f t="shared" si="66"/>
        <v>INSERT INTO public.coupon (plancode, age, "year", couponrate, benefittype, benefitrate, premiumrate) VALUES('EN60', 19, 24, 8, 'A',800, 1.01);</v>
      </c>
      <c r="I575" s="6" t="str">
        <f t="shared" si="67"/>
        <v>{"age":"19", "year":"24", "couponrate":"8", "benefittype":"A", "benefitrate":"800", "premiumrate":"1.01"}</v>
      </c>
      <c r="J575" s="6" t="str">
        <f t="shared" si="68"/>
        <v>,</v>
      </c>
    </row>
    <row r="576" spans="1:10">
      <c r="A576" s="4" t="str">
        <f>'EN60'!A$3</f>
        <v>EN60</v>
      </c>
      <c r="B576" s="4">
        <f t="shared" si="69"/>
        <v>19</v>
      </c>
      <c r="C576" s="4">
        <f t="shared" si="70"/>
        <v>25</v>
      </c>
      <c r="D576" s="4">
        <f t="shared" si="64"/>
        <v>8</v>
      </c>
      <c r="E576" s="4" t="s">
        <v>27</v>
      </c>
      <c r="F576" s="4">
        <f t="shared" si="65"/>
        <v>800</v>
      </c>
      <c r="G576" s="5">
        <f t="shared" si="71"/>
        <v>1.01</v>
      </c>
      <c r="H576" s="6" t="str">
        <f t="shared" si="66"/>
        <v>INSERT INTO public.coupon (plancode, age, "year", couponrate, benefittype, benefitrate, premiumrate) VALUES('EN60', 19, 25, 8, 'A',800, 1.01);</v>
      </c>
      <c r="I576" s="6" t="str">
        <f t="shared" si="67"/>
        <v>{"age":"19", "year":"25", "couponrate":"8", "benefittype":"A", "benefitrate":"800", "premiumrate":"1.01"}</v>
      </c>
      <c r="J576" s="6" t="str">
        <f t="shared" si="68"/>
        <v>,</v>
      </c>
    </row>
    <row r="577" spans="1:10">
      <c r="A577" s="4" t="str">
        <f>'EN60'!A$3</f>
        <v>EN60</v>
      </c>
      <c r="B577" s="4">
        <f t="shared" si="69"/>
        <v>19</v>
      </c>
      <c r="C577" s="4">
        <f t="shared" si="70"/>
        <v>26</v>
      </c>
      <c r="D577" s="4">
        <f t="shared" si="64"/>
        <v>8</v>
      </c>
      <c r="E577" s="4" t="s">
        <v>27</v>
      </c>
      <c r="F577" s="4">
        <f t="shared" si="65"/>
        <v>800</v>
      </c>
      <c r="G577" s="5">
        <f t="shared" si="71"/>
        <v>1.01</v>
      </c>
      <c r="H577" s="6" t="str">
        <f t="shared" si="66"/>
        <v>INSERT INTO public.coupon (plancode, age, "year", couponrate, benefittype, benefitrate, premiumrate) VALUES('EN60', 19, 26, 8, 'A',800, 1.01);</v>
      </c>
      <c r="I577" s="6" t="str">
        <f t="shared" si="67"/>
        <v>{"age":"19", "year":"26", "couponrate":"8", "benefittype":"A", "benefitrate":"800", "premiumrate":"1.01"}</v>
      </c>
      <c r="J577" s="6" t="str">
        <f t="shared" si="68"/>
        <v>,</v>
      </c>
    </row>
    <row r="578" spans="1:10">
      <c r="A578" s="4" t="str">
        <f>'EN60'!A$3</f>
        <v>EN60</v>
      </c>
      <c r="B578" s="4">
        <f t="shared" si="69"/>
        <v>19</v>
      </c>
      <c r="C578" s="4">
        <f t="shared" si="70"/>
        <v>27</v>
      </c>
      <c r="D578" s="4">
        <f t="shared" si="64"/>
        <v>8</v>
      </c>
      <c r="E578" s="4" t="s">
        <v>27</v>
      </c>
      <c r="F578" s="4">
        <f t="shared" si="65"/>
        <v>800</v>
      </c>
      <c r="G578" s="5">
        <f t="shared" si="71"/>
        <v>1.01</v>
      </c>
      <c r="H578" s="6" t="str">
        <f t="shared" si="66"/>
        <v>INSERT INTO public.coupon (plancode, age, "year", couponrate, benefittype, benefitrate, premiumrate) VALUES('EN60', 19, 27, 8, 'A',800, 1.01);</v>
      </c>
      <c r="I578" s="6" t="str">
        <f t="shared" si="67"/>
        <v>{"age":"19", "year":"27", "couponrate":"8", "benefittype":"A", "benefitrate":"800", "premiumrate":"1.01"}</v>
      </c>
      <c r="J578" s="6" t="str">
        <f t="shared" si="68"/>
        <v>,</v>
      </c>
    </row>
    <row r="579" spans="1:10">
      <c r="A579" s="4" t="str">
        <f>'EN60'!A$3</f>
        <v>EN60</v>
      </c>
      <c r="B579" s="4">
        <f t="shared" si="69"/>
        <v>19</v>
      </c>
      <c r="C579" s="4">
        <f t="shared" si="70"/>
        <v>28</v>
      </c>
      <c r="D579" s="4">
        <f t="shared" si="64"/>
        <v>8</v>
      </c>
      <c r="E579" s="4" t="s">
        <v>27</v>
      </c>
      <c r="F579" s="4">
        <f t="shared" si="65"/>
        <v>800</v>
      </c>
      <c r="G579" s="5">
        <f t="shared" si="71"/>
        <v>1.01</v>
      </c>
      <c r="H579" s="6" t="str">
        <f t="shared" si="66"/>
        <v>INSERT INTO public.coupon (plancode, age, "year", couponrate, benefittype, benefitrate, premiumrate) VALUES('EN60', 19, 28, 8, 'A',800, 1.01);</v>
      </c>
      <c r="I579" s="6" t="str">
        <f t="shared" si="67"/>
        <v>{"age":"19", "year":"28", "couponrate":"8", "benefittype":"A", "benefitrate":"800", "premiumrate":"1.01"}</v>
      </c>
      <c r="J579" s="6" t="str">
        <f t="shared" si="68"/>
        <v>,</v>
      </c>
    </row>
    <row r="580" spans="1:10">
      <c r="A580" s="4" t="str">
        <f>'EN60'!A$3</f>
        <v>EN60</v>
      </c>
      <c r="B580" s="4">
        <f t="shared" si="69"/>
        <v>19</v>
      </c>
      <c r="C580" s="4">
        <f t="shared" si="70"/>
        <v>29</v>
      </c>
      <c r="D580" s="4">
        <f t="shared" si="64"/>
        <v>8</v>
      </c>
      <c r="E580" s="4" t="s">
        <v>27</v>
      </c>
      <c r="F580" s="4">
        <f t="shared" si="65"/>
        <v>800</v>
      </c>
      <c r="G580" s="5">
        <f t="shared" si="71"/>
        <v>1.01</v>
      </c>
      <c r="H580" s="6" t="str">
        <f t="shared" si="66"/>
        <v>INSERT INTO public.coupon (plancode, age, "year", couponrate, benefittype, benefitrate, premiumrate) VALUES('EN60', 19, 29, 8, 'A',800, 1.01);</v>
      </c>
      <c r="I580" s="6" t="str">
        <f t="shared" si="67"/>
        <v>{"age":"19", "year":"29", "couponrate":"8", "benefittype":"A", "benefitrate":"800", "premiumrate":"1.01"}</v>
      </c>
      <c r="J580" s="6" t="str">
        <f t="shared" si="68"/>
        <v>,</v>
      </c>
    </row>
    <row r="581" spans="1:10">
      <c r="A581" s="4" t="str">
        <f>'EN60'!A$3</f>
        <v>EN60</v>
      </c>
      <c r="B581" s="4">
        <f t="shared" si="69"/>
        <v>19</v>
      </c>
      <c r="C581" s="4">
        <f t="shared" si="70"/>
        <v>30</v>
      </c>
      <c r="D581" s="4">
        <f t="shared" si="64"/>
        <v>8</v>
      </c>
      <c r="E581" s="4" t="s">
        <v>27</v>
      </c>
      <c r="F581" s="4">
        <f t="shared" si="65"/>
        <v>800</v>
      </c>
      <c r="G581" s="5">
        <f t="shared" si="71"/>
        <v>1.01</v>
      </c>
      <c r="H581" s="6" t="str">
        <f t="shared" si="66"/>
        <v>INSERT INTO public.coupon (plancode, age, "year", couponrate, benefittype, benefitrate, premiumrate) VALUES('EN60', 19, 30, 8, 'A',800, 1.01);</v>
      </c>
      <c r="I581" s="6" t="str">
        <f t="shared" si="67"/>
        <v>{"age":"19", "year":"30", "couponrate":"8", "benefittype":"A", "benefitrate":"800", "premiumrate":"1.01"}</v>
      </c>
      <c r="J581" s="6" t="str">
        <f t="shared" si="68"/>
        <v>,</v>
      </c>
    </row>
    <row r="582" spans="1:10">
      <c r="A582" s="4" t="str">
        <f>'EN60'!A$3</f>
        <v>EN60</v>
      </c>
      <c r="B582" s="4">
        <f t="shared" si="69"/>
        <v>19</v>
      </c>
      <c r="C582" s="4">
        <f t="shared" si="70"/>
        <v>31</v>
      </c>
      <c r="D582" s="4">
        <f t="shared" si="64"/>
        <v>8</v>
      </c>
      <c r="E582" s="4" t="s">
        <v>27</v>
      </c>
      <c r="F582" s="4">
        <f t="shared" si="65"/>
        <v>800</v>
      </c>
      <c r="G582" s="5">
        <f t="shared" si="71"/>
        <v>1.01</v>
      </c>
      <c r="H582" s="6" t="str">
        <f t="shared" si="66"/>
        <v>INSERT INTO public.coupon (plancode, age, "year", couponrate, benefittype, benefitrate, premiumrate) VALUES('EN60', 19, 31, 8, 'A',800, 1.01);</v>
      </c>
      <c r="I582" s="6" t="str">
        <f t="shared" si="67"/>
        <v>{"age":"19", "year":"31", "couponrate":"8", "benefittype":"A", "benefitrate":"800", "premiumrate":"1.01"}</v>
      </c>
      <c r="J582" s="6" t="str">
        <f t="shared" si="68"/>
        <v>,</v>
      </c>
    </row>
    <row r="583" spans="1:10">
      <c r="A583" s="4" t="str">
        <f>'EN60'!A$3</f>
        <v>EN60</v>
      </c>
      <c r="B583" s="4">
        <f t="shared" si="69"/>
        <v>19</v>
      </c>
      <c r="C583" s="4">
        <f t="shared" si="70"/>
        <v>32</v>
      </c>
      <c r="D583" s="4">
        <f t="shared" si="64"/>
        <v>8</v>
      </c>
      <c r="E583" s="4" t="s">
        <v>27</v>
      </c>
      <c r="F583" s="4">
        <f t="shared" si="65"/>
        <v>800</v>
      </c>
      <c r="G583" s="5">
        <f t="shared" si="71"/>
        <v>1.01</v>
      </c>
      <c r="H583" s="6" t="str">
        <f t="shared" si="66"/>
        <v>INSERT INTO public.coupon (plancode, age, "year", couponrate, benefittype, benefitrate, premiumrate) VALUES('EN60', 19, 32, 8, 'A',800, 1.01);</v>
      </c>
      <c r="I583" s="6" t="str">
        <f t="shared" si="67"/>
        <v>{"age":"19", "year":"32", "couponrate":"8", "benefittype":"A", "benefitrate":"800", "premiumrate":"1.01"}</v>
      </c>
      <c r="J583" s="6" t="str">
        <f t="shared" si="68"/>
        <v>,</v>
      </c>
    </row>
    <row r="584" spans="1:10">
      <c r="A584" s="4" t="str">
        <f>'EN60'!A$3</f>
        <v>EN60</v>
      </c>
      <c r="B584" s="4">
        <f t="shared" si="69"/>
        <v>19</v>
      </c>
      <c r="C584" s="4">
        <f t="shared" si="70"/>
        <v>33</v>
      </c>
      <c r="D584" s="4">
        <f t="shared" si="64"/>
        <v>8</v>
      </c>
      <c r="E584" s="4" t="s">
        <v>27</v>
      </c>
      <c r="F584" s="4">
        <f t="shared" si="65"/>
        <v>800</v>
      </c>
      <c r="G584" s="5">
        <f t="shared" si="71"/>
        <v>1.01</v>
      </c>
      <c r="H584" s="6" t="str">
        <f t="shared" si="66"/>
        <v>INSERT INTO public.coupon (plancode, age, "year", couponrate, benefittype, benefitrate, premiumrate) VALUES('EN60', 19, 33, 8, 'A',800, 1.01);</v>
      </c>
      <c r="I584" s="6" t="str">
        <f t="shared" si="67"/>
        <v>{"age":"19", "year":"33", "couponrate":"8", "benefittype":"A", "benefitrate":"800", "premiumrate":"1.01"}</v>
      </c>
      <c r="J584" s="6" t="str">
        <f t="shared" si="68"/>
        <v>,</v>
      </c>
    </row>
    <row r="585" spans="1:10">
      <c r="A585" s="4" t="str">
        <f>'EN60'!A$3</f>
        <v>EN60</v>
      </c>
      <c r="B585" s="4">
        <f t="shared" si="69"/>
        <v>19</v>
      </c>
      <c r="C585" s="4">
        <f t="shared" si="70"/>
        <v>34</v>
      </c>
      <c r="D585" s="4">
        <f t="shared" si="64"/>
        <v>8</v>
      </c>
      <c r="E585" s="4" t="s">
        <v>27</v>
      </c>
      <c r="F585" s="4">
        <f t="shared" si="65"/>
        <v>800</v>
      </c>
      <c r="G585" s="5">
        <f t="shared" si="71"/>
        <v>1.01</v>
      </c>
      <c r="H585" s="6" t="str">
        <f t="shared" si="66"/>
        <v>INSERT INTO public.coupon (plancode, age, "year", couponrate, benefittype, benefitrate, premiumrate) VALUES('EN60', 19, 34, 8, 'A',800, 1.01);</v>
      </c>
      <c r="I585" s="6" t="str">
        <f t="shared" si="67"/>
        <v>{"age":"19", "year":"34", "couponrate":"8", "benefittype":"A", "benefitrate":"800", "premiumrate":"1.01"}</v>
      </c>
      <c r="J585" s="6" t="str">
        <f t="shared" si="68"/>
        <v>,</v>
      </c>
    </row>
    <row r="586" spans="1:10">
      <c r="A586" s="4" t="str">
        <f>'EN60'!A$3</f>
        <v>EN60</v>
      </c>
      <c r="B586" s="4">
        <f t="shared" si="69"/>
        <v>19</v>
      </c>
      <c r="C586" s="4">
        <f t="shared" si="70"/>
        <v>35</v>
      </c>
      <c r="D586" s="4">
        <f t="shared" si="64"/>
        <v>8</v>
      </c>
      <c r="E586" s="4" t="s">
        <v>27</v>
      </c>
      <c r="F586" s="4">
        <f t="shared" si="65"/>
        <v>800</v>
      </c>
      <c r="G586" s="5">
        <f t="shared" si="71"/>
        <v>1.01</v>
      </c>
      <c r="H586" s="6" t="str">
        <f t="shared" si="66"/>
        <v>INSERT INTO public.coupon (plancode, age, "year", couponrate, benefittype, benefitrate, premiumrate) VALUES('EN60', 19, 35, 8, 'A',800, 1.01);</v>
      </c>
      <c r="I586" s="6" t="str">
        <f t="shared" si="67"/>
        <v>{"age":"19", "year":"35", "couponrate":"8", "benefittype":"A", "benefitrate":"800", "premiumrate":"1.01"}</v>
      </c>
      <c r="J586" s="6" t="str">
        <f t="shared" si="68"/>
        <v>,</v>
      </c>
    </row>
    <row r="587" spans="1:10">
      <c r="A587" s="4" t="str">
        <f>'EN60'!A$3</f>
        <v>EN60</v>
      </c>
      <c r="B587" s="4">
        <f t="shared" si="69"/>
        <v>19</v>
      </c>
      <c r="C587" s="4">
        <f t="shared" si="70"/>
        <v>36</v>
      </c>
      <c r="D587" s="4">
        <f t="shared" si="64"/>
        <v>8</v>
      </c>
      <c r="E587" s="4" t="s">
        <v>27</v>
      </c>
      <c r="F587" s="4">
        <f t="shared" si="65"/>
        <v>800</v>
      </c>
      <c r="G587" s="5">
        <f t="shared" si="71"/>
        <v>1.01</v>
      </c>
      <c r="H587" s="6" t="str">
        <f t="shared" si="66"/>
        <v>INSERT INTO public.coupon (plancode, age, "year", couponrate, benefittype, benefitrate, premiumrate) VALUES('EN60', 19, 36, 8, 'A',800, 1.01);</v>
      </c>
      <c r="I587" s="6" t="str">
        <f t="shared" si="67"/>
        <v>{"age":"19", "year":"36", "couponrate":"8", "benefittype":"A", "benefitrate":"800", "premiumrate":"1.01"}</v>
      </c>
      <c r="J587" s="6" t="str">
        <f t="shared" si="68"/>
        <v>,</v>
      </c>
    </row>
    <row r="588" spans="1:10">
      <c r="A588" s="4" t="str">
        <f>'EN60'!A$3</f>
        <v>EN60</v>
      </c>
      <c r="B588" s="4">
        <f t="shared" si="69"/>
        <v>19</v>
      </c>
      <c r="C588" s="4">
        <f t="shared" si="70"/>
        <v>37</v>
      </c>
      <c r="D588" s="4">
        <f t="shared" si="64"/>
        <v>8</v>
      </c>
      <c r="E588" s="4" t="s">
        <v>27</v>
      </c>
      <c r="F588" s="4">
        <f t="shared" si="65"/>
        <v>800</v>
      </c>
      <c r="G588" s="5">
        <f t="shared" si="71"/>
        <v>1.01</v>
      </c>
      <c r="H588" s="6" t="str">
        <f t="shared" si="66"/>
        <v>INSERT INTO public.coupon (plancode, age, "year", couponrate, benefittype, benefitrate, premiumrate) VALUES('EN60', 19, 37, 8, 'A',800, 1.01);</v>
      </c>
      <c r="I588" s="6" t="str">
        <f t="shared" si="67"/>
        <v>{"age":"19", "year":"37", "couponrate":"8", "benefittype":"A", "benefitrate":"800", "premiumrate":"1.01"}</v>
      </c>
      <c r="J588" s="6" t="str">
        <f t="shared" si="68"/>
        <v>,</v>
      </c>
    </row>
    <row r="589" spans="1:10">
      <c r="A589" s="4" t="str">
        <f>'EN60'!A$3</f>
        <v>EN60</v>
      </c>
      <c r="B589" s="4">
        <f t="shared" si="69"/>
        <v>19</v>
      </c>
      <c r="C589" s="4">
        <f t="shared" si="70"/>
        <v>38</v>
      </c>
      <c r="D589" s="4">
        <f t="shared" si="64"/>
        <v>8</v>
      </c>
      <c r="E589" s="4" t="s">
        <v>27</v>
      </c>
      <c r="F589" s="4">
        <f t="shared" si="65"/>
        <v>800</v>
      </c>
      <c r="G589" s="5">
        <f t="shared" si="71"/>
        <v>1.01</v>
      </c>
      <c r="H589" s="6" t="str">
        <f t="shared" si="66"/>
        <v>INSERT INTO public.coupon (plancode, age, "year", couponrate, benefittype, benefitrate, premiumrate) VALUES('EN60', 19, 38, 8, 'A',800, 1.01);</v>
      </c>
      <c r="I589" s="6" t="str">
        <f t="shared" si="67"/>
        <v>{"age":"19", "year":"38", "couponrate":"8", "benefittype":"A", "benefitrate":"800", "premiumrate":"1.01"}</v>
      </c>
      <c r="J589" s="6" t="str">
        <f t="shared" si="68"/>
        <v>,</v>
      </c>
    </row>
    <row r="590" spans="1:10">
      <c r="A590" s="4" t="str">
        <f>'EN60'!A$3</f>
        <v>EN60</v>
      </c>
      <c r="B590" s="4">
        <f t="shared" si="69"/>
        <v>19</v>
      </c>
      <c r="C590" s="4">
        <f t="shared" si="70"/>
        <v>39</v>
      </c>
      <c r="D590" s="4">
        <f t="shared" si="64"/>
        <v>8</v>
      </c>
      <c r="E590" s="4" t="s">
        <v>27</v>
      </c>
      <c r="F590" s="4">
        <f t="shared" si="65"/>
        <v>800</v>
      </c>
      <c r="G590" s="5">
        <f t="shared" si="71"/>
        <v>1.01</v>
      </c>
      <c r="H590" s="6" t="str">
        <f t="shared" si="66"/>
        <v>INSERT INTO public.coupon (plancode, age, "year", couponrate, benefittype, benefitrate, premiumrate) VALUES('EN60', 19, 39, 8, 'A',800, 1.01);</v>
      </c>
      <c r="I590" s="6" t="str">
        <f t="shared" si="67"/>
        <v>{"age":"19", "year":"39", "couponrate":"8", "benefittype":"A", "benefitrate":"800", "premiumrate":"1.01"}</v>
      </c>
      <c r="J590" s="6" t="str">
        <f t="shared" si="68"/>
        <v>,</v>
      </c>
    </row>
    <row r="591" spans="1:10">
      <c r="A591" s="4" t="str">
        <f>'EN60'!A$3</f>
        <v>EN60</v>
      </c>
      <c r="B591" s="4">
        <f t="shared" si="69"/>
        <v>19</v>
      </c>
      <c r="C591" s="4">
        <f t="shared" si="70"/>
        <v>40</v>
      </c>
      <c r="D591" s="4">
        <f t="shared" si="64"/>
        <v>8</v>
      </c>
      <c r="E591" s="4" t="s">
        <v>27</v>
      </c>
      <c r="F591" s="4">
        <f t="shared" si="65"/>
        <v>800</v>
      </c>
      <c r="G591" s="5">
        <f t="shared" si="71"/>
        <v>1.01</v>
      </c>
      <c r="H591" s="6" t="str">
        <f t="shared" si="66"/>
        <v>INSERT INTO public.coupon (plancode, age, "year", couponrate, benefittype, benefitrate, premiumrate) VALUES('EN60', 19, 40, 8, 'A',800, 1.01);</v>
      </c>
      <c r="I591" s="6" t="str">
        <f t="shared" si="67"/>
        <v>{"age":"19", "year":"40", "couponrate":"8", "benefittype":"A", "benefitrate":"800", "premiumrate":"1.01"}</v>
      </c>
      <c r="J591" s="6" t="str">
        <f t="shared" si="68"/>
        <v>,</v>
      </c>
    </row>
    <row r="592" spans="1:10">
      <c r="A592" s="4" t="str">
        <f>'EN60'!A$3</f>
        <v>EN60</v>
      </c>
      <c r="B592" s="4">
        <f t="shared" si="69"/>
        <v>19</v>
      </c>
      <c r="C592" s="4">
        <f t="shared" si="70"/>
        <v>41</v>
      </c>
      <c r="D592" s="4">
        <f t="shared" si="64"/>
        <v>8</v>
      </c>
      <c r="E592" s="4" t="s">
        <v>27</v>
      </c>
      <c r="F592" s="4">
        <f t="shared" si="65"/>
        <v>800</v>
      </c>
      <c r="G592" s="5">
        <f t="shared" si="71"/>
        <v>1.01</v>
      </c>
      <c r="H592" s="6" t="str">
        <f t="shared" si="66"/>
        <v>INSERT INTO public.coupon (plancode, age, "year", couponrate, benefittype, benefitrate, premiumrate) VALUES('EN60', 19, 41, 8, 'A',800, 1.01);</v>
      </c>
      <c r="I592" s="6" t="str">
        <f t="shared" si="67"/>
        <v>{"age":"19", "year":"41", "couponrate":"8", "benefittype":"A", "benefitrate":"800", "premiumrate":"1.01"}</v>
      </c>
      <c r="J592" s="6" t="str">
        <f t="shared" si="68"/>
        <v>,</v>
      </c>
    </row>
    <row r="593" spans="1:10">
      <c r="A593" s="4" t="str">
        <f>'EN60'!A$3</f>
        <v>EN60</v>
      </c>
      <c r="B593" s="4">
        <f t="shared" si="69"/>
        <v>19</v>
      </c>
      <c r="C593" s="4">
        <f t="shared" si="70"/>
        <v>42</v>
      </c>
      <c r="D593" s="4">
        <f t="shared" si="64"/>
        <v>8</v>
      </c>
      <c r="E593" s="4" t="s">
        <v>27</v>
      </c>
      <c r="F593" s="4">
        <f t="shared" si="65"/>
        <v>800</v>
      </c>
      <c r="G593" s="5">
        <f t="shared" si="71"/>
        <v>1.01</v>
      </c>
      <c r="H593" s="6" t="str">
        <f t="shared" si="66"/>
        <v>INSERT INTO public.coupon (plancode, age, "year", couponrate, benefittype, benefitrate, premiumrate) VALUES('EN60', 19, 42, 8, 'A',800, 1.01);</v>
      </c>
      <c r="I593" s="6" t="str">
        <f t="shared" si="67"/>
        <v>{"age":"19", "year":"42", "couponrate":"8", "benefittype":"A", "benefitrate":"800", "premiumrate":"1.01"}</v>
      </c>
      <c r="J593" s="6" t="str">
        <f t="shared" si="68"/>
        <v>,</v>
      </c>
    </row>
    <row r="594" spans="1:10">
      <c r="A594" s="4" t="str">
        <f>'EN60'!A$3</f>
        <v>EN60</v>
      </c>
      <c r="B594" s="4">
        <f t="shared" si="69"/>
        <v>19</v>
      </c>
      <c r="C594" s="4">
        <f t="shared" si="70"/>
        <v>43</v>
      </c>
      <c r="D594" s="4">
        <f t="shared" si="64"/>
        <v>8</v>
      </c>
      <c r="E594" s="4" t="s">
        <v>27</v>
      </c>
      <c r="F594" s="4">
        <f t="shared" si="65"/>
        <v>800</v>
      </c>
      <c r="G594" s="5">
        <f t="shared" si="71"/>
        <v>1.01</v>
      </c>
      <c r="H594" s="6" t="str">
        <f t="shared" si="66"/>
        <v>INSERT INTO public.coupon (plancode, age, "year", couponrate, benefittype, benefitrate, premiumrate) VALUES('EN60', 19, 43, 8, 'A',800, 1.01);</v>
      </c>
      <c r="I594" s="6" t="str">
        <f t="shared" si="67"/>
        <v>{"age":"19", "year":"43", "couponrate":"8", "benefittype":"A", "benefitrate":"800", "premiumrate":"1.01"}</v>
      </c>
      <c r="J594" s="6" t="str">
        <f t="shared" si="68"/>
        <v>,</v>
      </c>
    </row>
    <row r="595" spans="1:10">
      <c r="A595" s="4" t="str">
        <f>'EN60'!A$3</f>
        <v>EN60</v>
      </c>
      <c r="B595" s="4">
        <f t="shared" si="69"/>
        <v>19</v>
      </c>
      <c r="C595" s="4">
        <f t="shared" si="70"/>
        <v>44</v>
      </c>
      <c r="D595" s="4">
        <f t="shared" si="64"/>
        <v>8</v>
      </c>
      <c r="E595" s="4" t="s">
        <v>27</v>
      </c>
      <c r="F595" s="4">
        <f t="shared" si="65"/>
        <v>800</v>
      </c>
      <c r="G595" s="5">
        <f t="shared" si="71"/>
        <v>1.01</v>
      </c>
      <c r="H595" s="6" t="str">
        <f t="shared" si="66"/>
        <v>INSERT INTO public.coupon (plancode, age, "year", couponrate, benefittype, benefitrate, premiumrate) VALUES('EN60', 19, 44, 8, 'A',800, 1.01);</v>
      </c>
      <c r="I595" s="6" t="str">
        <f t="shared" si="67"/>
        <v>{"age":"19", "year":"44", "couponrate":"8", "benefittype":"A", "benefitrate":"800", "premiumrate":"1.01"}</v>
      </c>
      <c r="J595" s="6" t="str">
        <f t="shared" si="68"/>
        <v>,</v>
      </c>
    </row>
    <row r="596" spans="1:10">
      <c r="A596" s="4" t="str">
        <f>'EN60'!A$3</f>
        <v>EN60</v>
      </c>
      <c r="B596" s="4">
        <f t="shared" si="69"/>
        <v>19</v>
      </c>
      <c r="C596" s="4">
        <f t="shared" si="70"/>
        <v>45</v>
      </c>
      <c r="D596" s="4">
        <f t="shared" si="64"/>
        <v>8</v>
      </c>
      <c r="E596" s="4" t="s">
        <v>27</v>
      </c>
      <c r="F596" s="4">
        <f t="shared" si="65"/>
        <v>800</v>
      </c>
      <c r="G596" s="5">
        <f t="shared" si="71"/>
        <v>1.01</v>
      </c>
      <c r="H596" s="6" t="str">
        <f t="shared" si="66"/>
        <v>INSERT INTO public.coupon (plancode, age, "year", couponrate, benefittype, benefitrate, premiumrate) VALUES('EN60', 19, 45, 8, 'A',800, 1.01);</v>
      </c>
      <c r="I596" s="6" t="str">
        <f t="shared" si="67"/>
        <v>{"age":"19", "year":"45", "couponrate":"8", "benefittype":"A", "benefitrate":"800", "premiumrate":"1.01"}</v>
      </c>
      <c r="J596" s="6" t="str">
        <f t="shared" si="68"/>
        <v>,</v>
      </c>
    </row>
    <row r="597" spans="1:10">
      <c r="A597" s="4" t="str">
        <f>'EN60'!A$3</f>
        <v>EN60</v>
      </c>
      <c r="B597" s="4">
        <f t="shared" si="69"/>
        <v>19</v>
      </c>
      <c r="C597" s="4">
        <f t="shared" si="70"/>
        <v>46</v>
      </c>
      <c r="D597" s="4">
        <f t="shared" si="64"/>
        <v>8</v>
      </c>
      <c r="E597" s="4" t="s">
        <v>27</v>
      </c>
      <c r="F597" s="4">
        <f t="shared" si="65"/>
        <v>800</v>
      </c>
      <c r="G597" s="5">
        <f t="shared" si="71"/>
        <v>1.01</v>
      </c>
      <c r="H597" s="6" t="str">
        <f t="shared" si="66"/>
        <v>INSERT INTO public.coupon (plancode, age, "year", couponrate, benefittype, benefitrate, premiumrate) VALUES('EN60', 19, 46, 8, 'A',800, 1.01);</v>
      </c>
      <c r="I597" s="6" t="str">
        <f t="shared" si="67"/>
        <v>{"age":"19", "year":"46", "couponrate":"8", "benefittype":"A", "benefitrate":"800", "premiumrate":"1.01"}</v>
      </c>
      <c r="J597" s="6" t="str">
        <f t="shared" si="68"/>
        <v>,</v>
      </c>
    </row>
    <row r="598" spans="1:10">
      <c r="A598" s="4" t="str">
        <f>'EN60'!A$3</f>
        <v>EN60</v>
      </c>
      <c r="B598" s="4">
        <f t="shared" si="69"/>
        <v>19</v>
      </c>
      <c r="C598" s="4">
        <f t="shared" si="70"/>
        <v>47</v>
      </c>
      <c r="D598" s="4">
        <f t="shared" si="64"/>
        <v>8</v>
      </c>
      <c r="E598" s="4" t="s">
        <v>27</v>
      </c>
      <c r="F598" s="4">
        <f t="shared" si="65"/>
        <v>800</v>
      </c>
      <c r="G598" s="5">
        <f t="shared" si="71"/>
        <v>1.01</v>
      </c>
      <c r="H598" s="6" t="str">
        <f t="shared" si="66"/>
        <v>INSERT INTO public.coupon (plancode, age, "year", couponrate, benefittype, benefitrate, premiumrate) VALUES('EN60', 19, 47, 8, 'A',800, 1.01);</v>
      </c>
      <c r="I598" s="6" t="str">
        <f t="shared" si="67"/>
        <v>{"age":"19", "year":"47", "couponrate":"8", "benefittype":"A", "benefitrate":"800", "premiumrate":"1.01"}</v>
      </c>
      <c r="J598" s="6" t="str">
        <f t="shared" si="68"/>
        <v>,</v>
      </c>
    </row>
    <row r="599" spans="1:10">
      <c r="A599" s="4" t="str">
        <f>'EN60'!A$3</f>
        <v>EN60</v>
      </c>
      <c r="B599" s="4">
        <f t="shared" si="69"/>
        <v>19</v>
      </c>
      <c r="C599" s="4">
        <f t="shared" si="70"/>
        <v>48</v>
      </c>
      <c r="D599" s="4">
        <f t="shared" si="64"/>
        <v>8</v>
      </c>
      <c r="E599" s="4" t="s">
        <v>27</v>
      </c>
      <c r="F599" s="4">
        <f t="shared" si="65"/>
        <v>800</v>
      </c>
      <c r="G599" s="5">
        <f t="shared" si="71"/>
        <v>1.01</v>
      </c>
      <c r="H599" s="6" t="str">
        <f t="shared" si="66"/>
        <v>INSERT INTO public.coupon (plancode, age, "year", couponrate, benefittype, benefitrate, premiumrate) VALUES('EN60', 19, 48, 8, 'A',800, 1.01);</v>
      </c>
      <c r="I599" s="6" t="str">
        <f t="shared" si="67"/>
        <v>{"age":"19", "year":"48", "couponrate":"8", "benefittype":"A", "benefitrate":"800", "premiumrate":"1.01"}</v>
      </c>
      <c r="J599" s="6" t="str">
        <f t="shared" si="68"/>
        <v>,</v>
      </c>
    </row>
    <row r="600" spans="1:10">
      <c r="A600" s="4" t="str">
        <f>'EN60'!A$3</f>
        <v>EN60</v>
      </c>
      <c r="B600" s="4">
        <f t="shared" si="69"/>
        <v>19</v>
      </c>
      <c r="C600" s="4">
        <f t="shared" si="70"/>
        <v>49</v>
      </c>
      <c r="D600" s="4">
        <f t="shared" si="64"/>
        <v>8</v>
      </c>
      <c r="E600" s="4" t="s">
        <v>27</v>
      </c>
      <c r="F600" s="4">
        <f t="shared" si="65"/>
        <v>800</v>
      </c>
      <c r="G600" s="5">
        <f t="shared" si="71"/>
        <v>1.01</v>
      </c>
      <c r="H600" s="6" t="str">
        <f t="shared" si="66"/>
        <v>INSERT INTO public.coupon (plancode, age, "year", couponrate, benefittype, benefitrate, premiumrate) VALUES('EN60', 19, 49, 8, 'A',800, 1.01);</v>
      </c>
      <c r="I600" s="6" t="str">
        <f t="shared" si="67"/>
        <v>{"age":"19", "year":"49", "couponrate":"8", "benefittype":"A", "benefitrate":"800", "premiumrate":"1.01"}</v>
      </c>
      <c r="J600" s="6" t="str">
        <f t="shared" si="68"/>
        <v>,</v>
      </c>
    </row>
    <row r="601" spans="1:10">
      <c r="A601" s="4" t="str">
        <f>'EN60'!A$3</f>
        <v>EN60</v>
      </c>
      <c r="B601" s="4">
        <f t="shared" si="69"/>
        <v>19</v>
      </c>
      <c r="C601" s="4">
        <f t="shared" si="70"/>
        <v>50</v>
      </c>
      <c r="D601" s="4">
        <f t="shared" si="64"/>
        <v>8</v>
      </c>
      <c r="E601" s="4" t="s">
        <v>27</v>
      </c>
      <c r="F601" s="4">
        <f t="shared" si="65"/>
        <v>800</v>
      </c>
      <c r="G601" s="5">
        <f t="shared" si="71"/>
        <v>1.01</v>
      </c>
      <c r="H601" s="6" t="str">
        <f t="shared" si="66"/>
        <v>INSERT INTO public.coupon (plancode, age, "year", couponrate, benefittype, benefitrate, premiumrate) VALUES('EN60', 19, 50, 8, 'A',800, 1.01);</v>
      </c>
      <c r="I601" s="6" t="str">
        <f t="shared" si="67"/>
        <v>{"age":"19", "year":"50", "couponrate":"8", "benefittype":"A", "benefitrate":"800", "premiumrate":"1.01"}</v>
      </c>
      <c r="J601" s="6" t="str">
        <f t="shared" si="68"/>
        <v>,</v>
      </c>
    </row>
    <row r="602" spans="1:10">
      <c r="A602" s="4" t="str">
        <f>'EN60'!A$3</f>
        <v>EN60</v>
      </c>
      <c r="B602" s="4">
        <f t="shared" si="69"/>
        <v>19</v>
      </c>
      <c r="C602" s="4">
        <f t="shared" si="70"/>
        <v>51</v>
      </c>
      <c r="D602" s="4">
        <f t="shared" si="64"/>
        <v>8</v>
      </c>
      <c r="E602" s="4" t="s">
        <v>27</v>
      </c>
      <c r="F602" s="4">
        <f t="shared" si="65"/>
        <v>800</v>
      </c>
      <c r="G602" s="5">
        <f t="shared" si="71"/>
        <v>1.01</v>
      </c>
      <c r="H602" s="6" t="str">
        <f t="shared" si="66"/>
        <v>INSERT INTO public.coupon (plancode, age, "year", couponrate, benefittype, benefitrate, premiumrate) VALUES('EN60', 19, 51, 8, 'A',800, 1.01);</v>
      </c>
      <c r="I602" s="6" t="str">
        <f t="shared" si="67"/>
        <v>{"age":"19", "year":"51", "couponrate":"8", "benefittype":"A", "benefitrate":"800", "premiumrate":"1.01"}</v>
      </c>
      <c r="J602" s="6" t="str">
        <f t="shared" si="68"/>
        <v>,</v>
      </c>
    </row>
    <row r="603" spans="1:10">
      <c r="A603" s="4" t="str">
        <f>'EN60'!A$3</f>
        <v>EN60</v>
      </c>
      <c r="B603" s="4">
        <f t="shared" si="69"/>
        <v>19</v>
      </c>
      <c r="C603" s="4">
        <f t="shared" si="70"/>
        <v>52</v>
      </c>
      <c r="D603" s="4">
        <f t="shared" si="64"/>
        <v>8</v>
      </c>
      <c r="E603" s="4" t="s">
        <v>27</v>
      </c>
      <c r="F603" s="4">
        <f t="shared" si="65"/>
        <v>800</v>
      </c>
      <c r="G603" s="5">
        <f t="shared" si="71"/>
        <v>1.01</v>
      </c>
      <c r="H603" s="6" t="str">
        <f t="shared" si="66"/>
        <v>INSERT INTO public.coupon (plancode, age, "year", couponrate, benefittype, benefitrate, premiumrate) VALUES('EN60', 19, 52, 8, 'A',800, 1.01);</v>
      </c>
      <c r="I603" s="6" t="str">
        <f t="shared" si="67"/>
        <v>{"age":"19", "year":"52", "couponrate":"8", "benefittype":"A", "benefitrate":"800", "premiumrate":"1.01"}</v>
      </c>
      <c r="J603" s="6" t="str">
        <f t="shared" si="68"/>
        <v>,</v>
      </c>
    </row>
    <row r="604" spans="1:10">
      <c r="A604" s="4" t="str">
        <f>'EN60'!A$3</f>
        <v>EN60</v>
      </c>
      <c r="B604" s="4">
        <f t="shared" si="69"/>
        <v>19</v>
      </c>
      <c r="C604" s="4">
        <f t="shared" si="70"/>
        <v>53</v>
      </c>
      <c r="D604" s="4">
        <f t="shared" si="64"/>
        <v>8</v>
      </c>
      <c r="E604" s="4" t="s">
        <v>27</v>
      </c>
      <c r="F604" s="4">
        <f t="shared" si="65"/>
        <v>800</v>
      </c>
      <c r="G604" s="5">
        <f t="shared" si="71"/>
        <v>1.01</v>
      </c>
      <c r="H604" s="6" t="str">
        <f t="shared" si="66"/>
        <v>INSERT INTO public.coupon (plancode, age, "year", couponrate, benefittype, benefitrate, premiumrate) VALUES('EN60', 19, 53, 8, 'A',800, 1.01);</v>
      </c>
      <c r="I604" s="6" t="str">
        <f t="shared" si="67"/>
        <v>{"age":"19", "year":"53", "couponrate":"8", "benefittype":"A", "benefitrate":"800", "premiumrate":"1.01"}</v>
      </c>
      <c r="J604" s="6" t="str">
        <f t="shared" si="68"/>
        <v>,</v>
      </c>
    </row>
    <row r="605" spans="1:10">
      <c r="A605" s="4" t="str">
        <f>'EN60'!A$3</f>
        <v>EN60</v>
      </c>
      <c r="B605" s="4">
        <f t="shared" si="69"/>
        <v>19</v>
      </c>
      <c r="C605" s="4">
        <f t="shared" si="70"/>
        <v>54</v>
      </c>
      <c r="D605" s="4">
        <f t="shared" si="64"/>
        <v>8</v>
      </c>
      <c r="E605" s="4" t="s">
        <v>27</v>
      </c>
      <c r="F605" s="4">
        <f t="shared" si="65"/>
        <v>800</v>
      </c>
      <c r="G605" s="5">
        <f t="shared" si="71"/>
        <v>1.01</v>
      </c>
      <c r="H605" s="6" t="str">
        <f t="shared" si="66"/>
        <v>INSERT INTO public.coupon (plancode, age, "year", couponrate, benefittype, benefitrate, premiumrate) VALUES('EN60', 19, 54, 8, 'A',800, 1.01);</v>
      </c>
      <c r="I605" s="6" t="str">
        <f t="shared" si="67"/>
        <v>{"age":"19", "year":"54", "couponrate":"8", "benefittype":"A", "benefitrate":"800", "premiumrate":"1.01"}</v>
      </c>
      <c r="J605" s="6" t="str">
        <f t="shared" si="68"/>
        <v>,</v>
      </c>
    </row>
    <row r="606" spans="1:10">
      <c r="A606" s="4" t="str">
        <f>'EN60'!A$3</f>
        <v>EN60</v>
      </c>
      <c r="B606" s="4">
        <f t="shared" si="69"/>
        <v>19</v>
      </c>
      <c r="C606" s="4">
        <f t="shared" si="70"/>
        <v>55</v>
      </c>
      <c r="D606" s="4">
        <f t="shared" si="64"/>
        <v>8</v>
      </c>
      <c r="E606" s="4" t="s">
        <v>27</v>
      </c>
      <c r="F606" s="4">
        <f t="shared" si="65"/>
        <v>800</v>
      </c>
      <c r="G606" s="5">
        <f t="shared" si="71"/>
        <v>1.01</v>
      </c>
      <c r="H606" s="6" t="str">
        <f t="shared" si="66"/>
        <v>INSERT INTO public.coupon (plancode, age, "year", couponrate, benefittype, benefitrate, premiumrate) VALUES('EN60', 19, 55, 8, 'A',800, 1.01);</v>
      </c>
      <c r="I606" s="6" t="str">
        <f t="shared" si="67"/>
        <v>{"age":"19", "year":"55", "couponrate":"8", "benefittype":"A", "benefitrate":"800", "premiumrate":"1.01"}</v>
      </c>
      <c r="J606" s="6" t="str">
        <f t="shared" si="68"/>
        <v>,</v>
      </c>
    </row>
    <row r="607" spans="1:10">
      <c r="A607" s="4" t="str">
        <f>'EN60'!A$3</f>
        <v>EN60</v>
      </c>
      <c r="B607" s="4">
        <f t="shared" si="69"/>
        <v>19</v>
      </c>
      <c r="C607" s="4">
        <f t="shared" si="70"/>
        <v>56</v>
      </c>
      <c r="D607" s="4">
        <f t="shared" si="64"/>
        <v>8</v>
      </c>
      <c r="E607" s="4" t="s">
        <v>27</v>
      </c>
      <c r="F607" s="4">
        <f t="shared" si="65"/>
        <v>800</v>
      </c>
      <c r="G607" s="5">
        <f t="shared" si="71"/>
        <v>1.01</v>
      </c>
      <c r="H607" s="6" t="str">
        <f t="shared" si="66"/>
        <v>INSERT INTO public.coupon (plancode, age, "year", couponrate, benefittype, benefitrate, premiumrate) VALUES('EN60', 19, 56, 8, 'A',800, 1.01);</v>
      </c>
      <c r="I607" s="6" t="str">
        <f t="shared" si="67"/>
        <v>{"age":"19", "year":"56", "couponrate":"8", "benefittype":"A", "benefitrate":"800", "premiumrate":"1.01"}</v>
      </c>
      <c r="J607" s="6" t="str">
        <f t="shared" si="68"/>
        <v>,</v>
      </c>
    </row>
    <row r="608" spans="1:10">
      <c r="A608" s="4" t="str">
        <f>'EN60'!A$3</f>
        <v>EN60</v>
      </c>
      <c r="B608" s="4">
        <f t="shared" si="69"/>
        <v>19</v>
      </c>
      <c r="C608" s="4">
        <f t="shared" si="70"/>
        <v>57</v>
      </c>
      <c r="D608" s="4">
        <f t="shared" si="64"/>
        <v>8</v>
      </c>
      <c r="E608" s="4" t="s">
        <v>27</v>
      </c>
      <c r="F608" s="4">
        <f t="shared" si="65"/>
        <v>800</v>
      </c>
      <c r="G608" s="5">
        <f t="shared" si="71"/>
        <v>1.01</v>
      </c>
      <c r="H608" s="6" t="str">
        <f t="shared" si="66"/>
        <v>INSERT INTO public.coupon (plancode, age, "year", couponrate, benefittype, benefitrate, premiumrate) VALUES('EN60', 19, 57, 8, 'A',800, 1.01);</v>
      </c>
      <c r="I608" s="6" t="str">
        <f t="shared" si="67"/>
        <v>{"age":"19", "year":"57", "couponrate":"8", "benefittype":"A", "benefitrate":"800", "premiumrate":"1.01"}</v>
      </c>
      <c r="J608" s="6" t="str">
        <f t="shared" si="68"/>
        <v>,</v>
      </c>
    </row>
    <row r="609" spans="1:10">
      <c r="A609" s="4" t="str">
        <f>'EN60'!A$3</f>
        <v>EN60</v>
      </c>
      <c r="B609" s="4">
        <f t="shared" si="69"/>
        <v>19</v>
      </c>
      <c r="C609" s="4">
        <f t="shared" si="70"/>
        <v>58</v>
      </c>
      <c r="D609" s="4">
        <f t="shared" si="64"/>
        <v>8</v>
      </c>
      <c r="E609" s="4" t="s">
        <v>27</v>
      </c>
      <c r="F609" s="4">
        <f t="shared" si="65"/>
        <v>800</v>
      </c>
      <c r="G609" s="5">
        <f t="shared" si="71"/>
        <v>1.01</v>
      </c>
      <c r="H609" s="6" t="str">
        <f t="shared" si="66"/>
        <v>INSERT INTO public.coupon (plancode, age, "year", couponrate, benefittype, benefitrate, premiumrate) VALUES('EN60', 19, 58, 8, 'A',800, 1.01);</v>
      </c>
      <c r="I609" s="6" t="str">
        <f t="shared" si="67"/>
        <v>{"age":"19", "year":"58", "couponrate":"8", "benefittype":"A", "benefitrate":"800", "premiumrate":"1.01"}</v>
      </c>
      <c r="J609" s="6" t="str">
        <f t="shared" si="68"/>
        <v>,</v>
      </c>
    </row>
    <row r="610" spans="1:10">
      <c r="A610" s="4" t="str">
        <f>'EN60'!A$3</f>
        <v>EN60</v>
      </c>
      <c r="B610" s="4">
        <f t="shared" si="69"/>
        <v>19</v>
      </c>
      <c r="C610" s="4">
        <f t="shared" si="70"/>
        <v>59</v>
      </c>
      <c r="D610" s="4">
        <f t="shared" si="64"/>
        <v>8</v>
      </c>
      <c r="E610" s="4" t="s">
        <v>27</v>
      </c>
      <c r="F610" s="4">
        <f t="shared" si="65"/>
        <v>800</v>
      </c>
      <c r="G610" s="5">
        <f t="shared" si="71"/>
        <v>1.01</v>
      </c>
      <c r="H610" s="6" t="str">
        <f t="shared" si="66"/>
        <v>INSERT INTO public.coupon (plancode, age, "year", couponrate, benefittype, benefitrate, premiumrate) VALUES('EN60', 19, 59, 8, 'A',800, 1.01);</v>
      </c>
      <c r="I610" s="6" t="str">
        <f t="shared" si="67"/>
        <v>{"age":"19", "year":"59", "couponrate":"8", "benefittype":"A", "benefitrate":"800", "premiumrate":"1.01"}</v>
      </c>
      <c r="J610" s="6" t="str">
        <f t="shared" si="68"/>
        <v>,</v>
      </c>
    </row>
    <row r="611" spans="1:10">
      <c r="A611" s="4" t="str">
        <f>'EN60'!A$3</f>
        <v>EN60</v>
      </c>
      <c r="B611" s="4">
        <f t="shared" si="69"/>
        <v>19</v>
      </c>
      <c r="C611" s="4">
        <f t="shared" si="70"/>
        <v>60</v>
      </c>
      <c r="D611" s="4">
        <f t="shared" si="64"/>
        <v>8</v>
      </c>
      <c r="E611" s="4" t="s">
        <v>27</v>
      </c>
      <c r="F611" s="4">
        <f t="shared" si="65"/>
        <v>800</v>
      </c>
      <c r="G611" s="5">
        <f t="shared" si="71"/>
        <v>1.01</v>
      </c>
      <c r="H611" s="6" t="str">
        <f t="shared" si="66"/>
        <v>INSERT INTO public.coupon (plancode, age, "year", couponrate, benefittype, benefitrate, premiumrate) VALUES('EN60', 19, 60, 8, 'A',800, 1.01);</v>
      </c>
      <c r="I611" s="6" t="str">
        <f t="shared" si="67"/>
        <v>{"age":"19", "year":"60", "couponrate":"8", "benefittype":"A", "benefitrate":"800", "premiumrate":"1.01"}</v>
      </c>
      <c r="J611" s="6" t="str">
        <f t="shared" si="68"/>
        <v>,</v>
      </c>
    </row>
    <row r="612" spans="1:10">
      <c r="A612" s="4" t="str">
        <f>'EN60'!A$3</f>
        <v>EN60</v>
      </c>
      <c r="B612" s="4">
        <f t="shared" si="69"/>
        <v>19</v>
      </c>
      <c r="C612" s="4">
        <f t="shared" si="70"/>
        <v>61</v>
      </c>
      <c r="D612" s="4">
        <f t="shared" si="64"/>
        <v>0</v>
      </c>
      <c r="E612" s="4" t="s">
        <v>27</v>
      </c>
      <c r="F612" s="4">
        <f t="shared" si="65"/>
        <v>800</v>
      </c>
      <c r="G612" s="5">
        <f t="shared" si="71"/>
        <v>1.01</v>
      </c>
      <c r="H612" s="6" t="str">
        <f t="shared" si="66"/>
        <v>INSERT INTO public.coupon (plancode, age, "year", couponrate, benefittype, benefitrate, premiumrate) VALUES('EN60', 19, 61, 0, 'A',800, 1.01);</v>
      </c>
      <c r="I612" s="6" t="str">
        <f t="shared" si="67"/>
        <v>{"age":"19", "year":"61", "couponrate":"0", "benefittype":"A", "benefitrate":"800", "premiumrate":"1.01"}</v>
      </c>
    </row>
    <row r="613" spans="1:10">
      <c r="C613" s="6"/>
      <c r="I613" s="6" t="s">
        <v>28</v>
      </c>
    </row>
    <row r="614" spans="1:10">
      <c r="A614" s="3" t="s">
        <v>2</v>
      </c>
      <c r="B614" s="3" t="s">
        <v>23</v>
      </c>
      <c r="C614" s="3" t="s">
        <v>24</v>
      </c>
      <c r="D614" s="3" t="s">
        <v>25</v>
      </c>
      <c r="E614" s="3" t="s">
        <v>8</v>
      </c>
      <c r="F614" s="3" t="s">
        <v>26</v>
      </c>
      <c r="G614" s="3" t="s">
        <v>4</v>
      </c>
      <c r="I614" s="6" t="str">
        <f>"[{""plancode"":"""&amp;A615&amp;""",""returncash"":"""&amp;B$7&amp;""",""ytable"":"""&amp;C$7&amp;""",""maturerate"":"""&amp;B$3&amp;""",""maturepmrate"":"""&amp;C$3&amp;""",""coupon"":["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615" spans="1:10">
      <c r="A615" s="4" t="str">
        <f>'EN60'!A$3</f>
        <v>EN60</v>
      </c>
      <c r="B615" s="8">
        <v>20</v>
      </c>
      <c r="C615" s="4">
        <v>1</v>
      </c>
      <c r="D615" s="4">
        <f t="shared" ref="D615:D674" si="72">IF(C615+B615=80,0,8)</f>
        <v>8</v>
      </c>
      <c r="E615" s="4" t="s">
        <v>27</v>
      </c>
      <c r="F615" s="4">
        <f t="shared" ref="F615:F674" si="73">IF(C615&gt;7, 800, C615*100)</f>
        <v>100</v>
      </c>
      <c r="G615" s="5">
        <f>'EN60'!C$3</f>
        <v>1.01</v>
      </c>
      <c r="H615" s="6" t="str">
        <f t="shared" ref="H615:H674" si="74">"INSERT INTO public.coupon ("&amp;A$11&amp;", "&amp;B$11&amp;", """&amp;C$11&amp;""", "&amp;D$11&amp;", "&amp;E$11&amp;", "&amp;F$11&amp;", "&amp;G$11&amp;") VALUES('"&amp;A615&amp;"', "&amp;B615&amp;", "&amp;C615&amp;", "&amp;D615&amp;", '"&amp;E615&amp;"',"&amp;F615&amp;", "&amp;G615&amp;");"</f>
        <v>INSERT INTO public.coupon (plancode, age, "year", couponrate, benefittype, benefitrate, premiumrate) VALUES('EN60', 20, 1, 8, 'A',100, 1.01);</v>
      </c>
      <c r="I615" s="6" t="str">
        <f t="shared" ref="I615:I674" si="75">"{""age"":"""&amp;B615&amp;""", ""year"":"""&amp;C615&amp;""", ""couponrate"":"""&amp;D615&amp;""", ""benefittype"":"""&amp;E615&amp;""", ""benefitrate"":"""&amp;F615&amp;""", """&amp;G$11&amp;""":"""&amp;G615&amp;"""}"</f>
        <v>{"age":"20", "year":"1", "couponrate":"8", "benefittype":"A", "benefitrate":"100", "premiumrate":"1.01"}</v>
      </c>
      <c r="J615" s="6" t="str">
        <f t="shared" ref="J615:J673" si="76">IF(OR(I616="]", I615="[", I615="]"), "", ",")</f>
        <v>,</v>
      </c>
    </row>
    <row r="616" spans="1:10">
      <c r="A616" s="4" t="str">
        <f>'EN60'!A$3</f>
        <v>EN60</v>
      </c>
      <c r="B616" s="4">
        <f t="shared" ref="B616:B674" si="77">B615</f>
        <v>20</v>
      </c>
      <c r="C616" s="4">
        <f t="shared" ref="C616:C674" si="78">C615+1</f>
        <v>2</v>
      </c>
      <c r="D616" s="4">
        <f t="shared" si="72"/>
        <v>8</v>
      </c>
      <c r="E616" s="4" t="s">
        <v>27</v>
      </c>
      <c r="F616" s="4">
        <f t="shared" si="73"/>
        <v>200</v>
      </c>
      <c r="G616" s="5">
        <f t="shared" ref="G616:G674" si="79">G615</f>
        <v>1.01</v>
      </c>
      <c r="H616" s="6" t="str">
        <f t="shared" si="74"/>
        <v>INSERT INTO public.coupon (plancode, age, "year", couponrate, benefittype, benefitrate, premiumrate) VALUES('EN60', 20, 2, 8, 'A',200, 1.01);</v>
      </c>
      <c r="I616" s="6" t="str">
        <f t="shared" si="75"/>
        <v>{"age":"20", "year":"2", "couponrate":"8", "benefittype":"A", "benefitrate":"200", "premiumrate":"1.01"}</v>
      </c>
      <c r="J616" s="6" t="str">
        <f t="shared" si="76"/>
        <v>,</v>
      </c>
    </row>
    <row r="617" spans="1:10">
      <c r="A617" s="4" t="str">
        <f>'EN60'!A$3</f>
        <v>EN60</v>
      </c>
      <c r="B617" s="4">
        <f t="shared" si="77"/>
        <v>20</v>
      </c>
      <c r="C617" s="4">
        <f t="shared" si="78"/>
        <v>3</v>
      </c>
      <c r="D617" s="4">
        <f t="shared" si="72"/>
        <v>8</v>
      </c>
      <c r="E617" s="4" t="s">
        <v>27</v>
      </c>
      <c r="F617" s="4">
        <f t="shared" si="73"/>
        <v>300</v>
      </c>
      <c r="G617" s="5">
        <f t="shared" si="79"/>
        <v>1.01</v>
      </c>
      <c r="H617" s="6" t="str">
        <f t="shared" si="74"/>
        <v>INSERT INTO public.coupon (plancode, age, "year", couponrate, benefittype, benefitrate, premiumrate) VALUES('EN60', 20, 3, 8, 'A',300, 1.01);</v>
      </c>
      <c r="I617" s="6" t="str">
        <f t="shared" si="75"/>
        <v>{"age":"20", "year":"3", "couponrate":"8", "benefittype":"A", "benefitrate":"300", "premiumrate":"1.01"}</v>
      </c>
      <c r="J617" s="6" t="str">
        <f t="shared" si="76"/>
        <v>,</v>
      </c>
    </row>
    <row r="618" spans="1:10">
      <c r="A618" s="4" t="str">
        <f>'EN60'!A$3</f>
        <v>EN60</v>
      </c>
      <c r="B618" s="4">
        <f t="shared" si="77"/>
        <v>20</v>
      </c>
      <c r="C618" s="4">
        <f t="shared" si="78"/>
        <v>4</v>
      </c>
      <c r="D618" s="4">
        <f t="shared" si="72"/>
        <v>8</v>
      </c>
      <c r="E618" s="4" t="s">
        <v>27</v>
      </c>
      <c r="F618" s="4">
        <f t="shared" si="73"/>
        <v>400</v>
      </c>
      <c r="G618" s="5">
        <f t="shared" si="79"/>
        <v>1.01</v>
      </c>
      <c r="H618" s="6" t="str">
        <f t="shared" si="74"/>
        <v>INSERT INTO public.coupon (plancode, age, "year", couponrate, benefittype, benefitrate, premiumrate) VALUES('EN60', 20, 4, 8, 'A',400, 1.01);</v>
      </c>
      <c r="I618" s="6" t="str">
        <f t="shared" si="75"/>
        <v>{"age":"20", "year":"4", "couponrate":"8", "benefittype":"A", "benefitrate":"400", "premiumrate":"1.01"}</v>
      </c>
      <c r="J618" s="6" t="str">
        <f t="shared" si="76"/>
        <v>,</v>
      </c>
    </row>
    <row r="619" spans="1:10">
      <c r="A619" s="4" t="str">
        <f>'EN60'!A$3</f>
        <v>EN60</v>
      </c>
      <c r="B619" s="4">
        <f t="shared" si="77"/>
        <v>20</v>
      </c>
      <c r="C619" s="4">
        <f t="shared" si="78"/>
        <v>5</v>
      </c>
      <c r="D619" s="4">
        <f t="shared" si="72"/>
        <v>8</v>
      </c>
      <c r="E619" s="4" t="s">
        <v>27</v>
      </c>
      <c r="F619" s="4">
        <f t="shared" si="73"/>
        <v>500</v>
      </c>
      <c r="G619" s="5">
        <f t="shared" si="79"/>
        <v>1.01</v>
      </c>
      <c r="H619" s="6" t="str">
        <f t="shared" si="74"/>
        <v>INSERT INTO public.coupon (plancode, age, "year", couponrate, benefittype, benefitrate, premiumrate) VALUES('EN60', 20, 5, 8, 'A',500, 1.01);</v>
      </c>
      <c r="I619" s="6" t="str">
        <f t="shared" si="75"/>
        <v>{"age":"20", "year":"5", "couponrate":"8", "benefittype":"A", "benefitrate":"500", "premiumrate":"1.01"}</v>
      </c>
      <c r="J619" s="6" t="str">
        <f t="shared" si="76"/>
        <v>,</v>
      </c>
    </row>
    <row r="620" spans="1:10">
      <c r="A620" s="4" t="str">
        <f>'EN60'!A$3</f>
        <v>EN60</v>
      </c>
      <c r="B620" s="4">
        <f t="shared" si="77"/>
        <v>20</v>
      </c>
      <c r="C620" s="4">
        <f t="shared" si="78"/>
        <v>6</v>
      </c>
      <c r="D620" s="4">
        <f t="shared" si="72"/>
        <v>8</v>
      </c>
      <c r="E620" s="4" t="s">
        <v>27</v>
      </c>
      <c r="F620" s="4">
        <f t="shared" si="73"/>
        <v>600</v>
      </c>
      <c r="G620" s="5">
        <f t="shared" si="79"/>
        <v>1.01</v>
      </c>
      <c r="H620" s="6" t="str">
        <f t="shared" si="74"/>
        <v>INSERT INTO public.coupon (plancode, age, "year", couponrate, benefittype, benefitrate, premiumrate) VALUES('EN60', 20, 6, 8, 'A',600, 1.01);</v>
      </c>
      <c r="I620" s="6" t="str">
        <f t="shared" si="75"/>
        <v>{"age":"20", "year":"6", "couponrate":"8", "benefittype":"A", "benefitrate":"600", "premiumrate":"1.01"}</v>
      </c>
      <c r="J620" s="6" t="str">
        <f t="shared" si="76"/>
        <v>,</v>
      </c>
    </row>
    <row r="621" spans="1:10">
      <c r="A621" s="4" t="str">
        <f>'EN60'!A$3</f>
        <v>EN60</v>
      </c>
      <c r="B621" s="4">
        <f t="shared" si="77"/>
        <v>20</v>
      </c>
      <c r="C621" s="4">
        <f t="shared" si="78"/>
        <v>7</v>
      </c>
      <c r="D621" s="4">
        <f t="shared" si="72"/>
        <v>8</v>
      </c>
      <c r="E621" s="4" t="s">
        <v>27</v>
      </c>
      <c r="F621" s="4">
        <f t="shared" si="73"/>
        <v>700</v>
      </c>
      <c r="G621" s="5">
        <f t="shared" si="79"/>
        <v>1.01</v>
      </c>
      <c r="H621" s="6" t="str">
        <f t="shared" si="74"/>
        <v>INSERT INTO public.coupon (plancode, age, "year", couponrate, benefittype, benefitrate, premiumrate) VALUES('EN60', 20, 7, 8, 'A',700, 1.01);</v>
      </c>
      <c r="I621" s="6" t="str">
        <f t="shared" si="75"/>
        <v>{"age":"20", "year":"7", "couponrate":"8", "benefittype":"A", "benefitrate":"700", "premiumrate":"1.01"}</v>
      </c>
      <c r="J621" s="6" t="str">
        <f t="shared" si="76"/>
        <v>,</v>
      </c>
    </row>
    <row r="622" spans="1:10">
      <c r="A622" s="4" t="str">
        <f>'EN60'!A$3</f>
        <v>EN60</v>
      </c>
      <c r="B622" s="4">
        <f t="shared" si="77"/>
        <v>20</v>
      </c>
      <c r="C622" s="4">
        <f t="shared" si="78"/>
        <v>8</v>
      </c>
      <c r="D622" s="4">
        <f t="shared" si="72"/>
        <v>8</v>
      </c>
      <c r="E622" s="4" t="s">
        <v>27</v>
      </c>
      <c r="F622" s="4">
        <f t="shared" si="73"/>
        <v>800</v>
      </c>
      <c r="G622" s="5">
        <f t="shared" si="79"/>
        <v>1.01</v>
      </c>
      <c r="H622" s="6" t="str">
        <f t="shared" si="74"/>
        <v>INSERT INTO public.coupon (plancode, age, "year", couponrate, benefittype, benefitrate, premiumrate) VALUES('EN60', 20, 8, 8, 'A',800, 1.01);</v>
      </c>
      <c r="I622" s="6" t="str">
        <f t="shared" si="75"/>
        <v>{"age":"20", "year":"8", "couponrate":"8", "benefittype":"A", "benefitrate":"800", "premiumrate":"1.01"}</v>
      </c>
      <c r="J622" s="6" t="str">
        <f t="shared" si="76"/>
        <v>,</v>
      </c>
    </row>
    <row r="623" spans="1:10">
      <c r="A623" s="4" t="str">
        <f>'EN60'!A$3</f>
        <v>EN60</v>
      </c>
      <c r="B623" s="4">
        <f t="shared" si="77"/>
        <v>20</v>
      </c>
      <c r="C623" s="4">
        <f t="shared" si="78"/>
        <v>9</v>
      </c>
      <c r="D623" s="4">
        <f t="shared" si="72"/>
        <v>8</v>
      </c>
      <c r="E623" s="4" t="s">
        <v>27</v>
      </c>
      <c r="F623" s="4">
        <f t="shared" si="73"/>
        <v>800</v>
      </c>
      <c r="G623" s="5">
        <f t="shared" si="79"/>
        <v>1.01</v>
      </c>
      <c r="H623" s="6" t="str">
        <f t="shared" si="74"/>
        <v>INSERT INTO public.coupon (plancode, age, "year", couponrate, benefittype, benefitrate, premiumrate) VALUES('EN60', 20, 9, 8, 'A',800, 1.01);</v>
      </c>
      <c r="I623" s="6" t="str">
        <f t="shared" si="75"/>
        <v>{"age":"20", "year":"9", "couponrate":"8", "benefittype":"A", "benefitrate":"800", "premiumrate":"1.01"}</v>
      </c>
      <c r="J623" s="6" t="str">
        <f t="shared" si="76"/>
        <v>,</v>
      </c>
    </row>
    <row r="624" spans="1:10">
      <c r="A624" s="4" t="str">
        <f>'EN60'!A$3</f>
        <v>EN60</v>
      </c>
      <c r="B624" s="4">
        <f t="shared" si="77"/>
        <v>20</v>
      </c>
      <c r="C624" s="4">
        <f t="shared" si="78"/>
        <v>10</v>
      </c>
      <c r="D624" s="4">
        <f t="shared" si="72"/>
        <v>8</v>
      </c>
      <c r="E624" s="4" t="s">
        <v>27</v>
      </c>
      <c r="F624" s="4">
        <f t="shared" si="73"/>
        <v>800</v>
      </c>
      <c r="G624" s="5">
        <f t="shared" si="79"/>
        <v>1.01</v>
      </c>
      <c r="H624" s="6" t="str">
        <f t="shared" si="74"/>
        <v>INSERT INTO public.coupon (plancode, age, "year", couponrate, benefittype, benefitrate, premiumrate) VALUES('EN60', 20, 10, 8, 'A',800, 1.01);</v>
      </c>
      <c r="I624" s="6" t="str">
        <f t="shared" si="75"/>
        <v>{"age":"20", "year":"10", "couponrate":"8", "benefittype":"A", "benefitrate":"800", "premiumrate":"1.01"}</v>
      </c>
      <c r="J624" s="6" t="str">
        <f t="shared" si="76"/>
        <v>,</v>
      </c>
    </row>
    <row r="625" spans="1:10">
      <c r="A625" s="4" t="str">
        <f>'EN60'!A$3</f>
        <v>EN60</v>
      </c>
      <c r="B625" s="4">
        <f t="shared" si="77"/>
        <v>20</v>
      </c>
      <c r="C625" s="4">
        <f t="shared" si="78"/>
        <v>11</v>
      </c>
      <c r="D625" s="4">
        <f t="shared" si="72"/>
        <v>8</v>
      </c>
      <c r="E625" s="4" t="s">
        <v>27</v>
      </c>
      <c r="F625" s="4">
        <f t="shared" si="73"/>
        <v>800</v>
      </c>
      <c r="G625" s="5">
        <f t="shared" si="79"/>
        <v>1.01</v>
      </c>
      <c r="H625" s="6" t="str">
        <f t="shared" si="74"/>
        <v>INSERT INTO public.coupon (plancode, age, "year", couponrate, benefittype, benefitrate, premiumrate) VALUES('EN60', 20, 11, 8, 'A',800, 1.01);</v>
      </c>
      <c r="I625" s="6" t="str">
        <f t="shared" si="75"/>
        <v>{"age":"20", "year":"11", "couponrate":"8", "benefittype":"A", "benefitrate":"800", "premiumrate":"1.01"}</v>
      </c>
      <c r="J625" s="6" t="str">
        <f t="shared" si="76"/>
        <v>,</v>
      </c>
    </row>
    <row r="626" spans="1:10">
      <c r="A626" s="4" t="str">
        <f>'EN60'!A$3</f>
        <v>EN60</v>
      </c>
      <c r="B626" s="4">
        <f t="shared" si="77"/>
        <v>20</v>
      </c>
      <c r="C626" s="4">
        <f t="shared" si="78"/>
        <v>12</v>
      </c>
      <c r="D626" s="4">
        <f t="shared" si="72"/>
        <v>8</v>
      </c>
      <c r="E626" s="4" t="s">
        <v>27</v>
      </c>
      <c r="F626" s="4">
        <f t="shared" si="73"/>
        <v>800</v>
      </c>
      <c r="G626" s="5">
        <f t="shared" si="79"/>
        <v>1.01</v>
      </c>
      <c r="H626" s="6" t="str">
        <f t="shared" si="74"/>
        <v>INSERT INTO public.coupon (plancode, age, "year", couponrate, benefittype, benefitrate, premiumrate) VALUES('EN60', 20, 12, 8, 'A',800, 1.01);</v>
      </c>
      <c r="I626" s="6" t="str">
        <f t="shared" si="75"/>
        <v>{"age":"20", "year":"12", "couponrate":"8", "benefittype":"A", "benefitrate":"800", "premiumrate":"1.01"}</v>
      </c>
      <c r="J626" s="6" t="str">
        <f t="shared" si="76"/>
        <v>,</v>
      </c>
    </row>
    <row r="627" spans="1:10">
      <c r="A627" s="4" t="str">
        <f>'EN60'!A$3</f>
        <v>EN60</v>
      </c>
      <c r="B627" s="4">
        <f t="shared" si="77"/>
        <v>20</v>
      </c>
      <c r="C627" s="4">
        <f t="shared" si="78"/>
        <v>13</v>
      </c>
      <c r="D627" s="4">
        <f t="shared" si="72"/>
        <v>8</v>
      </c>
      <c r="E627" s="4" t="s">
        <v>27</v>
      </c>
      <c r="F627" s="4">
        <f t="shared" si="73"/>
        <v>800</v>
      </c>
      <c r="G627" s="5">
        <f t="shared" si="79"/>
        <v>1.01</v>
      </c>
      <c r="H627" s="6" t="str">
        <f t="shared" si="74"/>
        <v>INSERT INTO public.coupon (plancode, age, "year", couponrate, benefittype, benefitrate, premiumrate) VALUES('EN60', 20, 13, 8, 'A',800, 1.01);</v>
      </c>
      <c r="I627" s="6" t="str">
        <f t="shared" si="75"/>
        <v>{"age":"20", "year":"13", "couponrate":"8", "benefittype":"A", "benefitrate":"800", "premiumrate":"1.01"}</v>
      </c>
      <c r="J627" s="6" t="str">
        <f t="shared" si="76"/>
        <v>,</v>
      </c>
    </row>
    <row r="628" spans="1:10">
      <c r="A628" s="4" t="str">
        <f>'EN60'!A$3</f>
        <v>EN60</v>
      </c>
      <c r="B628" s="4">
        <f t="shared" si="77"/>
        <v>20</v>
      </c>
      <c r="C628" s="4">
        <f t="shared" si="78"/>
        <v>14</v>
      </c>
      <c r="D628" s="4">
        <f t="shared" si="72"/>
        <v>8</v>
      </c>
      <c r="E628" s="4" t="s">
        <v>27</v>
      </c>
      <c r="F628" s="4">
        <f t="shared" si="73"/>
        <v>800</v>
      </c>
      <c r="G628" s="5">
        <f t="shared" si="79"/>
        <v>1.01</v>
      </c>
      <c r="H628" s="6" t="str">
        <f t="shared" si="74"/>
        <v>INSERT INTO public.coupon (plancode, age, "year", couponrate, benefittype, benefitrate, premiumrate) VALUES('EN60', 20, 14, 8, 'A',800, 1.01);</v>
      </c>
      <c r="I628" s="6" t="str">
        <f t="shared" si="75"/>
        <v>{"age":"20", "year":"14", "couponrate":"8", "benefittype":"A", "benefitrate":"800", "premiumrate":"1.01"}</v>
      </c>
      <c r="J628" s="6" t="str">
        <f t="shared" si="76"/>
        <v>,</v>
      </c>
    </row>
    <row r="629" spans="1:10">
      <c r="A629" s="4" t="str">
        <f>'EN60'!A$3</f>
        <v>EN60</v>
      </c>
      <c r="B629" s="4">
        <f t="shared" si="77"/>
        <v>20</v>
      </c>
      <c r="C629" s="4">
        <f t="shared" si="78"/>
        <v>15</v>
      </c>
      <c r="D629" s="4">
        <f t="shared" si="72"/>
        <v>8</v>
      </c>
      <c r="E629" s="4" t="s">
        <v>27</v>
      </c>
      <c r="F629" s="4">
        <f t="shared" si="73"/>
        <v>800</v>
      </c>
      <c r="G629" s="5">
        <f t="shared" si="79"/>
        <v>1.01</v>
      </c>
      <c r="H629" s="6" t="str">
        <f t="shared" si="74"/>
        <v>INSERT INTO public.coupon (plancode, age, "year", couponrate, benefittype, benefitrate, premiumrate) VALUES('EN60', 20, 15, 8, 'A',800, 1.01);</v>
      </c>
      <c r="I629" s="6" t="str">
        <f t="shared" si="75"/>
        <v>{"age":"20", "year":"15", "couponrate":"8", "benefittype":"A", "benefitrate":"800", "premiumrate":"1.01"}</v>
      </c>
      <c r="J629" s="6" t="str">
        <f t="shared" si="76"/>
        <v>,</v>
      </c>
    </row>
    <row r="630" spans="1:10">
      <c r="A630" s="4" t="str">
        <f>'EN60'!A$3</f>
        <v>EN60</v>
      </c>
      <c r="B630" s="4">
        <f t="shared" si="77"/>
        <v>20</v>
      </c>
      <c r="C630" s="4">
        <f t="shared" si="78"/>
        <v>16</v>
      </c>
      <c r="D630" s="4">
        <f t="shared" si="72"/>
        <v>8</v>
      </c>
      <c r="E630" s="4" t="s">
        <v>27</v>
      </c>
      <c r="F630" s="4">
        <f t="shared" si="73"/>
        <v>800</v>
      </c>
      <c r="G630" s="5">
        <f t="shared" si="79"/>
        <v>1.01</v>
      </c>
      <c r="H630" s="6" t="str">
        <f t="shared" si="74"/>
        <v>INSERT INTO public.coupon (plancode, age, "year", couponrate, benefittype, benefitrate, premiumrate) VALUES('EN60', 20, 16, 8, 'A',800, 1.01);</v>
      </c>
      <c r="I630" s="6" t="str">
        <f t="shared" si="75"/>
        <v>{"age":"20", "year":"16", "couponrate":"8", "benefittype":"A", "benefitrate":"800", "premiumrate":"1.01"}</v>
      </c>
      <c r="J630" s="6" t="str">
        <f t="shared" si="76"/>
        <v>,</v>
      </c>
    </row>
    <row r="631" spans="1:10">
      <c r="A631" s="4" t="str">
        <f>'EN60'!A$3</f>
        <v>EN60</v>
      </c>
      <c r="B631" s="4">
        <f t="shared" si="77"/>
        <v>20</v>
      </c>
      <c r="C631" s="4">
        <f t="shared" si="78"/>
        <v>17</v>
      </c>
      <c r="D631" s="4">
        <f t="shared" si="72"/>
        <v>8</v>
      </c>
      <c r="E631" s="4" t="s">
        <v>27</v>
      </c>
      <c r="F631" s="4">
        <f t="shared" si="73"/>
        <v>800</v>
      </c>
      <c r="G631" s="5">
        <f t="shared" si="79"/>
        <v>1.01</v>
      </c>
      <c r="H631" s="6" t="str">
        <f t="shared" si="74"/>
        <v>INSERT INTO public.coupon (plancode, age, "year", couponrate, benefittype, benefitrate, premiumrate) VALUES('EN60', 20, 17, 8, 'A',800, 1.01);</v>
      </c>
      <c r="I631" s="6" t="str">
        <f t="shared" si="75"/>
        <v>{"age":"20", "year":"17", "couponrate":"8", "benefittype":"A", "benefitrate":"800", "premiumrate":"1.01"}</v>
      </c>
      <c r="J631" s="6" t="str">
        <f t="shared" si="76"/>
        <v>,</v>
      </c>
    </row>
    <row r="632" spans="1:10">
      <c r="A632" s="4" t="str">
        <f>'EN60'!A$3</f>
        <v>EN60</v>
      </c>
      <c r="B632" s="4">
        <f t="shared" si="77"/>
        <v>20</v>
      </c>
      <c r="C632" s="4">
        <f t="shared" si="78"/>
        <v>18</v>
      </c>
      <c r="D632" s="4">
        <f t="shared" si="72"/>
        <v>8</v>
      </c>
      <c r="E632" s="4" t="s">
        <v>27</v>
      </c>
      <c r="F632" s="4">
        <f t="shared" si="73"/>
        <v>800</v>
      </c>
      <c r="G632" s="5">
        <f t="shared" si="79"/>
        <v>1.01</v>
      </c>
      <c r="H632" s="6" t="str">
        <f t="shared" si="74"/>
        <v>INSERT INTO public.coupon (plancode, age, "year", couponrate, benefittype, benefitrate, premiumrate) VALUES('EN60', 20, 18, 8, 'A',800, 1.01);</v>
      </c>
      <c r="I632" s="6" t="str">
        <f t="shared" si="75"/>
        <v>{"age":"20", "year":"18", "couponrate":"8", "benefittype":"A", "benefitrate":"800", "premiumrate":"1.01"}</v>
      </c>
      <c r="J632" s="6" t="str">
        <f t="shared" si="76"/>
        <v>,</v>
      </c>
    </row>
    <row r="633" spans="1:10">
      <c r="A633" s="4" t="str">
        <f>'EN60'!A$3</f>
        <v>EN60</v>
      </c>
      <c r="B633" s="4">
        <f t="shared" si="77"/>
        <v>20</v>
      </c>
      <c r="C633" s="4">
        <f t="shared" si="78"/>
        <v>19</v>
      </c>
      <c r="D633" s="4">
        <f t="shared" si="72"/>
        <v>8</v>
      </c>
      <c r="E633" s="4" t="s">
        <v>27</v>
      </c>
      <c r="F633" s="4">
        <f t="shared" si="73"/>
        <v>800</v>
      </c>
      <c r="G633" s="5">
        <f t="shared" si="79"/>
        <v>1.01</v>
      </c>
      <c r="H633" s="6" t="str">
        <f t="shared" si="74"/>
        <v>INSERT INTO public.coupon (plancode, age, "year", couponrate, benefittype, benefitrate, premiumrate) VALUES('EN60', 20, 19, 8, 'A',800, 1.01);</v>
      </c>
      <c r="I633" s="6" t="str">
        <f t="shared" si="75"/>
        <v>{"age":"20", "year":"19", "couponrate":"8", "benefittype":"A", "benefitrate":"800", "premiumrate":"1.01"}</v>
      </c>
      <c r="J633" s="6" t="str">
        <f t="shared" si="76"/>
        <v>,</v>
      </c>
    </row>
    <row r="634" spans="1:10">
      <c r="A634" s="4" t="str">
        <f>'EN60'!A$3</f>
        <v>EN60</v>
      </c>
      <c r="B634" s="4">
        <f t="shared" si="77"/>
        <v>20</v>
      </c>
      <c r="C634" s="4">
        <f t="shared" si="78"/>
        <v>20</v>
      </c>
      <c r="D634" s="4">
        <f t="shared" si="72"/>
        <v>8</v>
      </c>
      <c r="E634" s="4" t="s">
        <v>27</v>
      </c>
      <c r="F634" s="4">
        <f t="shared" si="73"/>
        <v>800</v>
      </c>
      <c r="G634" s="5">
        <f t="shared" si="79"/>
        <v>1.01</v>
      </c>
      <c r="H634" s="6" t="str">
        <f t="shared" si="74"/>
        <v>INSERT INTO public.coupon (plancode, age, "year", couponrate, benefittype, benefitrate, premiumrate) VALUES('EN60', 20, 20, 8, 'A',800, 1.01);</v>
      </c>
      <c r="I634" s="6" t="str">
        <f t="shared" si="75"/>
        <v>{"age":"20", "year":"20", "couponrate":"8", "benefittype":"A", "benefitrate":"800", "premiumrate":"1.01"}</v>
      </c>
      <c r="J634" s="6" t="str">
        <f t="shared" si="76"/>
        <v>,</v>
      </c>
    </row>
    <row r="635" spans="1:10">
      <c r="A635" s="4" t="str">
        <f>'EN60'!A$3</f>
        <v>EN60</v>
      </c>
      <c r="B635" s="4">
        <f t="shared" si="77"/>
        <v>20</v>
      </c>
      <c r="C635" s="4">
        <f t="shared" si="78"/>
        <v>21</v>
      </c>
      <c r="D635" s="4">
        <f t="shared" si="72"/>
        <v>8</v>
      </c>
      <c r="E635" s="4" t="s">
        <v>27</v>
      </c>
      <c r="F635" s="4">
        <f t="shared" si="73"/>
        <v>800</v>
      </c>
      <c r="G635" s="5">
        <f t="shared" si="79"/>
        <v>1.01</v>
      </c>
      <c r="H635" s="6" t="str">
        <f t="shared" si="74"/>
        <v>INSERT INTO public.coupon (plancode, age, "year", couponrate, benefittype, benefitrate, premiumrate) VALUES('EN60', 20, 21, 8, 'A',800, 1.01);</v>
      </c>
      <c r="I635" s="6" t="str">
        <f t="shared" si="75"/>
        <v>{"age":"20", "year":"21", "couponrate":"8", "benefittype":"A", "benefitrate":"800", "premiumrate":"1.01"}</v>
      </c>
      <c r="J635" s="6" t="str">
        <f t="shared" si="76"/>
        <v>,</v>
      </c>
    </row>
    <row r="636" spans="1:10">
      <c r="A636" s="4" t="str">
        <f>'EN60'!A$3</f>
        <v>EN60</v>
      </c>
      <c r="B636" s="4">
        <f t="shared" si="77"/>
        <v>20</v>
      </c>
      <c r="C636" s="4">
        <f t="shared" si="78"/>
        <v>22</v>
      </c>
      <c r="D636" s="4">
        <f t="shared" si="72"/>
        <v>8</v>
      </c>
      <c r="E636" s="4" t="s">
        <v>27</v>
      </c>
      <c r="F636" s="4">
        <f t="shared" si="73"/>
        <v>800</v>
      </c>
      <c r="G636" s="5">
        <f t="shared" si="79"/>
        <v>1.01</v>
      </c>
      <c r="H636" s="6" t="str">
        <f t="shared" si="74"/>
        <v>INSERT INTO public.coupon (plancode, age, "year", couponrate, benefittype, benefitrate, premiumrate) VALUES('EN60', 20, 22, 8, 'A',800, 1.01);</v>
      </c>
      <c r="I636" s="6" t="str">
        <f t="shared" si="75"/>
        <v>{"age":"20", "year":"22", "couponrate":"8", "benefittype":"A", "benefitrate":"800", "premiumrate":"1.01"}</v>
      </c>
      <c r="J636" s="6" t="str">
        <f t="shared" si="76"/>
        <v>,</v>
      </c>
    </row>
    <row r="637" spans="1:10">
      <c r="A637" s="4" t="str">
        <f>'EN60'!A$3</f>
        <v>EN60</v>
      </c>
      <c r="B637" s="4">
        <f t="shared" si="77"/>
        <v>20</v>
      </c>
      <c r="C637" s="4">
        <f t="shared" si="78"/>
        <v>23</v>
      </c>
      <c r="D637" s="4">
        <f t="shared" si="72"/>
        <v>8</v>
      </c>
      <c r="E637" s="4" t="s">
        <v>27</v>
      </c>
      <c r="F637" s="4">
        <f t="shared" si="73"/>
        <v>800</v>
      </c>
      <c r="G637" s="5">
        <f t="shared" si="79"/>
        <v>1.01</v>
      </c>
      <c r="H637" s="6" t="str">
        <f t="shared" si="74"/>
        <v>INSERT INTO public.coupon (plancode, age, "year", couponrate, benefittype, benefitrate, premiumrate) VALUES('EN60', 20, 23, 8, 'A',800, 1.01);</v>
      </c>
      <c r="I637" s="6" t="str">
        <f t="shared" si="75"/>
        <v>{"age":"20", "year":"23", "couponrate":"8", "benefittype":"A", "benefitrate":"800", "premiumrate":"1.01"}</v>
      </c>
      <c r="J637" s="6" t="str">
        <f t="shared" si="76"/>
        <v>,</v>
      </c>
    </row>
    <row r="638" spans="1:10">
      <c r="A638" s="4" t="str">
        <f>'EN60'!A$3</f>
        <v>EN60</v>
      </c>
      <c r="B638" s="4">
        <f t="shared" si="77"/>
        <v>20</v>
      </c>
      <c r="C638" s="4">
        <f t="shared" si="78"/>
        <v>24</v>
      </c>
      <c r="D638" s="4">
        <f t="shared" si="72"/>
        <v>8</v>
      </c>
      <c r="E638" s="4" t="s">
        <v>27</v>
      </c>
      <c r="F638" s="4">
        <f t="shared" si="73"/>
        <v>800</v>
      </c>
      <c r="G638" s="5">
        <f t="shared" si="79"/>
        <v>1.01</v>
      </c>
      <c r="H638" s="6" t="str">
        <f t="shared" si="74"/>
        <v>INSERT INTO public.coupon (plancode, age, "year", couponrate, benefittype, benefitrate, premiumrate) VALUES('EN60', 20, 24, 8, 'A',800, 1.01);</v>
      </c>
      <c r="I638" s="6" t="str">
        <f t="shared" si="75"/>
        <v>{"age":"20", "year":"24", "couponrate":"8", "benefittype":"A", "benefitrate":"800", "premiumrate":"1.01"}</v>
      </c>
      <c r="J638" s="6" t="str">
        <f t="shared" si="76"/>
        <v>,</v>
      </c>
    </row>
    <row r="639" spans="1:10">
      <c r="A639" s="4" t="str">
        <f>'EN60'!A$3</f>
        <v>EN60</v>
      </c>
      <c r="B639" s="4">
        <f t="shared" si="77"/>
        <v>20</v>
      </c>
      <c r="C639" s="4">
        <f t="shared" si="78"/>
        <v>25</v>
      </c>
      <c r="D639" s="4">
        <f t="shared" si="72"/>
        <v>8</v>
      </c>
      <c r="E639" s="4" t="s">
        <v>27</v>
      </c>
      <c r="F639" s="4">
        <f t="shared" si="73"/>
        <v>800</v>
      </c>
      <c r="G639" s="5">
        <f t="shared" si="79"/>
        <v>1.01</v>
      </c>
      <c r="H639" s="6" t="str">
        <f t="shared" si="74"/>
        <v>INSERT INTO public.coupon (plancode, age, "year", couponrate, benefittype, benefitrate, premiumrate) VALUES('EN60', 20, 25, 8, 'A',800, 1.01);</v>
      </c>
      <c r="I639" s="6" t="str">
        <f t="shared" si="75"/>
        <v>{"age":"20", "year":"25", "couponrate":"8", "benefittype":"A", "benefitrate":"800", "premiumrate":"1.01"}</v>
      </c>
      <c r="J639" s="6" t="str">
        <f t="shared" si="76"/>
        <v>,</v>
      </c>
    </row>
    <row r="640" spans="1:10">
      <c r="A640" s="4" t="str">
        <f>'EN60'!A$3</f>
        <v>EN60</v>
      </c>
      <c r="B640" s="4">
        <f t="shared" si="77"/>
        <v>20</v>
      </c>
      <c r="C640" s="4">
        <f t="shared" si="78"/>
        <v>26</v>
      </c>
      <c r="D640" s="4">
        <f t="shared" si="72"/>
        <v>8</v>
      </c>
      <c r="E640" s="4" t="s">
        <v>27</v>
      </c>
      <c r="F640" s="4">
        <f t="shared" si="73"/>
        <v>800</v>
      </c>
      <c r="G640" s="5">
        <f t="shared" si="79"/>
        <v>1.01</v>
      </c>
      <c r="H640" s="6" t="str">
        <f t="shared" si="74"/>
        <v>INSERT INTO public.coupon (plancode, age, "year", couponrate, benefittype, benefitrate, premiumrate) VALUES('EN60', 20, 26, 8, 'A',800, 1.01);</v>
      </c>
      <c r="I640" s="6" t="str">
        <f t="shared" si="75"/>
        <v>{"age":"20", "year":"26", "couponrate":"8", "benefittype":"A", "benefitrate":"800", "premiumrate":"1.01"}</v>
      </c>
      <c r="J640" s="6" t="str">
        <f t="shared" si="76"/>
        <v>,</v>
      </c>
    </row>
    <row r="641" spans="1:10">
      <c r="A641" s="4" t="str">
        <f>'EN60'!A$3</f>
        <v>EN60</v>
      </c>
      <c r="B641" s="4">
        <f t="shared" si="77"/>
        <v>20</v>
      </c>
      <c r="C641" s="4">
        <f t="shared" si="78"/>
        <v>27</v>
      </c>
      <c r="D641" s="4">
        <f t="shared" si="72"/>
        <v>8</v>
      </c>
      <c r="E641" s="4" t="s">
        <v>27</v>
      </c>
      <c r="F641" s="4">
        <f t="shared" si="73"/>
        <v>800</v>
      </c>
      <c r="G641" s="5">
        <f t="shared" si="79"/>
        <v>1.01</v>
      </c>
      <c r="H641" s="6" t="str">
        <f t="shared" si="74"/>
        <v>INSERT INTO public.coupon (plancode, age, "year", couponrate, benefittype, benefitrate, premiumrate) VALUES('EN60', 20, 27, 8, 'A',800, 1.01);</v>
      </c>
      <c r="I641" s="6" t="str">
        <f t="shared" si="75"/>
        <v>{"age":"20", "year":"27", "couponrate":"8", "benefittype":"A", "benefitrate":"800", "premiumrate":"1.01"}</v>
      </c>
      <c r="J641" s="6" t="str">
        <f t="shared" si="76"/>
        <v>,</v>
      </c>
    </row>
    <row r="642" spans="1:10">
      <c r="A642" s="4" t="str">
        <f>'EN60'!A$3</f>
        <v>EN60</v>
      </c>
      <c r="B642" s="4">
        <f t="shared" si="77"/>
        <v>20</v>
      </c>
      <c r="C642" s="4">
        <f t="shared" si="78"/>
        <v>28</v>
      </c>
      <c r="D642" s="4">
        <f t="shared" si="72"/>
        <v>8</v>
      </c>
      <c r="E642" s="4" t="s">
        <v>27</v>
      </c>
      <c r="F642" s="4">
        <f t="shared" si="73"/>
        <v>800</v>
      </c>
      <c r="G642" s="5">
        <f t="shared" si="79"/>
        <v>1.01</v>
      </c>
      <c r="H642" s="6" t="str">
        <f t="shared" si="74"/>
        <v>INSERT INTO public.coupon (plancode, age, "year", couponrate, benefittype, benefitrate, premiumrate) VALUES('EN60', 20, 28, 8, 'A',800, 1.01);</v>
      </c>
      <c r="I642" s="6" t="str">
        <f t="shared" si="75"/>
        <v>{"age":"20", "year":"28", "couponrate":"8", "benefittype":"A", "benefitrate":"800", "premiumrate":"1.01"}</v>
      </c>
      <c r="J642" s="6" t="str">
        <f t="shared" si="76"/>
        <v>,</v>
      </c>
    </row>
    <row r="643" spans="1:10">
      <c r="A643" s="4" t="str">
        <f>'EN60'!A$3</f>
        <v>EN60</v>
      </c>
      <c r="B643" s="4">
        <f t="shared" si="77"/>
        <v>20</v>
      </c>
      <c r="C643" s="4">
        <f t="shared" si="78"/>
        <v>29</v>
      </c>
      <c r="D643" s="4">
        <f t="shared" si="72"/>
        <v>8</v>
      </c>
      <c r="E643" s="4" t="s">
        <v>27</v>
      </c>
      <c r="F643" s="4">
        <f t="shared" si="73"/>
        <v>800</v>
      </c>
      <c r="G643" s="5">
        <f t="shared" si="79"/>
        <v>1.01</v>
      </c>
      <c r="H643" s="6" t="str">
        <f t="shared" si="74"/>
        <v>INSERT INTO public.coupon (plancode, age, "year", couponrate, benefittype, benefitrate, premiumrate) VALUES('EN60', 20, 29, 8, 'A',800, 1.01);</v>
      </c>
      <c r="I643" s="6" t="str">
        <f t="shared" si="75"/>
        <v>{"age":"20", "year":"29", "couponrate":"8", "benefittype":"A", "benefitrate":"800", "premiumrate":"1.01"}</v>
      </c>
      <c r="J643" s="6" t="str">
        <f t="shared" si="76"/>
        <v>,</v>
      </c>
    </row>
    <row r="644" spans="1:10">
      <c r="A644" s="4" t="str">
        <f>'EN60'!A$3</f>
        <v>EN60</v>
      </c>
      <c r="B644" s="4">
        <f t="shared" si="77"/>
        <v>20</v>
      </c>
      <c r="C644" s="4">
        <f t="shared" si="78"/>
        <v>30</v>
      </c>
      <c r="D644" s="4">
        <f t="shared" si="72"/>
        <v>8</v>
      </c>
      <c r="E644" s="4" t="s">
        <v>27</v>
      </c>
      <c r="F644" s="4">
        <f t="shared" si="73"/>
        <v>800</v>
      </c>
      <c r="G644" s="5">
        <f t="shared" si="79"/>
        <v>1.01</v>
      </c>
      <c r="H644" s="6" t="str">
        <f t="shared" si="74"/>
        <v>INSERT INTO public.coupon (plancode, age, "year", couponrate, benefittype, benefitrate, premiumrate) VALUES('EN60', 20, 30, 8, 'A',800, 1.01);</v>
      </c>
      <c r="I644" s="6" t="str">
        <f t="shared" si="75"/>
        <v>{"age":"20", "year":"30", "couponrate":"8", "benefittype":"A", "benefitrate":"800", "premiumrate":"1.01"}</v>
      </c>
      <c r="J644" s="6" t="str">
        <f t="shared" si="76"/>
        <v>,</v>
      </c>
    </row>
    <row r="645" spans="1:10">
      <c r="A645" s="4" t="str">
        <f>'EN60'!A$3</f>
        <v>EN60</v>
      </c>
      <c r="B645" s="4">
        <f t="shared" si="77"/>
        <v>20</v>
      </c>
      <c r="C645" s="4">
        <f t="shared" si="78"/>
        <v>31</v>
      </c>
      <c r="D645" s="4">
        <f t="shared" si="72"/>
        <v>8</v>
      </c>
      <c r="E645" s="4" t="s">
        <v>27</v>
      </c>
      <c r="F645" s="4">
        <f t="shared" si="73"/>
        <v>800</v>
      </c>
      <c r="G645" s="5">
        <f t="shared" si="79"/>
        <v>1.01</v>
      </c>
      <c r="H645" s="6" t="str">
        <f t="shared" si="74"/>
        <v>INSERT INTO public.coupon (plancode, age, "year", couponrate, benefittype, benefitrate, premiumrate) VALUES('EN60', 20, 31, 8, 'A',800, 1.01);</v>
      </c>
      <c r="I645" s="6" t="str">
        <f t="shared" si="75"/>
        <v>{"age":"20", "year":"31", "couponrate":"8", "benefittype":"A", "benefitrate":"800", "premiumrate":"1.01"}</v>
      </c>
      <c r="J645" s="6" t="str">
        <f t="shared" si="76"/>
        <v>,</v>
      </c>
    </row>
    <row r="646" spans="1:10">
      <c r="A646" s="4" t="str">
        <f>'EN60'!A$3</f>
        <v>EN60</v>
      </c>
      <c r="B646" s="4">
        <f t="shared" si="77"/>
        <v>20</v>
      </c>
      <c r="C646" s="4">
        <f t="shared" si="78"/>
        <v>32</v>
      </c>
      <c r="D646" s="4">
        <f t="shared" si="72"/>
        <v>8</v>
      </c>
      <c r="E646" s="4" t="s">
        <v>27</v>
      </c>
      <c r="F646" s="4">
        <f t="shared" si="73"/>
        <v>800</v>
      </c>
      <c r="G646" s="5">
        <f t="shared" si="79"/>
        <v>1.01</v>
      </c>
      <c r="H646" s="6" t="str">
        <f t="shared" si="74"/>
        <v>INSERT INTO public.coupon (plancode, age, "year", couponrate, benefittype, benefitrate, premiumrate) VALUES('EN60', 20, 32, 8, 'A',800, 1.01);</v>
      </c>
      <c r="I646" s="6" t="str">
        <f t="shared" si="75"/>
        <v>{"age":"20", "year":"32", "couponrate":"8", "benefittype":"A", "benefitrate":"800", "premiumrate":"1.01"}</v>
      </c>
      <c r="J646" s="6" t="str">
        <f t="shared" si="76"/>
        <v>,</v>
      </c>
    </row>
    <row r="647" spans="1:10">
      <c r="A647" s="4" t="str">
        <f>'EN60'!A$3</f>
        <v>EN60</v>
      </c>
      <c r="B647" s="4">
        <f t="shared" si="77"/>
        <v>20</v>
      </c>
      <c r="C647" s="4">
        <f t="shared" si="78"/>
        <v>33</v>
      </c>
      <c r="D647" s="4">
        <f t="shared" si="72"/>
        <v>8</v>
      </c>
      <c r="E647" s="4" t="s">
        <v>27</v>
      </c>
      <c r="F647" s="4">
        <f t="shared" si="73"/>
        <v>800</v>
      </c>
      <c r="G647" s="5">
        <f t="shared" si="79"/>
        <v>1.01</v>
      </c>
      <c r="H647" s="6" t="str">
        <f t="shared" si="74"/>
        <v>INSERT INTO public.coupon (plancode, age, "year", couponrate, benefittype, benefitrate, premiumrate) VALUES('EN60', 20, 33, 8, 'A',800, 1.01);</v>
      </c>
      <c r="I647" s="6" t="str">
        <f t="shared" si="75"/>
        <v>{"age":"20", "year":"33", "couponrate":"8", "benefittype":"A", "benefitrate":"800", "premiumrate":"1.01"}</v>
      </c>
      <c r="J647" s="6" t="str">
        <f t="shared" si="76"/>
        <v>,</v>
      </c>
    </row>
    <row r="648" spans="1:10">
      <c r="A648" s="4" t="str">
        <f>'EN60'!A$3</f>
        <v>EN60</v>
      </c>
      <c r="B648" s="4">
        <f t="shared" si="77"/>
        <v>20</v>
      </c>
      <c r="C648" s="4">
        <f t="shared" si="78"/>
        <v>34</v>
      </c>
      <c r="D648" s="4">
        <f t="shared" si="72"/>
        <v>8</v>
      </c>
      <c r="E648" s="4" t="s">
        <v>27</v>
      </c>
      <c r="F648" s="4">
        <f t="shared" si="73"/>
        <v>800</v>
      </c>
      <c r="G648" s="5">
        <f t="shared" si="79"/>
        <v>1.01</v>
      </c>
      <c r="H648" s="6" t="str">
        <f t="shared" si="74"/>
        <v>INSERT INTO public.coupon (plancode, age, "year", couponrate, benefittype, benefitrate, premiumrate) VALUES('EN60', 20, 34, 8, 'A',800, 1.01);</v>
      </c>
      <c r="I648" s="6" t="str">
        <f t="shared" si="75"/>
        <v>{"age":"20", "year":"34", "couponrate":"8", "benefittype":"A", "benefitrate":"800", "premiumrate":"1.01"}</v>
      </c>
      <c r="J648" s="6" t="str">
        <f t="shared" si="76"/>
        <v>,</v>
      </c>
    </row>
    <row r="649" spans="1:10">
      <c r="A649" s="4" t="str">
        <f>'EN60'!A$3</f>
        <v>EN60</v>
      </c>
      <c r="B649" s="4">
        <f t="shared" si="77"/>
        <v>20</v>
      </c>
      <c r="C649" s="4">
        <f t="shared" si="78"/>
        <v>35</v>
      </c>
      <c r="D649" s="4">
        <f t="shared" si="72"/>
        <v>8</v>
      </c>
      <c r="E649" s="4" t="s">
        <v>27</v>
      </c>
      <c r="F649" s="4">
        <f t="shared" si="73"/>
        <v>800</v>
      </c>
      <c r="G649" s="5">
        <f t="shared" si="79"/>
        <v>1.01</v>
      </c>
      <c r="H649" s="6" t="str">
        <f t="shared" si="74"/>
        <v>INSERT INTO public.coupon (plancode, age, "year", couponrate, benefittype, benefitrate, premiumrate) VALUES('EN60', 20, 35, 8, 'A',800, 1.01);</v>
      </c>
      <c r="I649" s="6" t="str">
        <f t="shared" si="75"/>
        <v>{"age":"20", "year":"35", "couponrate":"8", "benefittype":"A", "benefitrate":"800", "premiumrate":"1.01"}</v>
      </c>
      <c r="J649" s="6" t="str">
        <f t="shared" si="76"/>
        <v>,</v>
      </c>
    </row>
    <row r="650" spans="1:10">
      <c r="A650" s="4" t="str">
        <f>'EN60'!A$3</f>
        <v>EN60</v>
      </c>
      <c r="B650" s="4">
        <f t="shared" si="77"/>
        <v>20</v>
      </c>
      <c r="C650" s="4">
        <f t="shared" si="78"/>
        <v>36</v>
      </c>
      <c r="D650" s="4">
        <f t="shared" si="72"/>
        <v>8</v>
      </c>
      <c r="E650" s="4" t="s">
        <v>27</v>
      </c>
      <c r="F650" s="4">
        <f t="shared" si="73"/>
        <v>800</v>
      </c>
      <c r="G650" s="5">
        <f t="shared" si="79"/>
        <v>1.01</v>
      </c>
      <c r="H650" s="6" t="str">
        <f t="shared" si="74"/>
        <v>INSERT INTO public.coupon (plancode, age, "year", couponrate, benefittype, benefitrate, premiumrate) VALUES('EN60', 20, 36, 8, 'A',800, 1.01);</v>
      </c>
      <c r="I650" s="6" t="str">
        <f t="shared" si="75"/>
        <v>{"age":"20", "year":"36", "couponrate":"8", "benefittype":"A", "benefitrate":"800", "premiumrate":"1.01"}</v>
      </c>
      <c r="J650" s="6" t="str">
        <f t="shared" si="76"/>
        <v>,</v>
      </c>
    </row>
    <row r="651" spans="1:10">
      <c r="A651" s="4" t="str">
        <f>'EN60'!A$3</f>
        <v>EN60</v>
      </c>
      <c r="B651" s="4">
        <f t="shared" si="77"/>
        <v>20</v>
      </c>
      <c r="C651" s="4">
        <f t="shared" si="78"/>
        <v>37</v>
      </c>
      <c r="D651" s="4">
        <f t="shared" si="72"/>
        <v>8</v>
      </c>
      <c r="E651" s="4" t="s">
        <v>27</v>
      </c>
      <c r="F651" s="4">
        <f t="shared" si="73"/>
        <v>800</v>
      </c>
      <c r="G651" s="5">
        <f t="shared" si="79"/>
        <v>1.01</v>
      </c>
      <c r="H651" s="6" t="str">
        <f t="shared" si="74"/>
        <v>INSERT INTO public.coupon (plancode, age, "year", couponrate, benefittype, benefitrate, premiumrate) VALUES('EN60', 20, 37, 8, 'A',800, 1.01);</v>
      </c>
      <c r="I651" s="6" t="str">
        <f t="shared" si="75"/>
        <v>{"age":"20", "year":"37", "couponrate":"8", "benefittype":"A", "benefitrate":"800", "premiumrate":"1.01"}</v>
      </c>
      <c r="J651" s="6" t="str">
        <f t="shared" si="76"/>
        <v>,</v>
      </c>
    </row>
    <row r="652" spans="1:10">
      <c r="A652" s="4" t="str">
        <f>'EN60'!A$3</f>
        <v>EN60</v>
      </c>
      <c r="B652" s="4">
        <f t="shared" si="77"/>
        <v>20</v>
      </c>
      <c r="C652" s="4">
        <f t="shared" si="78"/>
        <v>38</v>
      </c>
      <c r="D652" s="4">
        <f t="shared" si="72"/>
        <v>8</v>
      </c>
      <c r="E652" s="4" t="s">
        <v>27</v>
      </c>
      <c r="F652" s="4">
        <f t="shared" si="73"/>
        <v>800</v>
      </c>
      <c r="G652" s="5">
        <f t="shared" si="79"/>
        <v>1.01</v>
      </c>
      <c r="H652" s="6" t="str">
        <f t="shared" si="74"/>
        <v>INSERT INTO public.coupon (plancode, age, "year", couponrate, benefittype, benefitrate, premiumrate) VALUES('EN60', 20, 38, 8, 'A',800, 1.01);</v>
      </c>
      <c r="I652" s="6" t="str">
        <f t="shared" si="75"/>
        <v>{"age":"20", "year":"38", "couponrate":"8", "benefittype":"A", "benefitrate":"800", "premiumrate":"1.01"}</v>
      </c>
      <c r="J652" s="6" t="str">
        <f t="shared" si="76"/>
        <v>,</v>
      </c>
    </row>
    <row r="653" spans="1:10">
      <c r="A653" s="4" t="str">
        <f>'EN60'!A$3</f>
        <v>EN60</v>
      </c>
      <c r="B653" s="4">
        <f t="shared" si="77"/>
        <v>20</v>
      </c>
      <c r="C653" s="4">
        <f t="shared" si="78"/>
        <v>39</v>
      </c>
      <c r="D653" s="4">
        <f t="shared" si="72"/>
        <v>8</v>
      </c>
      <c r="E653" s="4" t="s">
        <v>27</v>
      </c>
      <c r="F653" s="4">
        <f t="shared" si="73"/>
        <v>800</v>
      </c>
      <c r="G653" s="5">
        <f t="shared" si="79"/>
        <v>1.01</v>
      </c>
      <c r="H653" s="6" t="str">
        <f t="shared" si="74"/>
        <v>INSERT INTO public.coupon (plancode, age, "year", couponrate, benefittype, benefitrate, premiumrate) VALUES('EN60', 20, 39, 8, 'A',800, 1.01);</v>
      </c>
      <c r="I653" s="6" t="str">
        <f t="shared" si="75"/>
        <v>{"age":"20", "year":"39", "couponrate":"8", "benefittype":"A", "benefitrate":"800", "premiumrate":"1.01"}</v>
      </c>
      <c r="J653" s="6" t="str">
        <f t="shared" si="76"/>
        <v>,</v>
      </c>
    </row>
    <row r="654" spans="1:10">
      <c r="A654" s="4" t="str">
        <f>'EN60'!A$3</f>
        <v>EN60</v>
      </c>
      <c r="B654" s="4">
        <f t="shared" si="77"/>
        <v>20</v>
      </c>
      <c r="C654" s="4">
        <f t="shared" si="78"/>
        <v>40</v>
      </c>
      <c r="D654" s="4">
        <f t="shared" si="72"/>
        <v>8</v>
      </c>
      <c r="E654" s="4" t="s">
        <v>27</v>
      </c>
      <c r="F654" s="4">
        <f t="shared" si="73"/>
        <v>800</v>
      </c>
      <c r="G654" s="5">
        <f t="shared" si="79"/>
        <v>1.01</v>
      </c>
      <c r="H654" s="6" t="str">
        <f t="shared" si="74"/>
        <v>INSERT INTO public.coupon (plancode, age, "year", couponrate, benefittype, benefitrate, premiumrate) VALUES('EN60', 20, 40, 8, 'A',800, 1.01);</v>
      </c>
      <c r="I654" s="6" t="str">
        <f t="shared" si="75"/>
        <v>{"age":"20", "year":"40", "couponrate":"8", "benefittype":"A", "benefitrate":"800", "premiumrate":"1.01"}</v>
      </c>
      <c r="J654" s="6" t="str">
        <f t="shared" si="76"/>
        <v>,</v>
      </c>
    </row>
    <row r="655" spans="1:10">
      <c r="A655" s="4" t="str">
        <f>'EN60'!A$3</f>
        <v>EN60</v>
      </c>
      <c r="B655" s="4">
        <f t="shared" si="77"/>
        <v>20</v>
      </c>
      <c r="C655" s="4">
        <f t="shared" si="78"/>
        <v>41</v>
      </c>
      <c r="D655" s="4">
        <f t="shared" si="72"/>
        <v>8</v>
      </c>
      <c r="E655" s="4" t="s">
        <v>27</v>
      </c>
      <c r="F655" s="4">
        <f t="shared" si="73"/>
        <v>800</v>
      </c>
      <c r="G655" s="5">
        <f t="shared" si="79"/>
        <v>1.01</v>
      </c>
      <c r="H655" s="6" t="str">
        <f t="shared" si="74"/>
        <v>INSERT INTO public.coupon (plancode, age, "year", couponrate, benefittype, benefitrate, premiumrate) VALUES('EN60', 20, 41, 8, 'A',800, 1.01);</v>
      </c>
      <c r="I655" s="6" t="str">
        <f t="shared" si="75"/>
        <v>{"age":"20", "year":"41", "couponrate":"8", "benefittype":"A", "benefitrate":"800", "premiumrate":"1.01"}</v>
      </c>
      <c r="J655" s="6" t="str">
        <f t="shared" si="76"/>
        <v>,</v>
      </c>
    </row>
    <row r="656" spans="1:10">
      <c r="A656" s="4" t="str">
        <f>'EN60'!A$3</f>
        <v>EN60</v>
      </c>
      <c r="B656" s="4">
        <f t="shared" si="77"/>
        <v>20</v>
      </c>
      <c r="C656" s="4">
        <f t="shared" si="78"/>
        <v>42</v>
      </c>
      <c r="D656" s="4">
        <f t="shared" si="72"/>
        <v>8</v>
      </c>
      <c r="E656" s="4" t="s">
        <v>27</v>
      </c>
      <c r="F656" s="4">
        <f t="shared" si="73"/>
        <v>800</v>
      </c>
      <c r="G656" s="5">
        <f t="shared" si="79"/>
        <v>1.01</v>
      </c>
      <c r="H656" s="6" t="str">
        <f t="shared" si="74"/>
        <v>INSERT INTO public.coupon (plancode, age, "year", couponrate, benefittype, benefitrate, premiumrate) VALUES('EN60', 20, 42, 8, 'A',800, 1.01);</v>
      </c>
      <c r="I656" s="6" t="str">
        <f t="shared" si="75"/>
        <v>{"age":"20", "year":"42", "couponrate":"8", "benefittype":"A", "benefitrate":"800", "premiumrate":"1.01"}</v>
      </c>
      <c r="J656" s="6" t="str">
        <f t="shared" si="76"/>
        <v>,</v>
      </c>
    </row>
    <row r="657" spans="1:10">
      <c r="A657" s="4" t="str">
        <f>'EN60'!A$3</f>
        <v>EN60</v>
      </c>
      <c r="B657" s="4">
        <f t="shared" si="77"/>
        <v>20</v>
      </c>
      <c r="C657" s="4">
        <f t="shared" si="78"/>
        <v>43</v>
      </c>
      <c r="D657" s="4">
        <f t="shared" si="72"/>
        <v>8</v>
      </c>
      <c r="E657" s="4" t="s">
        <v>27</v>
      </c>
      <c r="F657" s="4">
        <f t="shared" si="73"/>
        <v>800</v>
      </c>
      <c r="G657" s="5">
        <f t="shared" si="79"/>
        <v>1.01</v>
      </c>
      <c r="H657" s="6" t="str">
        <f t="shared" si="74"/>
        <v>INSERT INTO public.coupon (plancode, age, "year", couponrate, benefittype, benefitrate, premiumrate) VALUES('EN60', 20, 43, 8, 'A',800, 1.01);</v>
      </c>
      <c r="I657" s="6" t="str">
        <f t="shared" si="75"/>
        <v>{"age":"20", "year":"43", "couponrate":"8", "benefittype":"A", "benefitrate":"800", "premiumrate":"1.01"}</v>
      </c>
      <c r="J657" s="6" t="str">
        <f t="shared" si="76"/>
        <v>,</v>
      </c>
    </row>
    <row r="658" spans="1:10">
      <c r="A658" s="4" t="str">
        <f>'EN60'!A$3</f>
        <v>EN60</v>
      </c>
      <c r="B658" s="4">
        <f t="shared" si="77"/>
        <v>20</v>
      </c>
      <c r="C658" s="4">
        <f t="shared" si="78"/>
        <v>44</v>
      </c>
      <c r="D658" s="4">
        <f t="shared" si="72"/>
        <v>8</v>
      </c>
      <c r="E658" s="4" t="s">
        <v>27</v>
      </c>
      <c r="F658" s="4">
        <f t="shared" si="73"/>
        <v>800</v>
      </c>
      <c r="G658" s="5">
        <f t="shared" si="79"/>
        <v>1.01</v>
      </c>
      <c r="H658" s="6" t="str">
        <f t="shared" si="74"/>
        <v>INSERT INTO public.coupon (plancode, age, "year", couponrate, benefittype, benefitrate, premiumrate) VALUES('EN60', 20, 44, 8, 'A',800, 1.01);</v>
      </c>
      <c r="I658" s="6" t="str">
        <f t="shared" si="75"/>
        <v>{"age":"20", "year":"44", "couponrate":"8", "benefittype":"A", "benefitrate":"800", "premiumrate":"1.01"}</v>
      </c>
      <c r="J658" s="6" t="str">
        <f t="shared" si="76"/>
        <v>,</v>
      </c>
    </row>
    <row r="659" spans="1:10">
      <c r="A659" s="4" t="str">
        <f>'EN60'!A$3</f>
        <v>EN60</v>
      </c>
      <c r="B659" s="4">
        <f t="shared" si="77"/>
        <v>20</v>
      </c>
      <c r="C659" s="4">
        <f t="shared" si="78"/>
        <v>45</v>
      </c>
      <c r="D659" s="4">
        <f t="shared" si="72"/>
        <v>8</v>
      </c>
      <c r="E659" s="4" t="s">
        <v>27</v>
      </c>
      <c r="F659" s="4">
        <f t="shared" si="73"/>
        <v>800</v>
      </c>
      <c r="G659" s="5">
        <f t="shared" si="79"/>
        <v>1.01</v>
      </c>
      <c r="H659" s="6" t="str">
        <f t="shared" si="74"/>
        <v>INSERT INTO public.coupon (plancode, age, "year", couponrate, benefittype, benefitrate, premiumrate) VALUES('EN60', 20, 45, 8, 'A',800, 1.01);</v>
      </c>
      <c r="I659" s="6" t="str">
        <f t="shared" si="75"/>
        <v>{"age":"20", "year":"45", "couponrate":"8", "benefittype":"A", "benefitrate":"800", "premiumrate":"1.01"}</v>
      </c>
      <c r="J659" s="6" t="str">
        <f t="shared" si="76"/>
        <v>,</v>
      </c>
    </row>
    <row r="660" spans="1:10">
      <c r="A660" s="4" t="str">
        <f>'EN60'!A$3</f>
        <v>EN60</v>
      </c>
      <c r="B660" s="4">
        <f t="shared" si="77"/>
        <v>20</v>
      </c>
      <c r="C660" s="4">
        <f t="shared" si="78"/>
        <v>46</v>
      </c>
      <c r="D660" s="4">
        <f t="shared" si="72"/>
        <v>8</v>
      </c>
      <c r="E660" s="4" t="s">
        <v>27</v>
      </c>
      <c r="F660" s="4">
        <f t="shared" si="73"/>
        <v>800</v>
      </c>
      <c r="G660" s="5">
        <f t="shared" si="79"/>
        <v>1.01</v>
      </c>
      <c r="H660" s="6" t="str">
        <f t="shared" si="74"/>
        <v>INSERT INTO public.coupon (plancode, age, "year", couponrate, benefittype, benefitrate, premiumrate) VALUES('EN60', 20, 46, 8, 'A',800, 1.01);</v>
      </c>
      <c r="I660" s="6" t="str">
        <f t="shared" si="75"/>
        <v>{"age":"20", "year":"46", "couponrate":"8", "benefittype":"A", "benefitrate":"800", "premiumrate":"1.01"}</v>
      </c>
      <c r="J660" s="6" t="str">
        <f t="shared" si="76"/>
        <v>,</v>
      </c>
    </row>
    <row r="661" spans="1:10">
      <c r="A661" s="4" t="str">
        <f>'EN60'!A$3</f>
        <v>EN60</v>
      </c>
      <c r="B661" s="4">
        <f t="shared" si="77"/>
        <v>20</v>
      </c>
      <c r="C661" s="4">
        <f t="shared" si="78"/>
        <v>47</v>
      </c>
      <c r="D661" s="4">
        <f t="shared" si="72"/>
        <v>8</v>
      </c>
      <c r="E661" s="4" t="s">
        <v>27</v>
      </c>
      <c r="F661" s="4">
        <f t="shared" si="73"/>
        <v>800</v>
      </c>
      <c r="G661" s="5">
        <f t="shared" si="79"/>
        <v>1.01</v>
      </c>
      <c r="H661" s="6" t="str">
        <f t="shared" si="74"/>
        <v>INSERT INTO public.coupon (plancode, age, "year", couponrate, benefittype, benefitrate, premiumrate) VALUES('EN60', 20, 47, 8, 'A',800, 1.01);</v>
      </c>
      <c r="I661" s="6" t="str">
        <f t="shared" si="75"/>
        <v>{"age":"20", "year":"47", "couponrate":"8", "benefittype":"A", "benefitrate":"800", "premiumrate":"1.01"}</v>
      </c>
      <c r="J661" s="6" t="str">
        <f t="shared" si="76"/>
        <v>,</v>
      </c>
    </row>
    <row r="662" spans="1:10">
      <c r="A662" s="4" t="str">
        <f>'EN60'!A$3</f>
        <v>EN60</v>
      </c>
      <c r="B662" s="4">
        <f t="shared" si="77"/>
        <v>20</v>
      </c>
      <c r="C662" s="4">
        <f t="shared" si="78"/>
        <v>48</v>
      </c>
      <c r="D662" s="4">
        <f t="shared" si="72"/>
        <v>8</v>
      </c>
      <c r="E662" s="4" t="s">
        <v>27</v>
      </c>
      <c r="F662" s="4">
        <f t="shared" si="73"/>
        <v>800</v>
      </c>
      <c r="G662" s="5">
        <f t="shared" si="79"/>
        <v>1.01</v>
      </c>
      <c r="H662" s="6" t="str">
        <f t="shared" si="74"/>
        <v>INSERT INTO public.coupon (plancode, age, "year", couponrate, benefittype, benefitrate, premiumrate) VALUES('EN60', 20, 48, 8, 'A',800, 1.01);</v>
      </c>
      <c r="I662" s="6" t="str">
        <f t="shared" si="75"/>
        <v>{"age":"20", "year":"48", "couponrate":"8", "benefittype":"A", "benefitrate":"800", "premiumrate":"1.01"}</v>
      </c>
      <c r="J662" s="6" t="str">
        <f t="shared" si="76"/>
        <v>,</v>
      </c>
    </row>
    <row r="663" spans="1:10">
      <c r="A663" s="4" t="str">
        <f>'EN60'!A$3</f>
        <v>EN60</v>
      </c>
      <c r="B663" s="4">
        <f t="shared" si="77"/>
        <v>20</v>
      </c>
      <c r="C663" s="4">
        <f t="shared" si="78"/>
        <v>49</v>
      </c>
      <c r="D663" s="4">
        <f t="shared" si="72"/>
        <v>8</v>
      </c>
      <c r="E663" s="4" t="s">
        <v>27</v>
      </c>
      <c r="F663" s="4">
        <f t="shared" si="73"/>
        <v>800</v>
      </c>
      <c r="G663" s="5">
        <f t="shared" si="79"/>
        <v>1.01</v>
      </c>
      <c r="H663" s="6" t="str">
        <f t="shared" si="74"/>
        <v>INSERT INTO public.coupon (plancode, age, "year", couponrate, benefittype, benefitrate, premiumrate) VALUES('EN60', 20, 49, 8, 'A',800, 1.01);</v>
      </c>
      <c r="I663" s="6" t="str">
        <f t="shared" si="75"/>
        <v>{"age":"20", "year":"49", "couponrate":"8", "benefittype":"A", "benefitrate":"800", "premiumrate":"1.01"}</v>
      </c>
      <c r="J663" s="6" t="str">
        <f t="shared" si="76"/>
        <v>,</v>
      </c>
    </row>
    <row r="664" spans="1:10">
      <c r="A664" s="4" t="str">
        <f>'EN60'!A$3</f>
        <v>EN60</v>
      </c>
      <c r="B664" s="4">
        <f t="shared" si="77"/>
        <v>20</v>
      </c>
      <c r="C664" s="4">
        <f t="shared" si="78"/>
        <v>50</v>
      </c>
      <c r="D664" s="4">
        <f t="shared" si="72"/>
        <v>8</v>
      </c>
      <c r="E664" s="4" t="s">
        <v>27</v>
      </c>
      <c r="F664" s="4">
        <f t="shared" si="73"/>
        <v>800</v>
      </c>
      <c r="G664" s="5">
        <f t="shared" si="79"/>
        <v>1.01</v>
      </c>
      <c r="H664" s="6" t="str">
        <f t="shared" si="74"/>
        <v>INSERT INTO public.coupon (plancode, age, "year", couponrate, benefittype, benefitrate, premiumrate) VALUES('EN60', 20, 50, 8, 'A',800, 1.01);</v>
      </c>
      <c r="I664" s="6" t="str">
        <f t="shared" si="75"/>
        <v>{"age":"20", "year":"50", "couponrate":"8", "benefittype":"A", "benefitrate":"800", "premiumrate":"1.01"}</v>
      </c>
      <c r="J664" s="6" t="str">
        <f t="shared" si="76"/>
        <v>,</v>
      </c>
    </row>
    <row r="665" spans="1:10">
      <c r="A665" s="4" t="str">
        <f>'EN60'!A$3</f>
        <v>EN60</v>
      </c>
      <c r="B665" s="4">
        <f t="shared" si="77"/>
        <v>20</v>
      </c>
      <c r="C665" s="4">
        <f t="shared" si="78"/>
        <v>51</v>
      </c>
      <c r="D665" s="4">
        <f t="shared" si="72"/>
        <v>8</v>
      </c>
      <c r="E665" s="4" t="s">
        <v>27</v>
      </c>
      <c r="F665" s="4">
        <f t="shared" si="73"/>
        <v>800</v>
      </c>
      <c r="G665" s="5">
        <f t="shared" si="79"/>
        <v>1.01</v>
      </c>
      <c r="H665" s="6" t="str">
        <f t="shared" si="74"/>
        <v>INSERT INTO public.coupon (plancode, age, "year", couponrate, benefittype, benefitrate, premiumrate) VALUES('EN60', 20, 51, 8, 'A',800, 1.01);</v>
      </c>
      <c r="I665" s="6" t="str">
        <f t="shared" si="75"/>
        <v>{"age":"20", "year":"51", "couponrate":"8", "benefittype":"A", "benefitrate":"800", "premiumrate":"1.01"}</v>
      </c>
      <c r="J665" s="6" t="str">
        <f t="shared" si="76"/>
        <v>,</v>
      </c>
    </row>
    <row r="666" spans="1:10">
      <c r="A666" s="4" t="str">
        <f>'EN60'!A$3</f>
        <v>EN60</v>
      </c>
      <c r="B666" s="4">
        <f t="shared" si="77"/>
        <v>20</v>
      </c>
      <c r="C666" s="4">
        <f t="shared" si="78"/>
        <v>52</v>
      </c>
      <c r="D666" s="4">
        <f t="shared" si="72"/>
        <v>8</v>
      </c>
      <c r="E666" s="4" t="s">
        <v>27</v>
      </c>
      <c r="F666" s="4">
        <f t="shared" si="73"/>
        <v>800</v>
      </c>
      <c r="G666" s="5">
        <f t="shared" si="79"/>
        <v>1.01</v>
      </c>
      <c r="H666" s="6" t="str">
        <f t="shared" si="74"/>
        <v>INSERT INTO public.coupon (plancode, age, "year", couponrate, benefittype, benefitrate, premiumrate) VALUES('EN60', 20, 52, 8, 'A',800, 1.01);</v>
      </c>
      <c r="I666" s="6" t="str">
        <f t="shared" si="75"/>
        <v>{"age":"20", "year":"52", "couponrate":"8", "benefittype":"A", "benefitrate":"800", "premiumrate":"1.01"}</v>
      </c>
      <c r="J666" s="6" t="str">
        <f t="shared" si="76"/>
        <v>,</v>
      </c>
    </row>
    <row r="667" spans="1:10">
      <c r="A667" s="4" t="str">
        <f>'EN60'!A$3</f>
        <v>EN60</v>
      </c>
      <c r="B667" s="4">
        <f t="shared" si="77"/>
        <v>20</v>
      </c>
      <c r="C667" s="4">
        <f t="shared" si="78"/>
        <v>53</v>
      </c>
      <c r="D667" s="4">
        <f t="shared" si="72"/>
        <v>8</v>
      </c>
      <c r="E667" s="4" t="s">
        <v>27</v>
      </c>
      <c r="F667" s="4">
        <f t="shared" si="73"/>
        <v>800</v>
      </c>
      <c r="G667" s="5">
        <f t="shared" si="79"/>
        <v>1.01</v>
      </c>
      <c r="H667" s="6" t="str">
        <f t="shared" si="74"/>
        <v>INSERT INTO public.coupon (plancode, age, "year", couponrate, benefittype, benefitrate, premiumrate) VALUES('EN60', 20, 53, 8, 'A',800, 1.01);</v>
      </c>
      <c r="I667" s="6" t="str">
        <f t="shared" si="75"/>
        <v>{"age":"20", "year":"53", "couponrate":"8", "benefittype":"A", "benefitrate":"800", "premiumrate":"1.01"}</v>
      </c>
      <c r="J667" s="6" t="str">
        <f t="shared" si="76"/>
        <v>,</v>
      </c>
    </row>
    <row r="668" spans="1:10">
      <c r="A668" s="4" t="str">
        <f>'EN60'!A$3</f>
        <v>EN60</v>
      </c>
      <c r="B668" s="4">
        <f t="shared" si="77"/>
        <v>20</v>
      </c>
      <c r="C668" s="4">
        <f t="shared" si="78"/>
        <v>54</v>
      </c>
      <c r="D668" s="4">
        <f t="shared" si="72"/>
        <v>8</v>
      </c>
      <c r="E668" s="4" t="s">
        <v>27</v>
      </c>
      <c r="F668" s="4">
        <f t="shared" si="73"/>
        <v>800</v>
      </c>
      <c r="G668" s="5">
        <f t="shared" si="79"/>
        <v>1.01</v>
      </c>
      <c r="H668" s="6" t="str">
        <f t="shared" si="74"/>
        <v>INSERT INTO public.coupon (plancode, age, "year", couponrate, benefittype, benefitrate, premiumrate) VALUES('EN60', 20, 54, 8, 'A',800, 1.01);</v>
      </c>
      <c r="I668" s="6" t="str">
        <f t="shared" si="75"/>
        <v>{"age":"20", "year":"54", "couponrate":"8", "benefittype":"A", "benefitrate":"800", "premiumrate":"1.01"}</v>
      </c>
      <c r="J668" s="6" t="str">
        <f t="shared" si="76"/>
        <v>,</v>
      </c>
    </row>
    <row r="669" spans="1:10">
      <c r="A669" s="4" t="str">
        <f>'EN60'!A$3</f>
        <v>EN60</v>
      </c>
      <c r="B669" s="4">
        <f t="shared" si="77"/>
        <v>20</v>
      </c>
      <c r="C669" s="4">
        <f t="shared" si="78"/>
        <v>55</v>
      </c>
      <c r="D669" s="4">
        <f t="shared" si="72"/>
        <v>8</v>
      </c>
      <c r="E669" s="4" t="s">
        <v>27</v>
      </c>
      <c r="F669" s="4">
        <f t="shared" si="73"/>
        <v>800</v>
      </c>
      <c r="G669" s="5">
        <f t="shared" si="79"/>
        <v>1.01</v>
      </c>
      <c r="H669" s="6" t="str">
        <f t="shared" si="74"/>
        <v>INSERT INTO public.coupon (plancode, age, "year", couponrate, benefittype, benefitrate, premiumrate) VALUES('EN60', 20, 55, 8, 'A',800, 1.01);</v>
      </c>
      <c r="I669" s="6" t="str">
        <f t="shared" si="75"/>
        <v>{"age":"20", "year":"55", "couponrate":"8", "benefittype":"A", "benefitrate":"800", "premiumrate":"1.01"}</v>
      </c>
      <c r="J669" s="6" t="str">
        <f t="shared" si="76"/>
        <v>,</v>
      </c>
    </row>
    <row r="670" spans="1:10">
      <c r="A670" s="4" t="str">
        <f>'EN60'!A$3</f>
        <v>EN60</v>
      </c>
      <c r="B670" s="4">
        <f t="shared" si="77"/>
        <v>20</v>
      </c>
      <c r="C670" s="4">
        <f t="shared" si="78"/>
        <v>56</v>
      </c>
      <c r="D670" s="4">
        <f t="shared" si="72"/>
        <v>8</v>
      </c>
      <c r="E670" s="4" t="s">
        <v>27</v>
      </c>
      <c r="F670" s="4">
        <f t="shared" si="73"/>
        <v>800</v>
      </c>
      <c r="G670" s="5">
        <f t="shared" si="79"/>
        <v>1.01</v>
      </c>
      <c r="H670" s="6" t="str">
        <f t="shared" si="74"/>
        <v>INSERT INTO public.coupon (plancode, age, "year", couponrate, benefittype, benefitrate, premiumrate) VALUES('EN60', 20, 56, 8, 'A',800, 1.01);</v>
      </c>
      <c r="I670" s="6" t="str">
        <f t="shared" si="75"/>
        <v>{"age":"20", "year":"56", "couponrate":"8", "benefittype":"A", "benefitrate":"800", "premiumrate":"1.01"}</v>
      </c>
      <c r="J670" s="6" t="str">
        <f t="shared" si="76"/>
        <v>,</v>
      </c>
    </row>
    <row r="671" spans="1:10">
      <c r="A671" s="4" t="str">
        <f>'EN60'!A$3</f>
        <v>EN60</v>
      </c>
      <c r="B671" s="4">
        <f t="shared" si="77"/>
        <v>20</v>
      </c>
      <c r="C671" s="4">
        <f t="shared" si="78"/>
        <v>57</v>
      </c>
      <c r="D671" s="4">
        <f t="shared" si="72"/>
        <v>8</v>
      </c>
      <c r="E671" s="4" t="s">
        <v>27</v>
      </c>
      <c r="F671" s="4">
        <f t="shared" si="73"/>
        <v>800</v>
      </c>
      <c r="G671" s="5">
        <f t="shared" si="79"/>
        <v>1.01</v>
      </c>
      <c r="H671" s="6" t="str">
        <f t="shared" si="74"/>
        <v>INSERT INTO public.coupon (plancode, age, "year", couponrate, benefittype, benefitrate, premiumrate) VALUES('EN60', 20, 57, 8, 'A',800, 1.01);</v>
      </c>
      <c r="I671" s="6" t="str">
        <f t="shared" si="75"/>
        <v>{"age":"20", "year":"57", "couponrate":"8", "benefittype":"A", "benefitrate":"800", "premiumrate":"1.01"}</v>
      </c>
      <c r="J671" s="6" t="str">
        <f t="shared" si="76"/>
        <v>,</v>
      </c>
    </row>
    <row r="672" spans="1:10">
      <c r="A672" s="4" t="str">
        <f>'EN60'!A$3</f>
        <v>EN60</v>
      </c>
      <c r="B672" s="4">
        <f t="shared" si="77"/>
        <v>20</v>
      </c>
      <c r="C672" s="4">
        <f t="shared" si="78"/>
        <v>58</v>
      </c>
      <c r="D672" s="4">
        <f t="shared" si="72"/>
        <v>8</v>
      </c>
      <c r="E672" s="4" t="s">
        <v>27</v>
      </c>
      <c r="F672" s="4">
        <f t="shared" si="73"/>
        <v>800</v>
      </c>
      <c r="G672" s="5">
        <f t="shared" si="79"/>
        <v>1.01</v>
      </c>
      <c r="H672" s="6" t="str">
        <f t="shared" si="74"/>
        <v>INSERT INTO public.coupon (plancode, age, "year", couponrate, benefittype, benefitrate, premiumrate) VALUES('EN60', 20, 58, 8, 'A',800, 1.01);</v>
      </c>
      <c r="I672" s="6" t="str">
        <f t="shared" si="75"/>
        <v>{"age":"20", "year":"58", "couponrate":"8", "benefittype":"A", "benefitrate":"800", "premiumrate":"1.01"}</v>
      </c>
      <c r="J672" s="6" t="str">
        <f t="shared" si="76"/>
        <v>,</v>
      </c>
    </row>
    <row r="673" spans="1:10">
      <c r="A673" s="4" t="str">
        <f>'EN60'!A$3</f>
        <v>EN60</v>
      </c>
      <c r="B673" s="4">
        <f t="shared" si="77"/>
        <v>20</v>
      </c>
      <c r="C673" s="4">
        <f t="shared" si="78"/>
        <v>59</v>
      </c>
      <c r="D673" s="4">
        <f t="shared" si="72"/>
        <v>8</v>
      </c>
      <c r="E673" s="4" t="s">
        <v>27</v>
      </c>
      <c r="F673" s="4">
        <f t="shared" si="73"/>
        <v>800</v>
      </c>
      <c r="G673" s="5">
        <f t="shared" si="79"/>
        <v>1.01</v>
      </c>
      <c r="H673" s="6" t="str">
        <f t="shared" si="74"/>
        <v>INSERT INTO public.coupon (plancode, age, "year", couponrate, benefittype, benefitrate, premiumrate) VALUES('EN60', 20, 59, 8, 'A',800, 1.01);</v>
      </c>
      <c r="I673" s="6" t="str">
        <f t="shared" si="75"/>
        <v>{"age":"20", "year":"59", "couponrate":"8", "benefittype":"A", "benefitrate":"800", "premiumrate":"1.01"}</v>
      </c>
      <c r="J673" s="6" t="str">
        <f t="shared" si="76"/>
        <v>,</v>
      </c>
    </row>
    <row r="674" spans="1:10">
      <c r="A674" s="4" t="str">
        <f>'EN60'!A$3</f>
        <v>EN60</v>
      </c>
      <c r="B674" s="4">
        <f t="shared" si="77"/>
        <v>20</v>
      </c>
      <c r="C674" s="4">
        <f t="shared" si="78"/>
        <v>60</v>
      </c>
      <c r="D674" s="4">
        <f t="shared" si="72"/>
        <v>0</v>
      </c>
      <c r="E674" s="4" t="s">
        <v>27</v>
      </c>
      <c r="F674" s="4">
        <f t="shared" si="73"/>
        <v>800</v>
      </c>
      <c r="G674" s="5">
        <f t="shared" si="79"/>
        <v>1.01</v>
      </c>
      <c r="H674" s="6" t="str">
        <f t="shared" si="74"/>
        <v>INSERT INTO public.coupon (plancode, age, "year", couponrate, benefittype, benefitrate, premiumrate) VALUES('EN60', 20, 60, 0, 'A',800, 1.01);</v>
      </c>
      <c r="I674" s="6" t="str">
        <f t="shared" si="75"/>
        <v>{"age":"20", "year":"60", "couponrate":"0", "benefittype":"A", "benefitrate":"800", "premiumrate":"1.01"}</v>
      </c>
    </row>
    <row r="675" spans="1:10">
      <c r="C675" s="6"/>
      <c r="I675" s="6" t="s">
        <v>28</v>
      </c>
    </row>
    <row r="676" spans="1:10">
      <c r="A676" s="3" t="s">
        <v>2</v>
      </c>
      <c r="B676" s="3" t="s">
        <v>23</v>
      </c>
      <c r="C676" s="3" t="s">
        <v>24</v>
      </c>
      <c r="D676" s="3" t="s">
        <v>25</v>
      </c>
      <c r="E676" s="3" t="s">
        <v>8</v>
      </c>
      <c r="F676" s="3" t="s">
        <v>26</v>
      </c>
      <c r="G676" s="3" t="s">
        <v>4</v>
      </c>
      <c r="I676" s="6" t="str">
        <f>"[{""plancode"":"""&amp;A677&amp;""",""returncash"":"""&amp;B$7&amp;""",""ytable"":"""&amp;C$7&amp;""",""maturerate"":"""&amp;B$3&amp;""",""maturepmrate"":"""&amp;C$3&amp;""",""coupon"":["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677" spans="1:10">
      <c r="A677" s="4" t="str">
        <f>'EN60'!A$3</f>
        <v>EN60</v>
      </c>
      <c r="B677" s="8">
        <v>21</v>
      </c>
      <c r="C677" s="4">
        <v>1</v>
      </c>
      <c r="D677" s="4">
        <f t="shared" ref="D677:D735" si="80">IF(C677+B677=80,0,8)</f>
        <v>8</v>
      </c>
      <c r="E677" s="4" t="s">
        <v>27</v>
      </c>
      <c r="F677" s="4">
        <f t="shared" ref="F677:F735" si="81">IF(C677&gt;7, 800, C677*100)</f>
        <v>100</v>
      </c>
      <c r="G677" s="5">
        <f>'EN60'!C$3</f>
        <v>1.01</v>
      </c>
      <c r="H677" s="6" t="str">
        <f t="shared" ref="H677:H735" si="82">"INSERT INTO public.coupon ("&amp;A$11&amp;", "&amp;B$11&amp;", """&amp;C$11&amp;""", "&amp;D$11&amp;", "&amp;E$11&amp;", "&amp;F$11&amp;", "&amp;G$11&amp;") VALUES('"&amp;A677&amp;"', "&amp;B677&amp;", "&amp;C677&amp;", "&amp;D677&amp;", '"&amp;E677&amp;"',"&amp;F677&amp;", "&amp;G677&amp;");"</f>
        <v>INSERT INTO public.coupon (plancode, age, "year", couponrate, benefittype, benefitrate, premiumrate) VALUES('EN60', 21, 1, 8, 'A',100, 1.01);</v>
      </c>
      <c r="I677" s="6" t="str">
        <f t="shared" ref="I677:I735" si="83">"{""age"":"""&amp;B677&amp;""", ""year"":"""&amp;C677&amp;""", ""couponrate"":"""&amp;D677&amp;""", ""benefittype"":"""&amp;E677&amp;""", ""benefitrate"":"""&amp;F677&amp;""", """&amp;G$11&amp;""":"""&amp;G677&amp;"""}"</f>
        <v>{"age":"21", "year":"1", "couponrate":"8", "benefittype":"A", "benefitrate":"100", "premiumrate":"1.01"}</v>
      </c>
      <c r="J677" s="6" t="str">
        <f t="shared" ref="J677:J734" si="84">IF(OR(I678="]", I677="[", I677="]"), "", ",")</f>
        <v>,</v>
      </c>
    </row>
    <row r="678" spans="1:10">
      <c r="A678" s="4" t="str">
        <f>'EN60'!A$3</f>
        <v>EN60</v>
      </c>
      <c r="B678" s="4">
        <f t="shared" ref="B678:B735" si="85">B677</f>
        <v>21</v>
      </c>
      <c r="C678" s="4">
        <f t="shared" ref="C678:C735" si="86">C677+1</f>
        <v>2</v>
      </c>
      <c r="D678" s="4">
        <f t="shared" si="80"/>
        <v>8</v>
      </c>
      <c r="E678" s="4" t="s">
        <v>27</v>
      </c>
      <c r="F678" s="4">
        <f t="shared" si="81"/>
        <v>200</v>
      </c>
      <c r="G678" s="5">
        <f t="shared" ref="G678:G735" si="87">G677</f>
        <v>1.01</v>
      </c>
      <c r="H678" s="6" t="str">
        <f t="shared" si="82"/>
        <v>INSERT INTO public.coupon (plancode, age, "year", couponrate, benefittype, benefitrate, premiumrate) VALUES('EN60', 21, 2, 8, 'A',200, 1.01);</v>
      </c>
      <c r="I678" s="6" t="str">
        <f t="shared" si="83"/>
        <v>{"age":"21", "year":"2", "couponrate":"8", "benefittype":"A", "benefitrate":"200", "premiumrate":"1.01"}</v>
      </c>
      <c r="J678" s="6" t="str">
        <f t="shared" si="84"/>
        <v>,</v>
      </c>
    </row>
    <row r="679" spans="1:10">
      <c r="A679" s="4" t="str">
        <f>'EN60'!A$3</f>
        <v>EN60</v>
      </c>
      <c r="B679" s="4">
        <f t="shared" si="85"/>
        <v>21</v>
      </c>
      <c r="C679" s="4">
        <f t="shared" si="86"/>
        <v>3</v>
      </c>
      <c r="D679" s="4">
        <f t="shared" si="80"/>
        <v>8</v>
      </c>
      <c r="E679" s="4" t="s">
        <v>27</v>
      </c>
      <c r="F679" s="4">
        <f t="shared" si="81"/>
        <v>300</v>
      </c>
      <c r="G679" s="5">
        <f t="shared" si="87"/>
        <v>1.01</v>
      </c>
      <c r="H679" s="6" t="str">
        <f t="shared" si="82"/>
        <v>INSERT INTO public.coupon (plancode, age, "year", couponrate, benefittype, benefitrate, premiumrate) VALUES('EN60', 21, 3, 8, 'A',300, 1.01);</v>
      </c>
      <c r="I679" s="6" t="str">
        <f t="shared" si="83"/>
        <v>{"age":"21", "year":"3", "couponrate":"8", "benefittype":"A", "benefitrate":"300", "premiumrate":"1.01"}</v>
      </c>
      <c r="J679" s="6" t="str">
        <f t="shared" si="84"/>
        <v>,</v>
      </c>
    </row>
    <row r="680" spans="1:10">
      <c r="A680" s="4" t="str">
        <f>'EN60'!A$3</f>
        <v>EN60</v>
      </c>
      <c r="B680" s="4">
        <f t="shared" si="85"/>
        <v>21</v>
      </c>
      <c r="C680" s="4">
        <f t="shared" si="86"/>
        <v>4</v>
      </c>
      <c r="D680" s="4">
        <f t="shared" si="80"/>
        <v>8</v>
      </c>
      <c r="E680" s="4" t="s">
        <v>27</v>
      </c>
      <c r="F680" s="4">
        <f t="shared" si="81"/>
        <v>400</v>
      </c>
      <c r="G680" s="5">
        <f t="shared" si="87"/>
        <v>1.01</v>
      </c>
      <c r="H680" s="6" t="str">
        <f t="shared" si="82"/>
        <v>INSERT INTO public.coupon (plancode, age, "year", couponrate, benefittype, benefitrate, premiumrate) VALUES('EN60', 21, 4, 8, 'A',400, 1.01);</v>
      </c>
      <c r="I680" s="6" t="str">
        <f t="shared" si="83"/>
        <v>{"age":"21", "year":"4", "couponrate":"8", "benefittype":"A", "benefitrate":"400", "premiumrate":"1.01"}</v>
      </c>
      <c r="J680" s="6" t="str">
        <f t="shared" si="84"/>
        <v>,</v>
      </c>
    </row>
    <row r="681" spans="1:10">
      <c r="A681" s="4" t="str">
        <f>'EN60'!A$3</f>
        <v>EN60</v>
      </c>
      <c r="B681" s="4">
        <f t="shared" si="85"/>
        <v>21</v>
      </c>
      <c r="C681" s="4">
        <f t="shared" si="86"/>
        <v>5</v>
      </c>
      <c r="D681" s="4">
        <f t="shared" si="80"/>
        <v>8</v>
      </c>
      <c r="E681" s="4" t="s">
        <v>27</v>
      </c>
      <c r="F681" s="4">
        <f t="shared" si="81"/>
        <v>500</v>
      </c>
      <c r="G681" s="5">
        <f t="shared" si="87"/>
        <v>1.01</v>
      </c>
      <c r="H681" s="6" t="str">
        <f t="shared" si="82"/>
        <v>INSERT INTO public.coupon (plancode, age, "year", couponrate, benefittype, benefitrate, premiumrate) VALUES('EN60', 21, 5, 8, 'A',500, 1.01);</v>
      </c>
      <c r="I681" s="6" t="str">
        <f t="shared" si="83"/>
        <v>{"age":"21", "year":"5", "couponrate":"8", "benefittype":"A", "benefitrate":"500", "premiumrate":"1.01"}</v>
      </c>
      <c r="J681" s="6" t="str">
        <f t="shared" si="84"/>
        <v>,</v>
      </c>
    </row>
    <row r="682" spans="1:10">
      <c r="A682" s="4" t="str">
        <f>'EN60'!A$3</f>
        <v>EN60</v>
      </c>
      <c r="B682" s="4">
        <f t="shared" si="85"/>
        <v>21</v>
      </c>
      <c r="C682" s="4">
        <f t="shared" si="86"/>
        <v>6</v>
      </c>
      <c r="D682" s="4">
        <f t="shared" si="80"/>
        <v>8</v>
      </c>
      <c r="E682" s="4" t="s">
        <v>27</v>
      </c>
      <c r="F682" s="4">
        <f t="shared" si="81"/>
        <v>600</v>
      </c>
      <c r="G682" s="5">
        <f t="shared" si="87"/>
        <v>1.01</v>
      </c>
      <c r="H682" s="6" t="str">
        <f t="shared" si="82"/>
        <v>INSERT INTO public.coupon (plancode, age, "year", couponrate, benefittype, benefitrate, premiumrate) VALUES('EN60', 21, 6, 8, 'A',600, 1.01);</v>
      </c>
      <c r="I682" s="6" t="str">
        <f t="shared" si="83"/>
        <v>{"age":"21", "year":"6", "couponrate":"8", "benefittype":"A", "benefitrate":"600", "premiumrate":"1.01"}</v>
      </c>
      <c r="J682" s="6" t="str">
        <f t="shared" si="84"/>
        <v>,</v>
      </c>
    </row>
    <row r="683" spans="1:10">
      <c r="A683" s="4" t="str">
        <f>'EN60'!A$3</f>
        <v>EN60</v>
      </c>
      <c r="B683" s="4">
        <f t="shared" si="85"/>
        <v>21</v>
      </c>
      <c r="C683" s="4">
        <f t="shared" si="86"/>
        <v>7</v>
      </c>
      <c r="D683" s="4">
        <f t="shared" si="80"/>
        <v>8</v>
      </c>
      <c r="E683" s="4" t="s">
        <v>27</v>
      </c>
      <c r="F683" s="4">
        <f t="shared" si="81"/>
        <v>700</v>
      </c>
      <c r="G683" s="5">
        <f t="shared" si="87"/>
        <v>1.01</v>
      </c>
      <c r="H683" s="6" t="str">
        <f t="shared" si="82"/>
        <v>INSERT INTO public.coupon (plancode, age, "year", couponrate, benefittype, benefitrate, premiumrate) VALUES('EN60', 21, 7, 8, 'A',700, 1.01);</v>
      </c>
      <c r="I683" s="6" t="str">
        <f t="shared" si="83"/>
        <v>{"age":"21", "year":"7", "couponrate":"8", "benefittype":"A", "benefitrate":"700", "premiumrate":"1.01"}</v>
      </c>
      <c r="J683" s="6" t="str">
        <f t="shared" si="84"/>
        <v>,</v>
      </c>
    </row>
    <row r="684" spans="1:10">
      <c r="A684" s="4" t="str">
        <f>'EN60'!A$3</f>
        <v>EN60</v>
      </c>
      <c r="B684" s="4">
        <f t="shared" si="85"/>
        <v>21</v>
      </c>
      <c r="C684" s="4">
        <f t="shared" si="86"/>
        <v>8</v>
      </c>
      <c r="D684" s="4">
        <f t="shared" si="80"/>
        <v>8</v>
      </c>
      <c r="E684" s="4" t="s">
        <v>27</v>
      </c>
      <c r="F684" s="4">
        <f t="shared" si="81"/>
        <v>800</v>
      </c>
      <c r="G684" s="5">
        <f t="shared" si="87"/>
        <v>1.01</v>
      </c>
      <c r="H684" s="6" t="str">
        <f t="shared" si="82"/>
        <v>INSERT INTO public.coupon (plancode, age, "year", couponrate, benefittype, benefitrate, premiumrate) VALUES('EN60', 21, 8, 8, 'A',800, 1.01);</v>
      </c>
      <c r="I684" s="6" t="str">
        <f t="shared" si="83"/>
        <v>{"age":"21", "year":"8", "couponrate":"8", "benefittype":"A", "benefitrate":"800", "premiumrate":"1.01"}</v>
      </c>
      <c r="J684" s="6" t="str">
        <f t="shared" si="84"/>
        <v>,</v>
      </c>
    </row>
    <row r="685" spans="1:10">
      <c r="A685" s="4" t="str">
        <f>'EN60'!A$3</f>
        <v>EN60</v>
      </c>
      <c r="B685" s="4">
        <f t="shared" si="85"/>
        <v>21</v>
      </c>
      <c r="C685" s="4">
        <f t="shared" si="86"/>
        <v>9</v>
      </c>
      <c r="D685" s="4">
        <f t="shared" si="80"/>
        <v>8</v>
      </c>
      <c r="E685" s="4" t="s">
        <v>27</v>
      </c>
      <c r="F685" s="4">
        <f t="shared" si="81"/>
        <v>800</v>
      </c>
      <c r="G685" s="5">
        <f t="shared" si="87"/>
        <v>1.01</v>
      </c>
      <c r="H685" s="6" t="str">
        <f t="shared" si="82"/>
        <v>INSERT INTO public.coupon (plancode, age, "year", couponrate, benefittype, benefitrate, premiumrate) VALUES('EN60', 21, 9, 8, 'A',800, 1.01);</v>
      </c>
      <c r="I685" s="6" t="str">
        <f t="shared" si="83"/>
        <v>{"age":"21", "year":"9", "couponrate":"8", "benefittype":"A", "benefitrate":"800", "premiumrate":"1.01"}</v>
      </c>
      <c r="J685" s="6" t="str">
        <f t="shared" si="84"/>
        <v>,</v>
      </c>
    </row>
    <row r="686" spans="1:10">
      <c r="A686" s="4" t="str">
        <f>'EN60'!A$3</f>
        <v>EN60</v>
      </c>
      <c r="B686" s="4">
        <f t="shared" si="85"/>
        <v>21</v>
      </c>
      <c r="C686" s="4">
        <f t="shared" si="86"/>
        <v>10</v>
      </c>
      <c r="D686" s="4">
        <f t="shared" si="80"/>
        <v>8</v>
      </c>
      <c r="E686" s="4" t="s">
        <v>27</v>
      </c>
      <c r="F686" s="4">
        <f t="shared" si="81"/>
        <v>800</v>
      </c>
      <c r="G686" s="5">
        <f t="shared" si="87"/>
        <v>1.01</v>
      </c>
      <c r="H686" s="6" t="str">
        <f t="shared" si="82"/>
        <v>INSERT INTO public.coupon (plancode, age, "year", couponrate, benefittype, benefitrate, premiumrate) VALUES('EN60', 21, 10, 8, 'A',800, 1.01);</v>
      </c>
      <c r="I686" s="6" t="str">
        <f t="shared" si="83"/>
        <v>{"age":"21", "year":"10", "couponrate":"8", "benefittype":"A", "benefitrate":"800", "premiumrate":"1.01"}</v>
      </c>
      <c r="J686" s="6" t="str">
        <f t="shared" si="84"/>
        <v>,</v>
      </c>
    </row>
    <row r="687" spans="1:10">
      <c r="A687" s="4" t="str">
        <f>'EN60'!A$3</f>
        <v>EN60</v>
      </c>
      <c r="B687" s="4">
        <f t="shared" si="85"/>
        <v>21</v>
      </c>
      <c r="C687" s="4">
        <f t="shared" si="86"/>
        <v>11</v>
      </c>
      <c r="D687" s="4">
        <f t="shared" si="80"/>
        <v>8</v>
      </c>
      <c r="E687" s="4" t="s">
        <v>27</v>
      </c>
      <c r="F687" s="4">
        <f t="shared" si="81"/>
        <v>800</v>
      </c>
      <c r="G687" s="5">
        <f t="shared" si="87"/>
        <v>1.01</v>
      </c>
      <c r="H687" s="6" t="str">
        <f t="shared" si="82"/>
        <v>INSERT INTO public.coupon (plancode, age, "year", couponrate, benefittype, benefitrate, premiumrate) VALUES('EN60', 21, 11, 8, 'A',800, 1.01);</v>
      </c>
      <c r="I687" s="6" t="str">
        <f t="shared" si="83"/>
        <v>{"age":"21", "year":"11", "couponrate":"8", "benefittype":"A", "benefitrate":"800", "premiumrate":"1.01"}</v>
      </c>
      <c r="J687" s="6" t="str">
        <f t="shared" si="84"/>
        <v>,</v>
      </c>
    </row>
    <row r="688" spans="1:10">
      <c r="A688" s="4" t="str">
        <f>'EN60'!A$3</f>
        <v>EN60</v>
      </c>
      <c r="B688" s="4">
        <f t="shared" si="85"/>
        <v>21</v>
      </c>
      <c r="C688" s="4">
        <f t="shared" si="86"/>
        <v>12</v>
      </c>
      <c r="D688" s="4">
        <f t="shared" si="80"/>
        <v>8</v>
      </c>
      <c r="E688" s="4" t="s">
        <v>27</v>
      </c>
      <c r="F688" s="4">
        <f t="shared" si="81"/>
        <v>800</v>
      </c>
      <c r="G688" s="5">
        <f t="shared" si="87"/>
        <v>1.01</v>
      </c>
      <c r="H688" s="6" t="str">
        <f t="shared" si="82"/>
        <v>INSERT INTO public.coupon (plancode, age, "year", couponrate, benefittype, benefitrate, premiumrate) VALUES('EN60', 21, 12, 8, 'A',800, 1.01);</v>
      </c>
      <c r="I688" s="6" t="str">
        <f t="shared" si="83"/>
        <v>{"age":"21", "year":"12", "couponrate":"8", "benefittype":"A", "benefitrate":"800", "premiumrate":"1.01"}</v>
      </c>
      <c r="J688" s="6" t="str">
        <f t="shared" si="84"/>
        <v>,</v>
      </c>
    </row>
    <row r="689" spans="1:10">
      <c r="A689" s="4" t="str">
        <f>'EN60'!A$3</f>
        <v>EN60</v>
      </c>
      <c r="B689" s="4">
        <f t="shared" si="85"/>
        <v>21</v>
      </c>
      <c r="C689" s="4">
        <f t="shared" si="86"/>
        <v>13</v>
      </c>
      <c r="D689" s="4">
        <f t="shared" si="80"/>
        <v>8</v>
      </c>
      <c r="E689" s="4" t="s">
        <v>27</v>
      </c>
      <c r="F689" s="4">
        <f t="shared" si="81"/>
        <v>800</v>
      </c>
      <c r="G689" s="5">
        <f t="shared" si="87"/>
        <v>1.01</v>
      </c>
      <c r="H689" s="6" t="str">
        <f t="shared" si="82"/>
        <v>INSERT INTO public.coupon (plancode, age, "year", couponrate, benefittype, benefitrate, premiumrate) VALUES('EN60', 21, 13, 8, 'A',800, 1.01);</v>
      </c>
      <c r="I689" s="6" t="str">
        <f t="shared" si="83"/>
        <v>{"age":"21", "year":"13", "couponrate":"8", "benefittype":"A", "benefitrate":"800", "premiumrate":"1.01"}</v>
      </c>
      <c r="J689" s="6" t="str">
        <f t="shared" si="84"/>
        <v>,</v>
      </c>
    </row>
    <row r="690" spans="1:10">
      <c r="A690" s="4" t="str">
        <f>'EN60'!A$3</f>
        <v>EN60</v>
      </c>
      <c r="B690" s="4">
        <f t="shared" si="85"/>
        <v>21</v>
      </c>
      <c r="C690" s="4">
        <f t="shared" si="86"/>
        <v>14</v>
      </c>
      <c r="D690" s="4">
        <f t="shared" si="80"/>
        <v>8</v>
      </c>
      <c r="E690" s="4" t="s">
        <v>27</v>
      </c>
      <c r="F690" s="4">
        <f t="shared" si="81"/>
        <v>800</v>
      </c>
      <c r="G690" s="5">
        <f t="shared" si="87"/>
        <v>1.01</v>
      </c>
      <c r="H690" s="6" t="str">
        <f t="shared" si="82"/>
        <v>INSERT INTO public.coupon (plancode, age, "year", couponrate, benefittype, benefitrate, premiumrate) VALUES('EN60', 21, 14, 8, 'A',800, 1.01);</v>
      </c>
      <c r="I690" s="6" t="str">
        <f t="shared" si="83"/>
        <v>{"age":"21", "year":"14", "couponrate":"8", "benefittype":"A", "benefitrate":"800", "premiumrate":"1.01"}</v>
      </c>
      <c r="J690" s="6" t="str">
        <f t="shared" si="84"/>
        <v>,</v>
      </c>
    </row>
    <row r="691" spans="1:10">
      <c r="A691" s="4" t="str">
        <f>'EN60'!A$3</f>
        <v>EN60</v>
      </c>
      <c r="B691" s="4">
        <f t="shared" si="85"/>
        <v>21</v>
      </c>
      <c r="C691" s="4">
        <f t="shared" si="86"/>
        <v>15</v>
      </c>
      <c r="D691" s="4">
        <f t="shared" si="80"/>
        <v>8</v>
      </c>
      <c r="E691" s="4" t="s">
        <v>27</v>
      </c>
      <c r="F691" s="4">
        <f t="shared" si="81"/>
        <v>800</v>
      </c>
      <c r="G691" s="5">
        <f t="shared" si="87"/>
        <v>1.01</v>
      </c>
      <c r="H691" s="6" t="str">
        <f t="shared" si="82"/>
        <v>INSERT INTO public.coupon (plancode, age, "year", couponrate, benefittype, benefitrate, premiumrate) VALUES('EN60', 21, 15, 8, 'A',800, 1.01);</v>
      </c>
      <c r="I691" s="6" t="str">
        <f t="shared" si="83"/>
        <v>{"age":"21", "year":"15", "couponrate":"8", "benefittype":"A", "benefitrate":"800", "premiumrate":"1.01"}</v>
      </c>
      <c r="J691" s="6" t="str">
        <f t="shared" si="84"/>
        <v>,</v>
      </c>
    </row>
    <row r="692" spans="1:10">
      <c r="A692" s="4" t="str">
        <f>'EN60'!A$3</f>
        <v>EN60</v>
      </c>
      <c r="B692" s="4">
        <f t="shared" si="85"/>
        <v>21</v>
      </c>
      <c r="C692" s="4">
        <f t="shared" si="86"/>
        <v>16</v>
      </c>
      <c r="D692" s="4">
        <f t="shared" si="80"/>
        <v>8</v>
      </c>
      <c r="E692" s="4" t="s">
        <v>27</v>
      </c>
      <c r="F692" s="4">
        <f t="shared" si="81"/>
        <v>800</v>
      </c>
      <c r="G692" s="5">
        <f t="shared" si="87"/>
        <v>1.01</v>
      </c>
      <c r="H692" s="6" t="str">
        <f t="shared" si="82"/>
        <v>INSERT INTO public.coupon (plancode, age, "year", couponrate, benefittype, benefitrate, premiumrate) VALUES('EN60', 21, 16, 8, 'A',800, 1.01);</v>
      </c>
      <c r="I692" s="6" t="str">
        <f t="shared" si="83"/>
        <v>{"age":"21", "year":"16", "couponrate":"8", "benefittype":"A", "benefitrate":"800", "premiumrate":"1.01"}</v>
      </c>
      <c r="J692" s="6" t="str">
        <f t="shared" si="84"/>
        <v>,</v>
      </c>
    </row>
    <row r="693" spans="1:10">
      <c r="A693" s="4" t="str">
        <f>'EN60'!A$3</f>
        <v>EN60</v>
      </c>
      <c r="B693" s="4">
        <f t="shared" si="85"/>
        <v>21</v>
      </c>
      <c r="C693" s="4">
        <f t="shared" si="86"/>
        <v>17</v>
      </c>
      <c r="D693" s="4">
        <f t="shared" si="80"/>
        <v>8</v>
      </c>
      <c r="E693" s="4" t="s">
        <v>27</v>
      </c>
      <c r="F693" s="4">
        <f t="shared" si="81"/>
        <v>800</v>
      </c>
      <c r="G693" s="5">
        <f t="shared" si="87"/>
        <v>1.01</v>
      </c>
      <c r="H693" s="6" t="str">
        <f t="shared" si="82"/>
        <v>INSERT INTO public.coupon (plancode, age, "year", couponrate, benefittype, benefitrate, premiumrate) VALUES('EN60', 21, 17, 8, 'A',800, 1.01);</v>
      </c>
      <c r="I693" s="6" t="str">
        <f t="shared" si="83"/>
        <v>{"age":"21", "year":"17", "couponrate":"8", "benefittype":"A", "benefitrate":"800", "premiumrate":"1.01"}</v>
      </c>
      <c r="J693" s="6" t="str">
        <f t="shared" si="84"/>
        <v>,</v>
      </c>
    </row>
    <row r="694" spans="1:10">
      <c r="A694" s="4" t="str">
        <f>'EN60'!A$3</f>
        <v>EN60</v>
      </c>
      <c r="B694" s="4">
        <f t="shared" si="85"/>
        <v>21</v>
      </c>
      <c r="C694" s="4">
        <f t="shared" si="86"/>
        <v>18</v>
      </c>
      <c r="D694" s="4">
        <f t="shared" si="80"/>
        <v>8</v>
      </c>
      <c r="E694" s="4" t="s">
        <v>27</v>
      </c>
      <c r="F694" s="4">
        <f t="shared" si="81"/>
        <v>800</v>
      </c>
      <c r="G694" s="5">
        <f t="shared" si="87"/>
        <v>1.01</v>
      </c>
      <c r="H694" s="6" t="str">
        <f t="shared" si="82"/>
        <v>INSERT INTO public.coupon (plancode, age, "year", couponrate, benefittype, benefitrate, premiumrate) VALUES('EN60', 21, 18, 8, 'A',800, 1.01);</v>
      </c>
      <c r="I694" s="6" t="str">
        <f t="shared" si="83"/>
        <v>{"age":"21", "year":"18", "couponrate":"8", "benefittype":"A", "benefitrate":"800", "premiumrate":"1.01"}</v>
      </c>
      <c r="J694" s="6" t="str">
        <f t="shared" si="84"/>
        <v>,</v>
      </c>
    </row>
    <row r="695" spans="1:10">
      <c r="A695" s="4" t="str">
        <f>'EN60'!A$3</f>
        <v>EN60</v>
      </c>
      <c r="B695" s="4">
        <f t="shared" si="85"/>
        <v>21</v>
      </c>
      <c r="C695" s="4">
        <f t="shared" si="86"/>
        <v>19</v>
      </c>
      <c r="D695" s="4">
        <f t="shared" si="80"/>
        <v>8</v>
      </c>
      <c r="E695" s="4" t="s">
        <v>27</v>
      </c>
      <c r="F695" s="4">
        <f t="shared" si="81"/>
        <v>800</v>
      </c>
      <c r="G695" s="5">
        <f t="shared" si="87"/>
        <v>1.01</v>
      </c>
      <c r="H695" s="6" t="str">
        <f t="shared" si="82"/>
        <v>INSERT INTO public.coupon (plancode, age, "year", couponrate, benefittype, benefitrate, premiumrate) VALUES('EN60', 21, 19, 8, 'A',800, 1.01);</v>
      </c>
      <c r="I695" s="6" t="str">
        <f t="shared" si="83"/>
        <v>{"age":"21", "year":"19", "couponrate":"8", "benefittype":"A", "benefitrate":"800", "premiumrate":"1.01"}</v>
      </c>
      <c r="J695" s="6" t="str">
        <f t="shared" si="84"/>
        <v>,</v>
      </c>
    </row>
    <row r="696" spans="1:10">
      <c r="A696" s="4" t="str">
        <f>'EN60'!A$3</f>
        <v>EN60</v>
      </c>
      <c r="B696" s="4">
        <f t="shared" si="85"/>
        <v>21</v>
      </c>
      <c r="C696" s="4">
        <f t="shared" si="86"/>
        <v>20</v>
      </c>
      <c r="D696" s="4">
        <f t="shared" si="80"/>
        <v>8</v>
      </c>
      <c r="E696" s="4" t="s">
        <v>27</v>
      </c>
      <c r="F696" s="4">
        <f t="shared" si="81"/>
        <v>800</v>
      </c>
      <c r="G696" s="5">
        <f t="shared" si="87"/>
        <v>1.01</v>
      </c>
      <c r="H696" s="6" t="str">
        <f t="shared" si="82"/>
        <v>INSERT INTO public.coupon (plancode, age, "year", couponrate, benefittype, benefitrate, premiumrate) VALUES('EN60', 21, 20, 8, 'A',800, 1.01);</v>
      </c>
      <c r="I696" s="6" t="str">
        <f t="shared" si="83"/>
        <v>{"age":"21", "year":"20", "couponrate":"8", "benefittype":"A", "benefitrate":"800", "premiumrate":"1.01"}</v>
      </c>
      <c r="J696" s="6" t="str">
        <f t="shared" si="84"/>
        <v>,</v>
      </c>
    </row>
    <row r="697" spans="1:10">
      <c r="A697" s="4" t="str">
        <f>'EN60'!A$3</f>
        <v>EN60</v>
      </c>
      <c r="B697" s="4">
        <f t="shared" si="85"/>
        <v>21</v>
      </c>
      <c r="C697" s="4">
        <f t="shared" si="86"/>
        <v>21</v>
      </c>
      <c r="D697" s="4">
        <f t="shared" si="80"/>
        <v>8</v>
      </c>
      <c r="E697" s="4" t="s">
        <v>27</v>
      </c>
      <c r="F697" s="4">
        <f t="shared" si="81"/>
        <v>800</v>
      </c>
      <c r="G697" s="5">
        <f t="shared" si="87"/>
        <v>1.01</v>
      </c>
      <c r="H697" s="6" t="str">
        <f t="shared" si="82"/>
        <v>INSERT INTO public.coupon (plancode, age, "year", couponrate, benefittype, benefitrate, premiumrate) VALUES('EN60', 21, 21, 8, 'A',800, 1.01);</v>
      </c>
      <c r="I697" s="6" t="str">
        <f t="shared" si="83"/>
        <v>{"age":"21", "year":"21", "couponrate":"8", "benefittype":"A", "benefitrate":"800", "premiumrate":"1.01"}</v>
      </c>
      <c r="J697" s="6" t="str">
        <f t="shared" si="84"/>
        <v>,</v>
      </c>
    </row>
    <row r="698" spans="1:10">
      <c r="A698" s="4" t="str">
        <f>'EN60'!A$3</f>
        <v>EN60</v>
      </c>
      <c r="B698" s="4">
        <f t="shared" si="85"/>
        <v>21</v>
      </c>
      <c r="C698" s="4">
        <f t="shared" si="86"/>
        <v>22</v>
      </c>
      <c r="D698" s="4">
        <f t="shared" si="80"/>
        <v>8</v>
      </c>
      <c r="E698" s="4" t="s">
        <v>27</v>
      </c>
      <c r="F698" s="4">
        <f t="shared" si="81"/>
        <v>800</v>
      </c>
      <c r="G698" s="5">
        <f t="shared" si="87"/>
        <v>1.01</v>
      </c>
      <c r="H698" s="6" t="str">
        <f t="shared" si="82"/>
        <v>INSERT INTO public.coupon (plancode, age, "year", couponrate, benefittype, benefitrate, premiumrate) VALUES('EN60', 21, 22, 8, 'A',800, 1.01);</v>
      </c>
      <c r="I698" s="6" t="str">
        <f t="shared" si="83"/>
        <v>{"age":"21", "year":"22", "couponrate":"8", "benefittype":"A", "benefitrate":"800", "premiumrate":"1.01"}</v>
      </c>
      <c r="J698" s="6" t="str">
        <f t="shared" si="84"/>
        <v>,</v>
      </c>
    </row>
    <row r="699" spans="1:10">
      <c r="A699" s="4" t="str">
        <f>'EN60'!A$3</f>
        <v>EN60</v>
      </c>
      <c r="B699" s="4">
        <f t="shared" si="85"/>
        <v>21</v>
      </c>
      <c r="C699" s="4">
        <f t="shared" si="86"/>
        <v>23</v>
      </c>
      <c r="D699" s="4">
        <f t="shared" si="80"/>
        <v>8</v>
      </c>
      <c r="E699" s="4" t="s">
        <v>27</v>
      </c>
      <c r="F699" s="4">
        <f t="shared" si="81"/>
        <v>800</v>
      </c>
      <c r="G699" s="5">
        <f t="shared" si="87"/>
        <v>1.01</v>
      </c>
      <c r="H699" s="6" t="str">
        <f t="shared" si="82"/>
        <v>INSERT INTO public.coupon (plancode, age, "year", couponrate, benefittype, benefitrate, premiumrate) VALUES('EN60', 21, 23, 8, 'A',800, 1.01);</v>
      </c>
      <c r="I699" s="6" t="str">
        <f t="shared" si="83"/>
        <v>{"age":"21", "year":"23", "couponrate":"8", "benefittype":"A", "benefitrate":"800", "premiumrate":"1.01"}</v>
      </c>
      <c r="J699" s="6" t="str">
        <f t="shared" si="84"/>
        <v>,</v>
      </c>
    </row>
    <row r="700" spans="1:10">
      <c r="A700" s="4" t="str">
        <f>'EN60'!A$3</f>
        <v>EN60</v>
      </c>
      <c r="B700" s="4">
        <f t="shared" si="85"/>
        <v>21</v>
      </c>
      <c r="C700" s="4">
        <f t="shared" si="86"/>
        <v>24</v>
      </c>
      <c r="D700" s="4">
        <f t="shared" si="80"/>
        <v>8</v>
      </c>
      <c r="E700" s="4" t="s">
        <v>27</v>
      </c>
      <c r="F700" s="4">
        <f t="shared" si="81"/>
        <v>800</v>
      </c>
      <c r="G700" s="5">
        <f t="shared" si="87"/>
        <v>1.01</v>
      </c>
      <c r="H700" s="6" t="str">
        <f t="shared" si="82"/>
        <v>INSERT INTO public.coupon (plancode, age, "year", couponrate, benefittype, benefitrate, premiumrate) VALUES('EN60', 21, 24, 8, 'A',800, 1.01);</v>
      </c>
      <c r="I700" s="6" t="str">
        <f t="shared" si="83"/>
        <v>{"age":"21", "year":"24", "couponrate":"8", "benefittype":"A", "benefitrate":"800", "premiumrate":"1.01"}</v>
      </c>
      <c r="J700" s="6" t="str">
        <f t="shared" si="84"/>
        <v>,</v>
      </c>
    </row>
    <row r="701" spans="1:10">
      <c r="A701" s="4" t="str">
        <f>'EN60'!A$3</f>
        <v>EN60</v>
      </c>
      <c r="B701" s="4">
        <f t="shared" si="85"/>
        <v>21</v>
      </c>
      <c r="C701" s="4">
        <f t="shared" si="86"/>
        <v>25</v>
      </c>
      <c r="D701" s="4">
        <f t="shared" si="80"/>
        <v>8</v>
      </c>
      <c r="E701" s="4" t="s">
        <v>27</v>
      </c>
      <c r="F701" s="4">
        <f t="shared" si="81"/>
        <v>800</v>
      </c>
      <c r="G701" s="5">
        <f t="shared" si="87"/>
        <v>1.01</v>
      </c>
      <c r="H701" s="6" t="str">
        <f t="shared" si="82"/>
        <v>INSERT INTO public.coupon (plancode, age, "year", couponrate, benefittype, benefitrate, premiumrate) VALUES('EN60', 21, 25, 8, 'A',800, 1.01);</v>
      </c>
      <c r="I701" s="6" t="str">
        <f t="shared" si="83"/>
        <v>{"age":"21", "year":"25", "couponrate":"8", "benefittype":"A", "benefitrate":"800", "premiumrate":"1.01"}</v>
      </c>
      <c r="J701" s="6" t="str">
        <f t="shared" si="84"/>
        <v>,</v>
      </c>
    </row>
    <row r="702" spans="1:10">
      <c r="A702" s="4" t="str">
        <f>'EN60'!A$3</f>
        <v>EN60</v>
      </c>
      <c r="B702" s="4">
        <f t="shared" si="85"/>
        <v>21</v>
      </c>
      <c r="C702" s="4">
        <f t="shared" si="86"/>
        <v>26</v>
      </c>
      <c r="D702" s="4">
        <f t="shared" si="80"/>
        <v>8</v>
      </c>
      <c r="E702" s="4" t="s">
        <v>27</v>
      </c>
      <c r="F702" s="4">
        <f t="shared" si="81"/>
        <v>800</v>
      </c>
      <c r="G702" s="5">
        <f t="shared" si="87"/>
        <v>1.01</v>
      </c>
      <c r="H702" s="6" t="str">
        <f t="shared" si="82"/>
        <v>INSERT INTO public.coupon (plancode, age, "year", couponrate, benefittype, benefitrate, premiumrate) VALUES('EN60', 21, 26, 8, 'A',800, 1.01);</v>
      </c>
      <c r="I702" s="6" t="str">
        <f t="shared" si="83"/>
        <v>{"age":"21", "year":"26", "couponrate":"8", "benefittype":"A", "benefitrate":"800", "premiumrate":"1.01"}</v>
      </c>
      <c r="J702" s="6" t="str">
        <f t="shared" si="84"/>
        <v>,</v>
      </c>
    </row>
    <row r="703" spans="1:10">
      <c r="A703" s="4" t="str">
        <f>'EN60'!A$3</f>
        <v>EN60</v>
      </c>
      <c r="B703" s="4">
        <f t="shared" si="85"/>
        <v>21</v>
      </c>
      <c r="C703" s="4">
        <f t="shared" si="86"/>
        <v>27</v>
      </c>
      <c r="D703" s="4">
        <f t="shared" si="80"/>
        <v>8</v>
      </c>
      <c r="E703" s="4" t="s">
        <v>27</v>
      </c>
      <c r="F703" s="4">
        <f t="shared" si="81"/>
        <v>800</v>
      </c>
      <c r="G703" s="5">
        <f t="shared" si="87"/>
        <v>1.01</v>
      </c>
      <c r="H703" s="6" t="str">
        <f t="shared" si="82"/>
        <v>INSERT INTO public.coupon (plancode, age, "year", couponrate, benefittype, benefitrate, premiumrate) VALUES('EN60', 21, 27, 8, 'A',800, 1.01);</v>
      </c>
      <c r="I703" s="6" t="str">
        <f t="shared" si="83"/>
        <v>{"age":"21", "year":"27", "couponrate":"8", "benefittype":"A", "benefitrate":"800", "premiumrate":"1.01"}</v>
      </c>
      <c r="J703" s="6" t="str">
        <f t="shared" si="84"/>
        <v>,</v>
      </c>
    </row>
    <row r="704" spans="1:10">
      <c r="A704" s="4" t="str">
        <f>'EN60'!A$3</f>
        <v>EN60</v>
      </c>
      <c r="B704" s="4">
        <f t="shared" si="85"/>
        <v>21</v>
      </c>
      <c r="C704" s="4">
        <f t="shared" si="86"/>
        <v>28</v>
      </c>
      <c r="D704" s="4">
        <f t="shared" si="80"/>
        <v>8</v>
      </c>
      <c r="E704" s="4" t="s">
        <v>27</v>
      </c>
      <c r="F704" s="4">
        <f t="shared" si="81"/>
        <v>800</v>
      </c>
      <c r="G704" s="5">
        <f t="shared" si="87"/>
        <v>1.01</v>
      </c>
      <c r="H704" s="6" t="str">
        <f t="shared" si="82"/>
        <v>INSERT INTO public.coupon (plancode, age, "year", couponrate, benefittype, benefitrate, premiumrate) VALUES('EN60', 21, 28, 8, 'A',800, 1.01);</v>
      </c>
      <c r="I704" s="6" t="str">
        <f t="shared" si="83"/>
        <v>{"age":"21", "year":"28", "couponrate":"8", "benefittype":"A", "benefitrate":"800", "premiumrate":"1.01"}</v>
      </c>
      <c r="J704" s="6" t="str">
        <f t="shared" si="84"/>
        <v>,</v>
      </c>
    </row>
    <row r="705" spans="1:10">
      <c r="A705" s="4" t="str">
        <f>'EN60'!A$3</f>
        <v>EN60</v>
      </c>
      <c r="B705" s="4">
        <f t="shared" si="85"/>
        <v>21</v>
      </c>
      <c r="C705" s="4">
        <f t="shared" si="86"/>
        <v>29</v>
      </c>
      <c r="D705" s="4">
        <f t="shared" si="80"/>
        <v>8</v>
      </c>
      <c r="E705" s="4" t="s">
        <v>27</v>
      </c>
      <c r="F705" s="4">
        <f t="shared" si="81"/>
        <v>800</v>
      </c>
      <c r="G705" s="5">
        <f t="shared" si="87"/>
        <v>1.01</v>
      </c>
      <c r="H705" s="6" t="str">
        <f t="shared" si="82"/>
        <v>INSERT INTO public.coupon (plancode, age, "year", couponrate, benefittype, benefitrate, premiumrate) VALUES('EN60', 21, 29, 8, 'A',800, 1.01);</v>
      </c>
      <c r="I705" s="6" t="str">
        <f t="shared" si="83"/>
        <v>{"age":"21", "year":"29", "couponrate":"8", "benefittype":"A", "benefitrate":"800", "premiumrate":"1.01"}</v>
      </c>
      <c r="J705" s="6" t="str">
        <f t="shared" si="84"/>
        <v>,</v>
      </c>
    </row>
    <row r="706" spans="1:10">
      <c r="A706" s="4" t="str">
        <f>'EN60'!A$3</f>
        <v>EN60</v>
      </c>
      <c r="B706" s="4">
        <f t="shared" si="85"/>
        <v>21</v>
      </c>
      <c r="C706" s="4">
        <f t="shared" si="86"/>
        <v>30</v>
      </c>
      <c r="D706" s="4">
        <f t="shared" si="80"/>
        <v>8</v>
      </c>
      <c r="E706" s="4" t="s">
        <v>27</v>
      </c>
      <c r="F706" s="4">
        <f t="shared" si="81"/>
        <v>800</v>
      </c>
      <c r="G706" s="5">
        <f t="shared" si="87"/>
        <v>1.01</v>
      </c>
      <c r="H706" s="6" t="str">
        <f t="shared" si="82"/>
        <v>INSERT INTO public.coupon (plancode, age, "year", couponrate, benefittype, benefitrate, premiumrate) VALUES('EN60', 21, 30, 8, 'A',800, 1.01);</v>
      </c>
      <c r="I706" s="6" t="str">
        <f t="shared" si="83"/>
        <v>{"age":"21", "year":"30", "couponrate":"8", "benefittype":"A", "benefitrate":"800", "premiumrate":"1.01"}</v>
      </c>
      <c r="J706" s="6" t="str">
        <f t="shared" si="84"/>
        <v>,</v>
      </c>
    </row>
    <row r="707" spans="1:10">
      <c r="A707" s="4" t="str">
        <f>'EN60'!A$3</f>
        <v>EN60</v>
      </c>
      <c r="B707" s="4">
        <f t="shared" si="85"/>
        <v>21</v>
      </c>
      <c r="C707" s="4">
        <f t="shared" si="86"/>
        <v>31</v>
      </c>
      <c r="D707" s="4">
        <f t="shared" si="80"/>
        <v>8</v>
      </c>
      <c r="E707" s="4" t="s">
        <v>27</v>
      </c>
      <c r="F707" s="4">
        <f t="shared" si="81"/>
        <v>800</v>
      </c>
      <c r="G707" s="5">
        <f t="shared" si="87"/>
        <v>1.01</v>
      </c>
      <c r="H707" s="6" t="str">
        <f t="shared" si="82"/>
        <v>INSERT INTO public.coupon (plancode, age, "year", couponrate, benefittype, benefitrate, premiumrate) VALUES('EN60', 21, 31, 8, 'A',800, 1.01);</v>
      </c>
      <c r="I707" s="6" t="str">
        <f t="shared" si="83"/>
        <v>{"age":"21", "year":"31", "couponrate":"8", "benefittype":"A", "benefitrate":"800", "premiumrate":"1.01"}</v>
      </c>
      <c r="J707" s="6" t="str">
        <f t="shared" si="84"/>
        <v>,</v>
      </c>
    </row>
    <row r="708" spans="1:10">
      <c r="A708" s="4" t="str">
        <f>'EN60'!A$3</f>
        <v>EN60</v>
      </c>
      <c r="B708" s="4">
        <f t="shared" si="85"/>
        <v>21</v>
      </c>
      <c r="C708" s="4">
        <f t="shared" si="86"/>
        <v>32</v>
      </c>
      <c r="D708" s="4">
        <f t="shared" si="80"/>
        <v>8</v>
      </c>
      <c r="E708" s="4" t="s">
        <v>27</v>
      </c>
      <c r="F708" s="4">
        <f t="shared" si="81"/>
        <v>800</v>
      </c>
      <c r="G708" s="5">
        <f t="shared" si="87"/>
        <v>1.01</v>
      </c>
      <c r="H708" s="6" t="str">
        <f t="shared" si="82"/>
        <v>INSERT INTO public.coupon (plancode, age, "year", couponrate, benefittype, benefitrate, premiumrate) VALUES('EN60', 21, 32, 8, 'A',800, 1.01);</v>
      </c>
      <c r="I708" s="6" t="str">
        <f t="shared" si="83"/>
        <v>{"age":"21", "year":"32", "couponrate":"8", "benefittype":"A", "benefitrate":"800", "premiumrate":"1.01"}</v>
      </c>
      <c r="J708" s="6" t="str">
        <f t="shared" si="84"/>
        <v>,</v>
      </c>
    </row>
    <row r="709" spans="1:10">
      <c r="A709" s="4" t="str">
        <f>'EN60'!A$3</f>
        <v>EN60</v>
      </c>
      <c r="B709" s="4">
        <f t="shared" si="85"/>
        <v>21</v>
      </c>
      <c r="C709" s="4">
        <f t="shared" si="86"/>
        <v>33</v>
      </c>
      <c r="D709" s="4">
        <f t="shared" si="80"/>
        <v>8</v>
      </c>
      <c r="E709" s="4" t="s">
        <v>27</v>
      </c>
      <c r="F709" s="4">
        <f t="shared" si="81"/>
        <v>800</v>
      </c>
      <c r="G709" s="5">
        <f t="shared" si="87"/>
        <v>1.01</v>
      </c>
      <c r="H709" s="6" t="str">
        <f t="shared" si="82"/>
        <v>INSERT INTO public.coupon (plancode, age, "year", couponrate, benefittype, benefitrate, premiumrate) VALUES('EN60', 21, 33, 8, 'A',800, 1.01);</v>
      </c>
      <c r="I709" s="6" t="str">
        <f t="shared" si="83"/>
        <v>{"age":"21", "year":"33", "couponrate":"8", "benefittype":"A", "benefitrate":"800", "premiumrate":"1.01"}</v>
      </c>
      <c r="J709" s="6" t="str">
        <f t="shared" si="84"/>
        <v>,</v>
      </c>
    </row>
    <row r="710" spans="1:10">
      <c r="A710" s="4" t="str">
        <f>'EN60'!A$3</f>
        <v>EN60</v>
      </c>
      <c r="B710" s="4">
        <f t="shared" si="85"/>
        <v>21</v>
      </c>
      <c r="C710" s="4">
        <f t="shared" si="86"/>
        <v>34</v>
      </c>
      <c r="D710" s="4">
        <f t="shared" si="80"/>
        <v>8</v>
      </c>
      <c r="E710" s="4" t="s">
        <v>27</v>
      </c>
      <c r="F710" s="4">
        <f t="shared" si="81"/>
        <v>800</v>
      </c>
      <c r="G710" s="5">
        <f t="shared" si="87"/>
        <v>1.01</v>
      </c>
      <c r="H710" s="6" t="str">
        <f t="shared" si="82"/>
        <v>INSERT INTO public.coupon (plancode, age, "year", couponrate, benefittype, benefitrate, premiumrate) VALUES('EN60', 21, 34, 8, 'A',800, 1.01);</v>
      </c>
      <c r="I710" s="6" t="str">
        <f t="shared" si="83"/>
        <v>{"age":"21", "year":"34", "couponrate":"8", "benefittype":"A", "benefitrate":"800", "premiumrate":"1.01"}</v>
      </c>
      <c r="J710" s="6" t="str">
        <f t="shared" si="84"/>
        <v>,</v>
      </c>
    </row>
    <row r="711" spans="1:10">
      <c r="A711" s="4" t="str">
        <f>'EN60'!A$3</f>
        <v>EN60</v>
      </c>
      <c r="B711" s="4">
        <f t="shared" si="85"/>
        <v>21</v>
      </c>
      <c r="C711" s="4">
        <f t="shared" si="86"/>
        <v>35</v>
      </c>
      <c r="D711" s="4">
        <f t="shared" si="80"/>
        <v>8</v>
      </c>
      <c r="E711" s="4" t="s">
        <v>27</v>
      </c>
      <c r="F711" s="4">
        <f t="shared" si="81"/>
        <v>800</v>
      </c>
      <c r="G711" s="5">
        <f t="shared" si="87"/>
        <v>1.01</v>
      </c>
      <c r="H711" s="6" t="str">
        <f t="shared" si="82"/>
        <v>INSERT INTO public.coupon (plancode, age, "year", couponrate, benefittype, benefitrate, premiumrate) VALUES('EN60', 21, 35, 8, 'A',800, 1.01);</v>
      </c>
      <c r="I711" s="6" t="str">
        <f t="shared" si="83"/>
        <v>{"age":"21", "year":"35", "couponrate":"8", "benefittype":"A", "benefitrate":"800", "premiumrate":"1.01"}</v>
      </c>
      <c r="J711" s="6" t="str">
        <f t="shared" si="84"/>
        <v>,</v>
      </c>
    </row>
    <row r="712" spans="1:10">
      <c r="A712" s="4" t="str">
        <f>'EN60'!A$3</f>
        <v>EN60</v>
      </c>
      <c r="B712" s="4">
        <f t="shared" si="85"/>
        <v>21</v>
      </c>
      <c r="C712" s="4">
        <f t="shared" si="86"/>
        <v>36</v>
      </c>
      <c r="D712" s="4">
        <f t="shared" si="80"/>
        <v>8</v>
      </c>
      <c r="E712" s="4" t="s">
        <v>27</v>
      </c>
      <c r="F712" s="4">
        <f t="shared" si="81"/>
        <v>800</v>
      </c>
      <c r="G712" s="5">
        <f t="shared" si="87"/>
        <v>1.01</v>
      </c>
      <c r="H712" s="6" t="str">
        <f t="shared" si="82"/>
        <v>INSERT INTO public.coupon (plancode, age, "year", couponrate, benefittype, benefitrate, premiumrate) VALUES('EN60', 21, 36, 8, 'A',800, 1.01);</v>
      </c>
      <c r="I712" s="6" t="str">
        <f t="shared" si="83"/>
        <v>{"age":"21", "year":"36", "couponrate":"8", "benefittype":"A", "benefitrate":"800", "premiumrate":"1.01"}</v>
      </c>
      <c r="J712" s="6" t="str">
        <f t="shared" si="84"/>
        <v>,</v>
      </c>
    </row>
    <row r="713" spans="1:10">
      <c r="A713" s="4" t="str">
        <f>'EN60'!A$3</f>
        <v>EN60</v>
      </c>
      <c r="B713" s="4">
        <f t="shared" si="85"/>
        <v>21</v>
      </c>
      <c r="C713" s="4">
        <f t="shared" si="86"/>
        <v>37</v>
      </c>
      <c r="D713" s="4">
        <f t="shared" si="80"/>
        <v>8</v>
      </c>
      <c r="E713" s="4" t="s">
        <v>27</v>
      </c>
      <c r="F713" s="4">
        <f t="shared" si="81"/>
        <v>800</v>
      </c>
      <c r="G713" s="5">
        <f t="shared" si="87"/>
        <v>1.01</v>
      </c>
      <c r="H713" s="6" t="str">
        <f t="shared" si="82"/>
        <v>INSERT INTO public.coupon (plancode, age, "year", couponrate, benefittype, benefitrate, premiumrate) VALUES('EN60', 21, 37, 8, 'A',800, 1.01);</v>
      </c>
      <c r="I713" s="6" t="str">
        <f t="shared" si="83"/>
        <v>{"age":"21", "year":"37", "couponrate":"8", "benefittype":"A", "benefitrate":"800", "premiumrate":"1.01"}</v>
      </c>
      <c r="J713" s="6" t="str">
        <f t="shared" si="84"/>
        <v>,</v>
      </c>
    </row>
    <row r="714" spans="1:10">
      <c r="A714" s="4" t="str">
        <f>'EN60'!A$3</f>
        <v>EN60</v>
      </c>
      <c r="B714" s="4">
        <f t="shared" si="85"/>
        <v>21</v>
      </c>
      <c r="C714" s="4">
        <f t="shared" si="86"/>
        <v>38</v>
      </c>
      <c r="D714" s="4">
        <f t="shared" si="80"/>
        <v>8</v>
      </c>
      <c r="E714" s="4" t="s">
        <v>27</v>
      </c>
      <c r="F714" s="4">
        <f t="shared" si="81"/>
        <v>800</v>
      </c>
      <c r="G714" s="5">
        <f t="shared" si="87"/>
        <v>1.01</v>
      </c>
      <c r="H714" s="6" t="str">
        <f t="shared" si="82"/>
        <v>INSERT INTO public.coupon (plancode, age, "year", couponrate, benefittype, benefitrate, premiumrate) VALUES('EN60', 21, 38, 8, 'A',800, 1.01);</v>
      </c>
      <c r="I714" s="6" t="str">
        <f t="shared" si="83"/>
        <v>{"age":"21", "year":"38", "couponrate":"8", "benefittype":"A", "benefitrate":"800", "premiumrate":"1.01"}</v>
      </c>
      <c r="J714" s="6" t="str">
        <f t="shared" si="84"/>
        <v>,</v>
      </c>
    </row>
    <row r="715" spans="1:10">
      <c r="A715" s="4" t="str">
        <f>'EN60'!A$3</f>
        <v>EN60</v>
      </c>
      <c r="B715" s="4">
        <f t="shared" si="85"/>
        <v>21</v>
      </c>
      <c r="C715" s="4">
        <f t="shared" si="86"/>
        <v>39</v>
      </c>
      <c r="D715" s="4">
        <f t="shared" si="80"/>
        <v>8</v>
      </c>
      <c r="E715" s="4" t="s">
        <v>27</v>
      </c>
      <c r="F715" s="4">
        <f t="shared" si="81"/>
        <v>800</v>
      </c>
      <c r="G715" s="5">
        <f t="shared" si="87"/>
        <v>1.01</v>
      </c>
      <c r="H715" s="6" t="str">
        <f t="shared" si="82"/>
        <v>INSERT INTO public.coupon (plancode, age, "year", couponrate, benefittype, benefitrate, premiumrate) VALUES('EN60', 21, 39, 8, 'A',800, 1.01);</v>
      </c>
      <c r="I715" s="6" t="str">
        <f t="shared" si="83"/>
        <v>{"age":"21", "year":"39", "couponrate":"8", "benefittype":"A", "benefitrate":"800", "premiumrate":"1.01"}</v>
      </c>
      <c r="J715" s="6" t="str">
        <f t="shared" si="84"/>
        <v>,</v>
      </c>
    </row>
    <row r="716" spans="1:10">
      <c r="A716" s="4" t="str">
        <f>'EN60'!A$3</f>
        <v>EN60</v>
      </c>
      <c r="B716" s="4">
        <f t="shared" si="85"/>
        <v>21</v>
      </c>
      <c r="C716" s="4">
        <f t="shared" si="86"/>
        <v>40</v>
      </c>
      <c r="D716" s="4">
        <f t="shared" si="80"/>
        <v>8</v>
      </c>
      <c r="E716" s="4" t="s">
        <v>27</v>
      </c>
      <c r="F716" s="4">
        <f t="shared" si="81"/>
        <v>800</v>
      </c>
      <c r="G716" s="5">
        <f t="shared" si="87"/>
        <v>1.01</v>
      </c>
      <c r="H716" s="6" t="str">
        <f t="shared" si="82"/>
        <v>INSERT INTO public.coupon (plancode, age, "year", couponrate, benefittype, benefitrate, premiumrate) VALUES('EN60', 21, 40, 8, 'A',800, 1.01);</v>
      </c>
      <c r="I716" s="6" t="str">
        <f t="shared" si="83"/>
        <v>{"age":"21", "year":"40", "couponrate":"8", "benefittype":"A", "benefitrate":"800", "premiumrate":"1.01"}</v>
      </c>
      <c r="J716" s="6" t="str">
        <f t="shared" si="84"/>
        <v>,</v>
      </c>
    </row>
    <row r="717" spans="1:10">
      <c r="A717" s="4" t="str">
        <f>'EN60'!A$3</f>
        <v>EN60</v>
      </c>
      <c r="B717" s="4">
        <f t="shared" si="85"/>
        <v>21</v>
      </c>
      <c r="C717" s="4">
        <f t="shared" si="86"/>
        <v>41</v>
      </c>
      <c r="D717" s="4">
        <f t="shared" si="80"/>
        <v>8</v>
      </c>
      <c r="E717" s="4" t="s">
        <v>27</v>
      </c>
      <c r="F717" s="4">
        <f t="shared" si="81"/>
        <v>800</v>
      </c>
      <c r="G717" s="5">
        <f t="shared" si="87"/>
        <v>1.01</v>
      </c>
      <c r="H717" s="6" t="str">
        <f t="shared" si="82"/>
        <v>INSERT INTO public.coupon (plancode, age, "year", couponrate, benefittype, benefitrate, premiumrate) VALUES('EN60', 21, 41, 8, 'A',800, 1.01);</v>
      </c>
      <c r="I717" s="6" t="str">
        <f t="shared" si="83"/>
        <v>{"age":"21", "year":"41", "couponrate":"8", "benefittype":"A", "benefitrate":"800", "premiumrate":"1.01"}</v>
      </c>
      <c r="J717" s="6" t="str">
        <f t="shared" si="84"/>
        <v>,</v>
      </c>
    </row>
    <row r="718" spans="1:10">
      <c r="A718" s="4" t="str">
        <f>'EN60'!A$3</f>
        <v>EN60</v>
      </c>
      <c r="B718" s="4">
        <f t="shared" si="85"/>
        <v>21</v>
      </c>
      <c r="C718" s="4">
        <f t="shared" si="86"/>
        <v>42</v>
      </c>
      <c r="D718" s="4">
        <f t="shared" si="80"/>
        <v>8</v>
      </c>
      <c r="E718" s="4" t="s">
        <v>27</v>
      </c>
      <c r="F718" s="4">
        <f t="shared" si="81"/>
        <v>800</v>
      </c>
      <c r="G718" s="5">
        <f t="shared" si="87"/>
        <v>1.01</v>
      </c>
      <c r="H718" s="6" t="str">
        <f t="shared" si="82"/>
        <v>INSERT INTO public.coupon (plancode, age, "year", couponrate, benefittype, benefitrate, premiumrate) VALUES('EN60', 21, 42, 8, 'A',800, 1.01);</v>
      </c>
      <c r="I718" s="6" t="str">
        <f t="shared" si="83"/>
        <v>{"age":"21", "year":"42", "couponrate":"8", "benefittype":"A", "benefitrate":"800", "premiumrate":"1.01"}</v>
      </c>
      <c r="J718" s="6" t="str">
        <f t="shared" si="84"/>
        <v>,</v>
      </c>
    </row>
    <row r="719" spans="1:10">
      <c r="A719" s="4" t="str">
        <f>'EN60'!A$3</f>
        <v>EN60</v>
      </c>
      <c r="B719" s="4">
        <f t="shared" si="85"/>
        <v>21</v>
      </c>
      <c r="C719" s="4">
        <f t="shared" si="86"/>
        <v>43</v>
      </c>
      <c r="D719" s="4">
        <f t="shared" si="80"/>
        <v>8</v>
      </c>
      <c r="E719" s="4" t="s">
        <v>27</v>
      </c>
      <c r="F719" s="4">
        <f t="shared" si="81"/>
        <v>800</v>
      </c>
      <c r="G719" s="5">
        <f t="shared" si="87"/>
        <v>1.01</v>
      </c>
      <c r="H719" s="6" t="str">
        <f t="shared" si="82"/>
        <v>INSERT INTO public.coupon (plancode, age, "year", couponrate, benefittype, benefitrate, premiumrate) VALUES('EN60', 21, 43, 8, 'A',800, 1.01);</v>
      </c>
      <c r="I719" s="6" t="str">
        <f t="shared" si="83"/>
        <v>{"age":"21", "year":"43", "couponrate":"8", "benefittype":"A", "benefitrate":"800", "premiumrate":"1.01"}</v>
      </c>
      <c r="J719" s="6" t="str">
        <f t="shared" si="84"/>
        <v>,</v>
      </c>
    </row>
    <row r="720" spans="1:10">
      <c r="A720" s="4" t="str">
        <f>'EN60'!A$3</f>
        <v>EN60</v>
      </c>
      <c r="B720" s="4">
        <f t="shared" si="85"/>
        <v>21</v>
      </c>
      <c r="C720" s="4">
        <f t="shared" si="86"/>
        <v>44</v>
      </c>
      <c r="D720" s="4">
        <f t="shared" si="80"/>
        <v>8</v>
      </c>
      <c r="E720" s="4" t="s">
        <v>27</v>
      </c>
      <c r="F720" s="4">
        <f t="shared" si="81"/>
        <v>800</v>
      </c>
      <c r="G720" s="5">
        <f t="shared" si="87"/>
        <v>1.01</v>
      </c>
      <c r="H720" s="6" t="str">
        <f t="shared" si="82"/>
        <v>INSERT INTO public.coupon (plancode, age, "year", couponrate, benefittype, benefitrate, premiumrate) VALUES('EN60', 21, 44, 8, 'A',800, 1.01);</v>
      </c>
      <c r="I720" s="6" t="str">
        <f t="shared" si="83"/>
        <v>{"age":"21", "year":"44", "couponrate":"8", "benefittype":"A", "benefitrate":"800", "premiumrate":"1.01"}</v>
      </c>
      <c r="J720" s="6" t="str">
        <f t="shared" si="84"/>
        <v>,</v>
      </c>
    </row>
    <row r="721" spans="1:10">
      <c r="A721" s="4" t="str">
        <f>'EN60'!A$3</f>
        <v>EN60</v>
      </c>
      <c r="B721" s="4">
        <f t="shared" si="85"/>
        <v>21</v>
      </c>
      <c r="C721" s="4">
        <f t="shared" si="86"/>
        <v>45</v>
      </c>
      <c r="D721" s="4">
        <f t="shared" si="80"/>
        <v>8</v>
      </c>
      <c r="E721" s="4" t="s">
        <v>27</v>
      </c>
      <c r="F721" s="4">
        <f t="shared" si="81"/>
        <v>800</v>
      </c>
      <c r="G721" s="5">
        <f t="shared" si="87"/>
        <v>1.01</v>
      </c>
      <c r="H721" s="6" t="str">
        <f t="shared" si="82"/>
        <v>INSERT INTO public.coupon (plancode, age, "year", couponrate, benefittype, benefitrate, premiumrate) VALUES('EN60', 21, 45, 8, 'A',800, 1.01);</v>
      </c>
      <c r="I721" s="6" t="str">
        <f t="shared" si="83"/>
        <v>{"age":"21", "year":"45", "couponrate":"8", "benefittype":"A", "benefitrate":"800", "premiumrate":"1.01"}</v>
      </c>
      <c r="J721" s="6" t="str">
        <f t="shared" si="84"/>
        <v>,</v>
      </c>
    </row>
    <row r="722" spans="1:10">
      <c r="A722" s="4" t="str">
        <f>'EN60'!A$3</f>
        <v>EN60</v>
      </c>
      <c r="B722" s="4">
        <f t="shared" si="85"/>
        <v>21</v>
      </c>
      <c r="C722" s="4">
        <f t="shared" si="86"/>
        <v>46</v>
      </c>
      <c r="D722" s="4">
        <f t="shared" si="80"/>
        <v>8</v>
      </c>
      <c r="E722" s="4" t="s">
        <v>27</v>
      </c>
      <c r="F722" s="4">
        <f t="shared" si="81"/>
        <v>800</v>
      </c>
      <c r="G722" s="5">
        <f t="shared" si="87"/>
        <v>1.01</v>
      </c>
      <c r="H722" s="6" t="str">
        <f t="shared" si="82"/>
        <v>INSERT INTO public.coupon (plancode, age, "year", couponrate, benefittype, benefitrate, premiumrate) VALUES('EN60', 21, 46, 8, 'A',800, 1.01);</v>
      </c>
      <c r="I722" s="6" t="str">
        <f t="shared" si="83"/>
        <v>{"age":"21", "year":"46", "couponrate":"8", "benefittype":"A", "benefitrate":"800", "premiumrate":"1.01"}</v>
      </c>
      <c r="J722" s="6" t="str">
        <f t="shared" si="84"/>
        <v>,</v>
      </c>
    </row>
    <row r="723" spans="1:10">
      <c r="A723" s="4" t="str">
        <f>'EN60'!A$3</f>
        <v>EN60</v>
      </c>
      <c r="B723" s="4">
        <f t="shared" si="85"/>
        <v>21</v>
      </c>
      <c r="C723" s="4">
        <f t="shared" si="86"/>
        <v>47</v>
      </c>
      <c r="D723" s="4">
        <f t="shared" si="80"/>
        <v>8</v>
      </c>
      <c r="E723" s="4" t="s">
        <v>27</v>
      </c>
      <c r="F723" s="4">
        <f t="shared" si="81"/>
        <v>800</v>
      </c>
      <c r="G723" s="5">
        <f t="shared" si="87"/>
        <v>1.01</v>
      </c>
      <c r="H723" s="6" t="str">
        <f t="shared" si="82"/>
        <v>INSERT INTO public.coupon (plancode, age, "year", couponrate, benefittype, benefitrate, premiumrate) VALUES('EN60', 21, 47, 8, 'A',800, 1.01);</v>
      </c>
      <c r="I723" s="6" t="str">
        <f t="shared" si="83"/>
        <v>{"age":"21", "year":"47", "couponrate":"8", "benefittype":"A", "benefitrate":"800", "premiumrate":"1.01"}</v>
      </c>
      <c r="J723" s="6" t="str">
        <f t="shared" si="84"/>
        <v>,</v>
      </c>
    </row>
    <row r="724" spans="1:10">
      <c r="A724" s="4" t="str">
        <f>'EN60'!A$3</f>
        <v>EN60</v>
      </c>
      <c r="B724" s="4">
        <f t="shared" si="85"/>
        <v>21</v>
      </c>
      <c r="C724" s="4">
        <f t="shared" si="86"/>
        <v>48</v>
      </c>
      <c r="D724" s="4">
        <f t="shared" si="80"/>
        <v>8</v>
      </c>
      <c r="E724" s="4" t="s">
        <v>27</v>
      </c>
      <c r="F724" s="4">
        <f t="shared" si="81"/>
        <v>800</v>
      </c>
      <c r="G724" s="5">
        <f t="shared" si="87"/>
        <v>1.01</v>
      </c>
      <c r="H724" s="6" t="str">
        <f t="shared" si="82"/>
        <v>INSERT INTO public.coupon (plancode, age, "year", couponrate, benefittype, benefitrate, premiumrate) VALUES('EN60', 21, 48, 8, 'A',800, 1.01);</v>
      </c>
      <c r="I724" s="6" t="str">
        <f t="shared" si="83"/>
        <v>{"age":"21", "year":"48", "couponrate":"8", "benefittype":"A", "benefitrate":"800", "premiumrate":"1.01"}</v>
      </c>
      <c r="J724" s="6" t="str">
        <f t="shared" si="84"/>
        <v>,</v>
      </c>
    </row>
    <row r="725" spans="1:10">
      <c r="A725" s="4" t="str">
        <f>'EN60'!A$3</f>
        <v>EN60</v>
      </c>
      <c r="B725" s="4">
        <f t="shared" si="85"/>
        <v>21</v>
      </c>
      <c r="C725" s="4">
        <f t="shared" si="86"/>
        <v>49</v>
      </c>
      <c r="D725" s="4">
        <f t="shared" si="80"/>
        <v>8</v>
      </c>
      <c r="E725" s="4" t="s">
        <v>27</v>
      </c>
      <c r="F725" s="4">
        <f t="shared" si="81"/>
        <v>800</v>
      </c>
      <c r="G725" s="5">
        <f t="shared" si="87"/>
        <v>1.01</v>
      </c>
      <c r="H725" s="6" t="str">
        <f t="shared" si="82"/>
        <v>INSERT INTO public.coupon (plancode, age, "year", couponrate, benefittype, benefitrate, premiumrate) VALUES('EN60', 21, 49, 8, 'A',800, 1.01);</v>
      </c>
      <c r="I725" s="6" t="str">
        <f t="shared" si="83"/>
        <v>{"age":"21", "year":"49", "couponrate":"8", "benefittype":"A", "benefitrate":"800", "premiumrate":"1.01"}</v>
      </c>
      <c r="J725" s="6" t="str">
        <f t="shared" si="84"/>
        <v>,</v>
      </c>
    </row>
    <row r="726" spans="1:10">
      <c r="A726" s="4" t="str">
        <f>'EN60'!A$3</f>
        <v>EN60</v>
      </c>
      <c r="B726" s="4">
        <f t="shared" si="85"/>
        <v>21</v>
      </c>
      <c r="C726" s="4">
        <f t="shared" si="86"/>
        <v>50</v>
      </c>
      <c r="D726" s="4">
        <f t="shared" si="80"/>
        <v>8</v>
      </c>
      <c r="E726" s="4" t="s">
        <v>27</v>
      </c>
      <c r="F726" s="4">
        <f t="shared" si="81"/>
        <v>800</v>
      </c>
      <c r="G726" s="5">
        <f t="shared" si="87"/>
        <v>1.01</v>
      </c>
      <c r="H726" s="6" t="str">
        <f t="shared" si="82"/>
        <v>INSERT INTO public.coupon (plancode, age, "year", couponrate, benefittype, benefitrate, premiumrate) VALUES('EN60', 21, 50, 8, 'A',800, 1.01);</v>
      </c>
      <c r="I726" s="6" t="str">
        <f t="shared" si="83"/>
        <v>{"age":"21", "year":"50", "couponrate":"8", "benefittype":"A", "benefitrate":"800", "premiumrate":"1.01"}</v>
      </c>
      <c r="J726" s="6" t="str">
        <f t="shared" si="84"/>
        <v>,</v>
      </c>
    </row>
    <row r="727" spans="1:10">
      <c r="A727" s="4" t="str">
        <f>'EN60'!A$3</f>
        <v>EN60</v>
      </c>
      <c r="B727" s="4">
        <f t="shared" si="85"/>
        <v>21</v>
      </c>
      <c r="C727" s="4">
        <f t="shared" si="86"/>
        <v>51</v>
      </c>
      <c r="D727" s="4">
        <f t="shared" si="80"/>
        <v>8</v>
      </c>
      <c r="E727" s="4" t="s">
        <v>27</v>
      </c>
      <c r="F727" s="4">
        <f t="shared" si="81"/>
        <v>800</v>
      </c>
      <c r="G727" s="5">
        <f t="shared" si="87"/>
        <v>1.01</v>
      </c>
      <c r="H727" s="6" t="str">
        <f t="shared" si="82"/>
        <v>INSERT INTO public.coupon (plancode, age, "year", couponrate, benefittype, benefitrate, premiumrate) VALUES('EN60', 21, 51, 8, 'A',800, 1.01);</v>
      </c>
      <c r="I727" s="6" t="str">
        <f t="shared" si="83"/>
        <v>{"age":"21", "year":"51", "couponrate":"8", "benefittype":"A", "benefitrate":"800", "premiumrate":"1.01"}</v>
      </c>
      <c r="J727" s="6" t="str">
        <f t="shared" si="84"/>
        <v>,</v>
      </c>
    </row>
    <row r="728" spans="1:10">
      <c r="A728" s="4" t="str">
        <f>'EN60'!A$3</f>
        <v>EN60</v>
      </c>
      <c r="B728" s="4">
        <f t="shared" si="85"/>
        <v>21</v>
      </c>
      <c r="C728" s="4">
        <f t="shared" si="86"/>
        <v>52</v>
      </c>
      <c r="D728" s="4">
        <f t="shared" si="80"/>
        <v>8</v>
      </c>
      <c r="E728" s="4" t="s">
        <v>27</v>
      </c>
      <c r="F728" s="4">
        <f t="shared" si="81"/>
        <v>800</v>
      </c>
      <c r="G728" s="5">
        <f t="shared" si="87"/>
        <v>1.01</v>
      </c>
      <c r="H728" s="6" t="str">
        <f t="shared" si="82"/>
        <v>INSERT INTO public.coupon (plancode, age, "year", couponrate, benefittype, benefitrate, premiumrate) VALUES('EN60', 21, 52, 8, 'A',800, 1.01);</v>
      </c>
      <c r="I728" s="6" t="str">
        <f t="shared" si="83"/>
        <v>{"age":"21", "year":"52", "couponrate":"8", "benefittype":"A", "benefitrate":"800", "premiumrate":"1.01"}</v>
      </c>
      <c r="J728" s="6" t="str">
        <f t="shared" si="84"/>
        <v>,</v>
      </c>
    </row>
    <row r="729" spans="1:10">
      <c r="A729" s="4" t="str">
        <f>'EN60'!A$3</f>
        <v>EN60</v>
      </c>
      <c r="B729" s="4">
        <f t="shared" si="85"/>
        <v>21</v>
      </c>
      <c r="C729" s="4">
        <f t="shared" si="86"/>
        <v>53</v>
      </c>
      <c r="D729" s="4">
        <f t="shared" si="80"/>
        <v>8</v>
      </c>
      <c r="E729" s="4" t="s">
        <v>27</v>
      </c>
      <c r="F729" s="4">
        <f t="shared" si="81"/>
        <v>800</v>
      </c>
      <c r="G729" s="5">
        <f t="shared" si="87"/>
        <v>1.01</v>
      </c>
      <c r="H729" s="6" t="str">
        <f t="shared" si="82"/>
        <v>INSERT INTO public.coupon (plancode, age, "year", couponrate, benefittype, benefitrate, premiumrate) VALUES('EN60', 21, 53, 8, 'A',800, 1.01);</v>
      </c>
      <c r="I729" s="6" t="str">
        <f t="shared" si="83"/>
        <v>{"age":"21", "year":"53", "couponrate":"8", "benefittype":"A", "benefitrate":"800", "premiumrate":"1.01"}</v>
      </c>
      <c r="J729" s="6" t="str">
        <f t="shared" si="84"/>
        <v>,</v>
      </c>
    </row>
    <row r="730" spans="1:10">
      <c r="A730" s="4" t="str">
        <f>'EN60'!A$3</f>
        <v>EN60</v>
      </c>
      <c r="B730" s="4">
        <f t="shared" si="85"/>
        <v>21</v>
      </c>
      <c r="C730" s="4">
        <f t="shared" si="86"/>
        <v>54</v>
      </c>
      <c r="D730" s="4">
        <f t="shared" si="80"/>
        <v>8</v>
      </c>
      <c r="E730" s="4" t="s">
        <v>27</v>
      </c>
      <c r="F730" s="4">
        <f t="shared" si="81"/>
        <v>800</v>
      </c>
      <c r="G730" s="5">
        <f t="shared" si="87"/>
        <v>1.01</v>
      </c>
      <c r="H730" s="6" t="str">
        <f t="shared" si="82"/>
        <v>INSERT INTO public.coupon (plancode, age, "year", couponrate, benefittype, benefitrate, premiumrate) VALUES('EN60', 21, 54, 8, 'A',800, 1.01);</v>
      </c>
      <c r="I730" s="6" t="str">
        <f t="shared" si="83"/>
        <v>{"age":"21", "year":"54", "couponrate":"8", "benefittype":"A", "benefitrate":"800", "premiumrate":"1.01"}</v>
      </c>
      <c r="J730" s="6" t="str">
        <f t="shared" si="84"/>
        <v>,</v>
      </c>
    </row>
    <row r="731" spans="1:10">
      <c r="A731" s="4" t="str">
        <f>'EN60'!A$3</f>
        <v>EN60</v>
      </c>
      <c r="B731" s="4">
        <f t="shared" si="85"/>
        <v>21</v>
      </c>
      <c r="C731" s="4">
        <f t="shared" si="86"/>
        <v>55</v>
      </c>
      <c r="D731" s="4">
        <f t="shared" si="80"/>
        <v>8</v>
      </c>
      <c r="E731" s="4" t="s">
        <v>27</v>
      </c>
      <c r="F731" s="4">
        <f t="shared" si="81"/>
        <v>800</v>
      </c>
      <c r="G731" s="5">
        <f t="shared" si="87"/>
        <v>1.01</v>
      </c>
      <c r="H731" s="6" t="str">
        <f t="shared" si="82"/>
        <v>INSERT INTO public.coupon (plancode, age, "year", couponrate, benefittype, benefitrate, premiumrate) VALUES('EN60', 21, 55, 8, 'A',800, 1.01);</v>
      </c>
      <c r="I731" s="6" t="str">
        <f t="shared" si="83"/>
        <v>{"age":"21", "year":"55", "couponrate":"8", "benefittype":"A", "benefitrate":"800", "premiumrate":"1.01"}</v>
      </c>
      <c r="J731" s="6" t="str">
        <f t="shared" si="84"/>
        <v>,</v>
      </c>
    </row>
    <row r="732" spans="1:10">
      <c r="A732" s="4" t="str">
        <f>'EN60'!A$3</f>
        <v>EN60</v>
      </c>
      <c r="B732" s="4">
        <f t="shared" si="85"/>
        <v>21</v>
      </c>
      <c r="C732" s="4">
        <f t="shared" si="86"/>
        <v>56</v>
      </c>
      <c r="D732" s="4">
        <f t="shared" si="80"/>
        <v>8</v>
      </c>
      <c r="E732" s="4" t="s">
        <v>27</v>
      </c>
      <c r="F732" s="4">
        <f t="shared" si="81"/>
        <v>800</v>
      </c>
      <c r="G732" s="5">
        <f t="shared" si="87"/>
        <v>1.01</v>
      </c>
      <c r="H732" s="6" t="str">
        <f t="shared" si="82"/>
        <v>INSERT INTO public.coupon (plancode, age, "year", couponrate, benefittype, benefitrate, premiumrate) VALUES('EN60', 21, 56, 8, 'A',800, 1.01);</v>
      </c>
      <c r="I732" s="6" t="str">
        <f t="shared" si="83"/>
        <v>{"age":"21", "year":"56", "couponrate":"8", "benefittype":"A", "benefitrate":"800", "premiumrate":"1.01"}</v>
      </c>
      <c r="J732" s="6" t="str">
        <f t="shared" si="84"/>
        <v>,</v>
      </c>
    </row>
    <row r="733" spans="1:10">
      <c r="A733" s="4" t="str">
        <f>'EN60'!A$3</f>
        <v>EN60</v>
      </c>
      <c r="B733" s="4">
        <f t="shared" si="85"/>
        <v>21</v>
      </c>
      <c r="C733" s="4">
        <f t="shared" si="86"/>
        <v>57</v>
      </c>
      <c r="D733" s="4">
        <f t="shared" si="80"/>
        <v>8</v>
      </c>
      <c r="E733" s="4" t="s">
        <v>27</v>
      </c>
      <c r="F733" s="4">
        <f t="shared" si="81"/>
        <v>800</v>
      </c>
      <c r="G733" s="5">
        <f t="shared" si="87"/>
        <v>1.01</v>
      </c>
      <c r="H733" s="6" t="str">
        <f t="shared" si="82"/>
        <v>INSERT INTO public.coupon (plancode, age, "year", couponrate, benefittype, benefitrate, premiumrate) VALUES('EN60', 21, 57, 8, 'A',800, 1.01);</v>
      </c>
      <c r="I733" s="6" t="str">
        <f t="shared" si="83"/>
        <v>{"age":"21", "year":"57", "couponrate":"8", "benefittype":"A", "benefitrate":"800", "premiumrate":"1.01"}</v>
      </c>
      <c r="J733" s="6" t="str">
        <f t="shared" si="84"/>
        <v>,</v>
      </c>
    </row>
    <row r="734" spans="1:10">
      <c r="A734" s="4" t="str">
        <f>'EN60'!A$3</f>
        <v>EN60</v>
      </c>
      <c r="B734" s="4">
        <f t="shared" si="85"/>
        <v>21</v>
      </c>
      <c r="C734" s="4">
        <f t="shared" si="86"/>
        <v>58</v>
      </c>
      <c r="D734" s="4">
        <f t="shared" si="80"/>
        <v>8</v>
      </c>
      <c r="E734" s="4" t="s">
        <v>27</v>
      </c>
      <c r="F734" s="4">
        <f t="shared" si="81"/>
        <v>800</v>
      </c>
      <c r="G734" s="5">
        <f t="shared" si="87"/>
        <v>1.01</v>
      </c>
      <c r="H734" s="6" t="str">
        <f t="shared" si="82"/>
        <v>INSERT INTO public.coupon (plancode, age, "year", couponrate, benefittype, benefitrate, premiumrate) VALUES('EN60', 21, 58, 8, 'A',800, 1.01);</v>
      </c>
      <c r="I734" s="6" t="str">
        <f t="shared" si="83"/>
        <v>{"age":"21", "year":"58", "couponrate":"8", "benefittype":"A", "benefitrate":"800", "premiumrate":"1.01"}</v>
      </c>
      <c r="J734" s="6" t="str">
        <f t="shared" si="84"/>
        <v>,</v>
      </c>
    </row>
    <row r="735" spans="1:10">
      <c r="A735" s="4" t="str">
        <f>'EN60'!A$3</f>
        <v>EN60</v>
      </c>
      <c r="B735" s="4">
        <f t="shared" si="85"/>
        <v>21</v>
      </c>
      <c r="C735" s="4">
        <f t="shared" si="86"/>
        <v>59</v>
      </c>
      <c r="D735" s="4">
        <f t="shared" si="80"/>
        <v>0</v>
      </c>
      <c r="E735" s="4" t="s">
        <v>27</v>
      </c>
      <c r="F735" s="4">
        <f t="shared" si="81"/>
        <v>800</v>
      </c>
      <c r="G735" s="5">
        <f t="shared" si="87"/>
        <v>1.01</v>
      </c>
      <c r="H735" s="6" t="str">
        <f t="shared" si="82"/>
        <v>INSERT INTO public.coupon (plancode, age, "year", couponrate, benefittype, benefitrate, premiumrate) VALUES('EN60', 21, 59, 0, 'A',800, 1.01);</v>
      </c>
      <c r="I735" s="6" t="str">
        <f t="shared" si="83"/>
        <v>{"age":"21", "year":"59", "couponrate":"0", "benefittype":"A", "benefitrate":"800", "premiumrate":"1.01"}</v>
      </c>
    </row>
    <row r="736" spans="1:10">
      <c r="C736" s="6"/>
      <c r="I736" s="6" t="s">
        <v>28</v>
      </c>
    </row>
    <row r="737" spans="1:10">
      <c r="A737" s="3" t="s">
        <v>2</v>
      </c>
      <c r="B737" s="3" t="s">
        <v>23</v>
      </c>
      <c r="C737" s="3" t="s">
        <v>24</v>
      </c>
      <c r="D737" s="3" t="s">
        <v>25</v>
      </c>
      <c r="E737" s="3" t="s">
        <v>8</v>
      </c>
      <c r="F737" s="3" t="s">
        <v>26</v>
      </c>
      <c r="G737" s="3" t="s">
        <v>4</v>
      </c>
      <c r="I737" s="6" t="str">
        <f>"[{""plancode"":"""&amp;A738&amp;""",""returncash"":"""&amp;B$7&amp;""",""ytable"":"""&amp;C$7&amp;""",""maturerate"":"""&amp;B$3&amp;""",""maturepmrate"":"""&amp;C$3&amp;""",""coupon"":["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738" spans="1:10">
      <c r="A738" s="4" t="str">
        <f>'EN60'!A$3</f>
        <v>EN60</v>
      </c>
      <c r="B738" s="8">
        <v>22</v>
      </c>
      <c r="C738" s="4">
        <v>1</v>
      </c>
      <c r="D738" s="4">
        <f t="shared" ref="D738:D795" si="88">IF(C738+B738=80,0,8)</f>
        <v>8</v>
      </c>
      <c r="E738" s="4" t="s">
        <v>27</v>
      </c>
      <c r="F738" s="4">
        <f t="shared" ref="F738:F795" si="89">IF(C738&gt;7, 800, C738*100)</f>
        <v>100</v>
      </c>
      <c r="G738" s="5">
        <f>'EN60'!C$3</f>
        <v>1.01</v>
      </c>
      <c r="H738" s="6" t="str">
        <f t="shared" ref="H738:H795" si="90">"INSERT INTO public.coupon ("&amp;A$11&amp;", "&amp;B$11&amp;", """&amp;C$11&amp;""", "&amp;D$11&amp;", "&amp;E$11&amp;", "&amp;F$11&amp;", "&amp;G$11&amp;") VALUES('"&amp;A738&amp;"', "&amp;B738&amp;", "&amp;C738&amp;", "&amp;D738&amp;", '"&amp;E738&amp;"',"&amp;F738&amp;", "&amp;G738&amp;");"</f>
        <v>INSERT INTO public.coupon (plancode, age, "year", couponrate, benefittype, benefitrate, premiumrate) VALUES('EN60', 22, 1, 8, 'A',100, 1.01);</v>
      </c>
      <c r="I738" s="6" t="str">
        <f t="shared" ref="I738:I795" si="91">"{""age"":"""&amp;B738&amp;""", ""year"":"""&amp;C738&amp;""", ""couponrate"":"""&amp;D738&amp;""", ""benefittype"":"""&amp;E738&amp;""", ""benefitrate"":"""&amp;F738&amp;""", """&amp;G$11&amp;""":"""&amp;G738&amp;"""}"</f>
        <v>{"age":"22", "year":"1", "couponrate":"8", "benefittype":"A", "benefitrate":"100", "premiumrate":"1.01"}</v>
      </c>
      <c r="J738" s="6" t="str">
        <f t="shared" ref="J738:J794" si="92">IF(OR(I739="]", I738="[", I738="]"), "", ",")</f>
        <v>,</v>
      </c>
    </row>
    <row r="739" spans="1:10">
      <c r="A739" s="4" t="str">
        <f>'EN60'!A$3</f>
        <v>EN60</v>
      </c>
      <c r="B739" s="4">
        <f t="shared" ref="B739:B795" si="93">B738</f>
        <v>22</v>
      </c>
      <c r="C739" s="4">
        <f t="shared" ref="C739:C795" si="94">C738+1</f>
        <v>2</v>
      </c>
      <c r="D739" s="4">
        <f t="shared" si="88"/>
        <v>8</v>
      </c>
      <c r="E739" s="4" t="s">
        <v>27</v>
      </c>
      <c r="F739" s="4">
        <f t="shared" si="89"/>
        <v>200</v>
      </c>
      <c r="G739" s="5">
        <f t="shared" ref="G739:G795" si="95">G738</f>
        <v>1.01</v>
      </c>
      <c r="H739" s="6" t="str">
        <f t="shared" si="90"/>
        <v>INSERT INTO public.coupon (plancode, age, "year", couponrate, benefittype, benefitrate, premiumrate) VALUES('EN60', 22, 2, 8, 'A',200, 1.01);</v>
      </c>
      <c r="I739" s="6" t="str">
        <f t="shared" si="91"/>
        <v>{"age":"22", "year":"2", "couponrate":"8", "benefittype":"A", "benefitrate":"200", "premiumrate":"1.01"}</v>
      </c>
      <c r="J739" s="6" t="str">
        <f t="shared" si="92"/>
        <v>,</v>
      </c>
    </row>
    <row r="740" spans="1:10">
      <c r="A740" s="4" t="str">
        <f>'EN60'!A$3</f>
        <v>EN60</v>
      </c>
      <c r="B740" s="4">
        <f t="shared" si="93"/>
        <v>22</v>
      </c>
      <c r="C740" s="4">
        <f t="shared" si="94"/>
        <v>3</v>
      </c>
      <c r="D740" s="4">
        <f t="shared" si="88"/>
        <v>8</v>
      </c>
      <c r="E740" s="4" t="s">
        <v>27</v>
      </c>
      <c r="F740" s="4">
        <f t="shared" si="89"/>
        <v>300</v>
      </c>
      <c r="G740" s="5">
        <f t="shared" si="95"/>
        <v>1.01</v>
      </c>
      <c r="H740" s="6" t="str">
        <f t="shared" si="90"/>
        <v>INSERT INTO public.coupon (plancode, age, "year", couponrate, benefittype, benefitrate, premiumrate) VALUES('EN60', 22, 3, 8, 'A',300, 1.01);</v>
      </c>
      <c r="I740" s="6" t="str">
        <f t="shared" si="91"/>
        <v>{"age":"22", "year":"3", "couponrate":"8", "benefittype":"A", "benefitrate":"300", "premiumrate":"1.01"}</v>
      </c>
      <c r="J740" s="6" t="str">
        <f t="shared" si="92"/>
        <v>,</v>
      </c>
    </row>
    <row r="741" spans="1:10">
      <c r="A741" s="4" t="str">
        <f>'EN60'!A$3</f>
        <v>EN60</v>
      </c>
      <c r="B741" s="4">
        <f t="shared" si="93"/>
        <v>22</v>
      </c>
      <c r="C741" s="4">
        <f t="shared" si="94"/>
        <v>4</v>
      </c>
      <c r="D741" s="4">
        <f t="shared" si="88"/>
        <v>8</v>
      </c>
      <c r="E741" s="4" t="s">
        <v>27</v>
      </c>
      <c r="F741" s="4">
        <f t="shared" si="89"/>
        <v>400</v>
      </c>
      <c r="G741" s="5">
        <f t="shared" si="95"/>
        <v>1.01</v>
      </c>
      <c r="H741" s="6" t="str">
        <f t="shared" si="90"/>
        <v>INSERT INTO public.coupon (plancode, age, "year", couponrate, benefittype, benefitrate, premiumrate) VALUES('EN60', 22, 4, 8, 'A',400, 1.01);</v>
      </c>
      <c r="I741" s="6" t="str">
        <f t="shared" si="91"/>
        <v>{"age":"22", "year":"4", "couponrate":"8", "benefittype":"A", "benefitrate":"400", "premiumrate":"1.01"}</v>
      </c>
      <c r="J741" s="6" t="str">
        <f t="shared" si="92"/>
        <v>,</v>
      </c>
    </row>
    <row r="742" spans="1:10">
      <c r="A742" s="4" t="str">
        <f>'EN60'!A$3</f>
        <v>EN60</v>
      </c>
      <c r="B742" s="4">
        <f t="shared" si="93"/>
        <v>22</v>
      </c>
      <c r="C742" s="4">
        <f t="shared" si="94"/>
        <v>5</v>
      </c>
      <c r="D742" s="4">
        <f t="shared" si="88"/>
        <v>8</v>
      </c>
      <c r="E742" s="4" t="s">
        <v>27</v>
      </c>
      <c r="F742" s="4">
        <f t="shared" si="89"/>
        <v>500</v>
      </c>
      <c r="G742" s="5">
        <f t="shared" si="95"/>
        <v>1.01</v>
      </c>
      <c r="H742" s="6" t="str">
        <f t="shared" si="90"/>
        <v>INSERT INTO public.coupon (plancode, age, "year", couponrate, benefittype, benefitrate, premiumrate) VALUES('EN60', 22, 5, 8, 'A',500, 1.01);</v>
      </c>
      <c r="I742" s="6" t="str">
        <f t="shared" si="91"/>
        <v>{"age":"22", "year":"5", "couponrate":"8", "benefittype":"A", "benefitrate":"500", "premiumrate":"1.01"}</v>
      </c>
      <c r="J742" s="6" t="str">
        <f t="shared" si="92"/>
        <v>,</v>
      </c>
    </row>
    <row r="743" spans="1:10">
      <c r="A743" s="4" t="str">
        <f>'EN60'!A$3</f>
        <v>EN60</v>
      </c>
      <c r="B743" s="4">
        <f t="shared" si="93"/>
        <v>22</v>
      </c>
      <c r="C743" s="4">
        <f t="shared" si="94"/>
        <v>6</v>
      </c>
      <c r="D743" s="4">
        <f t="shared" si="88"/>
        <v>8</v>
      </c>
      <c r="E743" s="4" t="s">
        <v>27</v>
      </c>
      <c r="F743" s="4">
        <f t="shared" si="89"/>
        <v>600</v>
      </c>
      <c r="G743" s="5">
        <f t="shared" si="95"/>
        <v>1.01</v>
      </c>
      <c r="H743" s="6" t="str">
        <f t="shared" si="90"/>
        <v>INSERT INTO public.coupon (plancode, age, "year", couponrate, benefittype, benefitrate, premiumrate) VALUES('EN60', 22, 6, 8, 'A',600, 1.01);</v>
      </c>
      <c r="I743" s="6" t="str">
        <f t="shared" si="91"/>
        <v>{"age":"22", "year":"6", "couponrate":"8", "benefittype":"A", "benefitrate":"600", "premiumrate":"1.01"}</v>
      </c>
      <c r="J743" s="6" t="str">
        <f t="shared" si="92"/>
        <v>,</v>
      </c>
    </row>
    <row r="744" spans="1:10">
      <c r="A744" s="4" t="str">
        <f>'EN60'!A$3</f>
        <v>EN60</v>
      </c>
      <c r="B744" s="4">
        <f t="shared" si="93"/>
        <v>22</v>
      </c>
      <c r="C744" s="4">
        <f t="shared" si="94"/>
        <v>7</v>
      </c>
      <c r="D744" s="4">
        <f t="shared" si="88"/>
        <v>8</v>
      </c>
      <c r="E744" s="4" t="s">
        <v>27</v>
      </c>
      <c r="F744" s="4">
        <f t="shared" si="89"/>
        <v>700</v>
      </c>
      <c r="G744" s="5">
        <f t="shared" si="95"/>
        <v>1.01</v>
      </c>
      <c r="H744" s="6" t="str">
        <f t="shared" si="90"/>
        <v>INSERT INTO public.coupon (plancode, age, "year", couponrate, benefittype, benefitrate, premiumrate) VALUES('EN60', 22, 7, 8, 'A',700, 1.01);</v>
      </c>
      <c r="I744" s="6" t="str">
        <f t="shared" si="91"/>
        <v>{"age":"22", "year":"7", "couponrate":"8", "benefittype":"A", "benefitrate":"700", "premiumrate":"1.01"}</v>
      </c>
      <c r="J744" s="6" t="str">
        <f t="shared" si="92"/>
        <v>,</v>
      </c>
    </row>
    <row r="745" spans="1:10">
      <c r="A745" s="4" t="str">
        <f>'EN60'!A$3</f>
        <v>EN60</v>
      </c>
      <c r="B745" s="4">
        <f t="shared" si="93"/>
        <v>22</v>
      </c>
      <c r="C745" s="4">
        <f t="shared" si="94"/>
        <v>8</v>
      </c>
      <c r="D745" s="4">
        <f t="shared" si="88"/>
        <v>8</v>
      </c>
      <c r="E745" s="4" t="s">
        <v>27</v>
      </c>
      <c r="F745" s="4">
        <f t="shared" si="89"/>
        <v>800</v>
      </c>
      <c r="G745" s="5">
        <f t="shared" si="95"/>
        <v>1.01</v>
      </c>
      <c r="H745" s="6" t="str">
        <f t="shared" si="90"/>
        <v>INSERT INTO public.coupon (plancode, age, "year", couponrate, benefittype, benefitrate, premiumrate) VALUES('EN60', 22, 8, 8, 'A',800, 1.01);</v>
      </c>
      <c r="I745" s="6" t="str">
        <f t="shared" si="91"/>
        <v>{"age":"22", "year":"8", "couponrate":"8", "benefittype":"A", "benefitrate":"800", "premiumrate":"1.01"}</v>
      </c>
      <c r="J745" s="6" t="str">
        <f t="shared" si="92"/>
        <v>,</v>
      </c>
    </row>
    <row r="746" spans="1:10">
      <c r="A746" s="4" t="str">
        <f>'EN60'!A$3</f>
        <v>EN60</v>
      </c>
      <c r="B746" s="4">
        <f t="shared" si="93"/>
        <v>22</v>
      </c>
      <c r="C746" s="4">
        <f t="shared" si="94"/>
        <v>9</v>
      </c>
      <c r="D746" s="4">
        <f t="shared" si="88"/>
        <v>8</v>
      </c>
      <c r="E746" s="4" t="s">
        <v>27</v>
      </c>
      <c r="F746" s="4">
        <f t="shared" si="89"/>
        <v>800</v>
      </c>
      <c r="G746" s="5">
        <f t="shared" si="95"/>
        <v>1.01</v>
      </c>
      <c r="H746" s="6" t="str">
        <f t="shared" si="90"/>
        <v>INSERT INTO public.coupon (plancode, age, "year", couponrate, benefittype, benefitrate, premiumrate) VALUES('EN60', 22, 9, 8, 'A',800, 1.01);</v>
      </c>
      <c r="I746" s="6" t="str">
        <f t="shared" si="91"/>
        <v>{"age":"22", "year":"9", "couponrate":"8", "benefittype":"A", "benefitrate":"800", "premiumrate":"1.01"}</v>
      </c>
      <c r="J746" s="6" t="str">
        <f t="shared" si="92"/>
        <v>,</v>
      </c>
    </row>
    <row r="747" spans="1:10">
      <c r="A747" s="4" t="str">
        <f>'EN60'!A$3</f>
        <v>EN60</v>
      </c>
      <c r="B747" s="4">
        <f t="shared" si="93"/>
        <v>22</v>
      </c>
      <c r="C747" s="4">
        <f t="shared" si="94"/>
        <v>10</v>
      </c>
      <c r="D747" s="4">
        <f t="shared" si="88"/>
        <v>8</v>
      </c>
      <c r="E747" s="4" t="s">
        <v>27</v>
      </c>
      <c r="F747" s="4">
        <f t="shared" si="89"/>
        <v>800</v>
      </c>
      <c r="G747" s="5">
        <f t="shared" si="95"/>
        <v>1.01</v>
      </c>
      <c r="H747" s="6" t="str">
        <f t="shared" si="90"/>
        <v>INSERT INTO public.coupon (plancode, age, "year", couponrate, benefittype, benefitrate, premiumrate) VALUES('EN60', 22, 10, 8, 'A',800, 1.01);</v>
      </c>
      <c r="I747" s="6" t="str">
        <f t="shared" si="91"/>
        <v>{"age":"22", "year":"10", "couponrate":"8", "benefittype":"A", "benefitrate":"800", "premiumrate":"1.01"}</v>
      </c>
      <c r="J747" s="6" t="str">
        <f t="shared" si="92"/>
        <v>,</v>
      </c>
    </row>
    <row r="748" spans="1:10">
      <c r="A748" s="4" t="str">
        <f>'EN60'!A$3</f>
        <v>EN60</v>
      </c>
      <c r="B748" s="4">
        <f t="shared" si="93"/>
        <v>22</v>
      </c>
      <c r="C748" s="4">
        <f t="shared" si="94"/>
        <v>11</v>
      </c>
      <c r="D748" s="4">
        <f t="shared" si="88"/>
        <v>8</v>
      </c>
      <c r="E748" s="4" t="s">
        <v>27</v>
      </c>
      <c r="F748" s="4">
        <f t="shared" si="89"/>
        <v>800</v>
      </c>
      <c r="G748" s="5">
        <f t="shared" si="95"/>
        <v>1.01</v>
      </c>
      <c r="H748" s="6" t="str">
        <f t="shared" si="90"/>
        <v>INSERT INTO public.coupon (plancode, age, "year", couponrate, benefittype, benefitrate, premiumrate) VALUES('EN60', 22, 11, 8, 'A',800, 1.01);</v>
      </c>
      <c r="I748" s="6" t="str">
        <f t="shared" si="91"/>
        <v>{"age":"22", "year":"11", "couponrate":"8", "benefittype":"A", "benefitrate":"800", "premiumrate":"1.01"}</v>
      </c>
      <c r="J748" s="6" t="str">
        <f t="shared" si="92"/>
        <v>,</v>
      </c>
    </row>
    <row r="749" spans="1:10">
      <c r="A749" s="4" t="str">
        <f>'EN60'!A$3</f>
        <v>EN60</v>
      </c>
      <c r="B749" s="4">
        <f t="shared" si="93"/>
        <v>22</v>
      </c>
      <c r="C749" s="4">
        <f t="shared" si="94"/>
        <v>12</v>
      </c>
      <c r="D749" s="4">
        <f t="shared" si="88"/>
        <v>8</v>
      </c>
      <c r="E749" s="4" t="s">
        <v>27</v>
      </c>
      <c r="F749" s="4">
        <f t="shared" si="89"/>
        <v>800</v>
      </c>
      <c r="G749" s="5">
        <f t="shared" si="95"/>
        <v>1.01</v>
      </c>
      <c r="H749" s="6" t="str">
        <f t="shared" si="90"/>
        <v>INSERT INTO public.coupon (plancode, age, "year", couponrate, benefittype, benefitrate, premiumrate) VALUES('EN60', 22, 12, 8, 'A',800, 1.01);</v>
      </c>
      <c r="I749" s="6" t="str">
        <f t="shared" si="91"/>
        <v>{"age":"22", "year":"12", "couponrate":"8", "benefittype":"A", "benefitrate":"800", "premiumrate":"1.01"}</v>
      </c>
      <c r="J749" s="6" t="str">
        <f t="shared" si="92"/>
        <v>,</v>
      </c>
    </row>
    <row r="750" spans="1:10">
      <c r="A750" s="4" t="str">
        <f>'EN60'!A$3</f>
        <v>EN60</v>
      </c>
      <c r="B750" s="4">
        <f t="shared" si="93"/>
        <v>22</v>
      </c>
      <c r="C750" s="4">
        <f t="shared" si="94"/>
        <v>13</v>
      </c>
      <c r="D750" s="4">
        <f t="shared" si="88"/>
        <v>8</v>
      </c>
      <c r="E750" s="4" t="s">
        <v>27</v>
      </c>
      <c r="F750" s="4">
        <f t="shared" si="89"/>
        <v>800</v>
      </c>
      <c r="G750" s="5">
        <f t="shared" si="95"/>
        <v>1.01</v>
      </c>
      <c r="H750" s="6" t="str">
        <f t="shared" si="90"/>
        <v>INSERT INTO public.coupon (plancode, age, "year", couponrate, benefittype, benefitrate, premiumrate) VALUES('EN60', 22, 13, 8, 'A',800, 1.01);</v>
      </c>
      <c r="I750" s="6" t="str">
        <f t="shared" si="91"/>
        <v>{"age":"22", "year":"13", "couponrate":"8", "benefittype":"A", "benefitrate":"800", "premiumrate":"1.01"}</v>
      </c>
      <c r="J750" s="6" t="str">
        <f t="shared" si="92"/>
        <v>,</v>
      </c>
    </row>
    <row r="751" spans="1:10">
      <c r="A751" s="4" t="str">
        <f>'EN60'!A$3</f>
        <v>EN60</v>
      </c>
      <c r="B751" s="4">
        <f t="shared" si="93"/>
        <v>22</v>
      </c>
      <c r="C751" s="4">
        <f t="shared" si="94"/>
        <v>14</v>
      </c>
      <c r="D751" s="4">
        <f t="shared" si="88"/>
        <v>8</v>
      </c>
      <c r="E751" s="4" t="s">
        <v>27</v>
      </c>
      <c r="F751" s="4">
        <f t="shared" si="89"/>
        <v>800</v>
      </c>
      <c r="G751" s="5">
        <f t="shared" si="95"/>
        <v>1.01</v>
      </c>
      <c r="H751" s="6" t="str">
        <f t="shared" si="90"/>
        <v>INSERT INTO public.coupon (plancode, age, "year", couponrate, benefittype, benefitrate, premiumrate) VALUES('EN60', 22, 14, 8, 'A',800, 1.01);</v>
      </c>
      <c r="I751" s="6" t="str">
        <f t="shared" si="91"/>
        <v>{"age":"22", "year":"14", "couponrate":"8", "benefittype":"A", "benefitrate":"800", "premiumrate":"1.01"}</v>
      </c>
      <c r="J751" s="6" t="str">
        <f t="shared" si="92"/>
        <v>,</v>
      </c>
    </row>
    <row r="752" spans="1:10">
      <c r="A752" s="4" t="str">
        <f>'EN60'!A$3</f>
        <v>EN60</v>
      </c>
      <c r="B752" s="4">
        <f t="shared" si="93"/>
        <v>22</v>
      </c>
      <c r="C752" s="4">
        <f t="shared" si="94"/>
        <v>15</v>
      </c>
      <c r="D752" s="4">
        <f t="shared" si="88"/>
        <v>8</v>
      </c>
      <c r="E752" s="4" t="s">
        <v>27</v>
      </c>
      <c r="F752" s="4">
        <f t="shared" si="89"/>
        <v>800</v>
      </c>
      <c r="G752" s="5">
        <f t="shared" si="95"/>
        <v>1.01</v>
      </c>
      <c r="H752" s="6" t="str">
        <f t="shared" si="90"/>
        <v>INSERT INTO public.coupon (plancode, age, "year", couponrate, benefittype, benefitrate, premiumrate) VALUES('EN60', 22, 15, 8, 'A',800, 1.01);</v>
      </c>
      <c r="I752" s="6" t="str">
        <f t="shared" si="91"/>
        <v>{"age":"22", "year":"15", "couponrate":"8", "benefittype":"A", "benefitrate":"800", "premiumrate":"1.01"}</v>
      </c>
      <c r="J752" s="6" t="str">
        <f t="shared" si="92"/>
        <v>,</v>
      </c>
    </row>
    <row r="753" spans="1:10">
      <c r="A753" s="4" t="str">
        <f>'EN60'!A$3</f>
        <v>EN60</v>
      </c>
      <c r="B753" s="4">
        <f t="shared" si="93"/>
        <v>22</v>
      </c>
      <c r="C753" s="4">
        <f t="shared" si="94"/>
        <v>16</v>
      </c>
      <c r="D753" s="4">
        <f t="shared" si="88"/>
        <v>8</v>
      </c>
      <c r="E753" s="4" t="s">
        <v>27</v>
      </c>
      <c r="F753" s="4">
        <f t="shared" si="89"/>
        <v>800</v>
      </c>
      <c r="G753" s="5">
        <f t="shared" si="95"/>
        <v>1.01</v>
      </c>
      <c r="H753" s="6" t="str">
        <f t="shared" si="90"/>
        <v>INSERT INTO public.coupon (plancode, age, "year", couponrate, benefittype, benefitrate, premiumrate) VALUES('EN60', 22, 16, 8, 'A',800, 1.01);</v>
      </c>
      <c r="I753" s="6" t="str">
        <f t="shared" si="91"/>
        <v>{"age":"22", "year":"16", "couponrate":"8", "benefittype":"A", "benefitrate":"800", "premiumrate":"1.01"}</v>
      </c>
      <c r="J753" s="6" t="str">
        <f t="shared" si="92"/>
        <v>,</v>
      </c>
    </row>
    <row r="754" spans="1:10">
      <c r="A754" s="4" t="str">
        <f>'EN60'!A$3</f>
        <v>EN60</v>
      </c>
      <c r="B754" s="4">
        <f t="shared" si="93"/>
        <v>22</v>
      </c>
      <c r="C754" s="4">
        <f t="shared" si="94"/>
        <v>17</v>
      </c>
      <c r="D754" s="4">
        <f t="shared" si="88"/>
        <v>8</v>
      </c>
      <c r="E754" s="4" t="s">
        <v>27</v>
      </c>
      <c r="F754" s="4">
        <f t="shared" si="89"/>
        <v>800</v>
      </c>
      <c r="G754" s="5">
        <f t="shared" si="95"/>
        <v>1.01</v>
      </c>
      <c r="H754" s="6" t="str">
        <f t="shared" si="90"/>
        <v>INSERT INTO public.coupon (plancode, age, "year", couponrate, benefittype, benefitrate, premiumrate) VALUES('EN60', 22, 17, 8, 'A',800, 1.01);</v>
      </c>
      <c r="I754" s="6" t="str">
        <f t="shared" si="91"/>
        <v>{"age":"22", "year":"17", "couponrate":"8", "benefittype":"A", "benefitrate":"800", "premiumrate":"1.01"}</v>
      </c>
      <c r="J754" s="6" t="str">
        <f t="shared" si="92"/>
        <v>,</v>
      </c>
    </row>
    <row r="755" spans="1:10">
      <c r="A755" s="4" t="str">
        <f>'EN60'!A$3</f>
        <v>EN60</v>
      </c>
      <c r="B755" s="4">
        <f t="shared" si="93"/>
        <v>22</v>
      </c>
      <c r="C755" s="4">
        <f t="shared" si="94"/>
        <v>18</v>
      </c>
      <c r="D755" s="4">
        <f t="shared" si="88"/>
        <v>8</v>
      </c>
      <c r="E755" s="4" t="s">
        <v>27</v>
      </c>
      <c r="F755" s="4">
        <f t="shared" si="89"/>
        <v>800</v>
      </c>
      <c r="G755" s="5">
        <f t="shared" si="95"/>
        <v>1.01</v>
      </c>
      <c r="H755" s="6" t="str">
        <f t="shared" si="90"/>
        <v>INSERT INTO public.coupon (plancode, age, "year", couponrate, benefittype, benefitrate, premiumrate) VALUES('EN60', 22, 18, 8, 'A',800, 1.01);</v>
      </c>
      <c r="I755" s="6" t="str">
        <f t="shared" si="91"/>
        <v>{"age":"22", "year":"18", "couponrate":"8", "benefittype":"A", "benefitrate":"800", "premiumrate":"1.01"}</v>
      </c>
      <c r="J755" s="6" t="str">
        <f t="shared" si="92"/>
        <v>,</v>
      </c>
    </row>
    <row r="756" spans="1:10">
      <c r="A756" s="4" t="str">
        <f>'EN60'!A$3</f>
        <v>EN60</v>
      </c>
      <c r="B756" s="4">
        <f t="shared" si="93"/>
        <v>22</v>
      </c>
      <c r="C756" s="4">
        <f t="shared" si="94"/>
        <v>19</v>
      </c>
      <c r="D756" s="4">
        <f t="shared" si="88"/>
        <v>8</v>
      </c>
      <c r="E756" s="4" t="s">
        <v>27</v>
      </c>
      <c r="F756" s="4">
        <f t="shared" si="89"/>
        <v>800</v>
      </c>
      <c r="G756" s="5">
        <f t="shared" si="95"/>
        <v>1.01</v>
      </c>
      <c r="H756" s="6" t="str">
        <f t="shared" si="90"/>
        <v>INSERT INTO public.coupon (plancode, age, "year", couponrate, benefittype, benefitrate, premiumrate) VALUES('EN60', 22, 19, 8, 'A',800, 1.01);</v>
      </c>
      <c r="I756" s="6" t="str">
        <f t="shared" si="91"/>
        <v>{"age":"22", "year":"19", "couponrate":"8", "benefittype":"A", "benefitrate":"800", "premiumrate":"1.01"}</v>
      </c>
      <c r="J756" s="6" t="str">
        <f t="shared" si="92"/>
        <v>,</v>
      </c>
    </row>
    <row r="757" spans="1:10">
      <c r="A757" s="4" t="str">
        <f>'EN60'!A$3</f>
        <v>EN60</v>
      </c>
      <c r="B757" s="4">
        <f t="shared" si="93"/>
        <v>22</v>
      </c>
      <c r="C757" s="4">
        <f t="shared" si="94"/>
        <v>20</v>
      </c>
      <c r="D757" s="4">
        <f t="shared" si="88"/>
        <v>8</v>
      </c>
      <c r="E757" s="4" t="s">
        <v>27</v>
      </c>
      <c r="F757" s="4">
        <f t="shared" si="89"/>
        <v>800</v>
      </c>
      <c r="G757" s="5">
        <f t="shared" si="95"/>
        <v>1.01</v>
      </c>
      <c r="H757" s="6" t="str">
        <f t="shared" si="90"/>
        <v>INSERT INTO public.coupon (plancode, age, "year", couponrate, benefittype, benefitrate, premiumrate) VALUES('EN60', 22, 20, 8, 'A',800, 1.01);</v>
      </c>
      <c r="I757" s="6" t="str">
        <f t="shared" si="91"/>
        <v>{"age":"22", "year":"20", "couponrate":"8", "benefittype":"A", "benefitrate":"800", "premiumrate":"1.01"}</v>
      </c>
      <c r="J757" s="6" t="str">
        <f t="shared" si="92"/>
        <v>,</v>
      </c>
    </row>
    <row r="758" spans="1:10">
      <c r="A758" s="4" t="str">
        <f>'EN60'!A$3</f>
        <v>EN60</v>
      </c>
      <c r="B758" s="4">
        <f t="shared" si="93"/>
        <v>22</v>
      </c>
      <c r="C758" s="4">
        <f t="shared" si="94"/>
        <v>21</v>
      </c>
      <c r="D758" s="4">
        <f t="shared" si="88"/>
        <v>8</v>
      </c>
      <c r="E758" s="4" t="s">
        <v>27</v>
      </c>
      <c r="F758" s="4">
        <f t="shared" si="89"/>
        <v>800</v>
      </c>
      <c r="G758" s="5">
        <f t="shared" si="95"/>
        <v>1.01</v>
      </c>
      <c r="H758" s="6" t="str">
        <f t="shared" si="90"/>
        <v>INSERT INTO public.coupon (plancode, age, "year", couponrate, benefittype, benefitrate, premiumrate) VALUES('EN60', 22, 21, 8, 'A',800, 1.01);</v>
      </c>
      <c r="I758" s="6" t="str">
        <f t="shared" si="91"/>
        <v>{"age":"22", "year":"21", "couponrate":"8", "benefittype":"A", "benefitrate":"800", "premiumrate":"1.01"}</v>
      </c>
      <c r="J758" s="6" t="str">
        <f t="shared" si="92"/>
        <v>,</v>
      </c>
    </row>
    <row r="759" spans="1:10">
      <c r="A759" s="4" t="str">
        <f>'EN60'!A$3</f>
        <v>EN60</v>
      </c>
      <c r="B759" s="4">
        <f t="shared" si="93"/>
        <v>22</v>
      </c>
      <c r="C759" s="4">
        <f t="shared" si="94"/>
        <v>22</v>
      </c>
      <c r="D759" s="4">
        <f t="shared" si="88"/>
        <v>8</v>
      </c>
      <c r="E759" s="4" t="s">
        <v>27</v>
      </c>
      <c r="F759" s="4">
        <f t="shared" si="89"/>
        <v>800</v>
      </c>
      <c r="G759" s="5">
        <f t="shared" si="95"/>
        <v>1.01</v>
      </c>
      <c r="H759" s="6" t="str">
        <f t="shared" si="90"/>
        <v>INSERT INTO public.coupon (plancode, age, "year", couponrate, benefittype, benefitrate, premiumrate) VALUES('EN60', 22, 22, 8, 'A',800, 1.01);</v>
      </c>
      <c r="I759" s="6" t="str">
        <f t="shared" si="91"/>
        <v>{"age":"22", "year":"22", "couponrate":"8", "benefittype":"A", "benefitrate":"800", "premiumrate":"1.01"}</v>
      </c>
      <c r="J759" s="6" t="str">
        <f t="shared" si="92"/>
        <v>,</v>
      </c>
    </row>
    <row r="760" spans="1:10">
      <c r="A760" s="4" t="str">
        <f>'EN60'!A$3</f>
        <v>EN60</v>
      </c>
      <c r="B760" s="4">
        <f t="shared" si="93"/>
        <v>22</v>
      </c>
      <c r="C760" s="4">
        <f t="shared" si="94"/>
        <v>23</v>
      </c>
      <c r="D760" s="4">
        <f t="shared" si="88"/>
        <v>8</v>
      </c>
      <c r="E760" s="4" t="s">
        <v>27</v>
      </c>
      <c r="F760" s="4">
        <f t="shared" si="89"/>
        <v>800</v>
      </c>
      <c r="G760" s="5">
        <f t="shared" si="95"/>
        <v>1.01</v>
      </c>
      <c r="H760" s="6" t="str">
        <f t="shared" si="90"/>
        <v>INSERT INTO public.coupon (plancode, age, "year", couponrate, benefittype, benefitrate, premiumrate) VALUES('EN60', 22, 23, 8, 'A',800, 1.01);</v>
      </c>
      <c r="I760" s="6" t="str">
        <f t="shared" si="91"/>
        <v>{"age":"22", "year":"23", "couponrate":"8", "benefittype":"A", "benefitrate":"800", "premiumrate":"1.01"}</v>
      </c>
      <c r="J760" s="6" t="str">
        <f t="shared" si="92"/>
        <v>,</v>
      </c>
    </row>
    <row r="761" spans="1:10">
      <c r="A761" s="4" t="str">
        <f>'EN60'!A$3</f>
        <v>EN60</v>
      </c>
      <c r="B761" s="4">
        <f t="shared" si="93"/>
        <v>22</v>
      </c>
      <c r="C761" s="4">
        <f t="shared" si="94"/>
        <v>24</v>
      </c>
      <c r="D761" s="4">
        <f t="shared" si="88"/>
        <v>8</v>
      </c>
      <c r="E761" s="4" t="s">
        <v>27</v>
      </c>
      <c r="F761" s="4">
        <f t="shared" si="89"/>
        <v>800</v>
      </c>
      <c r="G761" s="5">
        <f t="shared" si="95"/>
        <v>1.01</v>
      </c>
      <c r="H761" s="6" t="str">
        <f t="shared" si="90"/>
        <v>INSERT INTO public.coupon (plancode, age, "year", couponrate, benefittype, benefitrate, premiumrate) VALUES('EN60', 22, 24, 8, 'A',800, 1.01);</v>
      </c>
      <c r="I761" s="6" t="str">
        <f t="shared" si="91"/>
        <v>{"age":"22", "year":"24", "couponrate":"8", "benefittype":"A", "benefitrate":"800", "premiumrate":"1.01"}</v>
      </c>
      <c r="J761" s="6" t="str">
        <f t="shared" si="92"/>
        <v>,</v>
      </c>
    </row>
    <row r="762" spans="1:10">
      <c r="A762" s="4" t="str">
        <f>'EN60'!A$3</f>
        <v>EN60</v>
      </c>
      <c r="B762" s="4">
        <f t="shared" si="93"/>
        <v>22</v>
      </c>
      <c r="C762" s="4">
        <f t="shared" si="94"/>
        <v>25</v>
      </c>
      <c r="D762" s="4">
        <f t="shared" si="88"/>
        <v>8</v>
      </c>
      <c r="E762" s="4" t="s">
        <v>27</v>
      </c>
      <c r="F762" s="4">
        <f t="shared" si="89"/>
        <v>800</v>
      </c>
      <c r="G762" s="5">
        <f t="shared" si="95"/>
        <v>1.01</v>
      </c>
      <c r="H762" s="6" t="str">
        <f t="shared" si="90"/>
        <v>INSERT INTO public.coupon (plancode, age, "year", couponrate, benefittype, benefitrate, premiumrate) VALUES('EN60', 22, 25, 8, 'A',800, 1.01);</v>
      </c>
      <c r="I762" s="6" t="str">
        <f t="shared" si="91"/>
        <v>{"age":"22", "year":"25", "couponrate":"8", "benefittype":"A", "benefitrate":"800", "premiumrate":"1.01"}</v>
      </c>
      <c r="J762" s="6" t="str">
        <f t="shared" si="92"/>
        <v>,</v>
      </c>
    </row>
    <row r="763" spans="1:10">
      <c r="A763" s="4" t="str">
        <f>'EN60'!A$3</f>
        <v>EN60</v>
      </c>
      <c r="B763" s="4">
        <f t="shared" si="93"/>
        <v>22</v>
      </c>
      <c r="C763" s="4">
        <f t="shared" si="94"/>
        <v>26</v>
      </c>
      <c r="D763" s="4">
        <f t="shared" si="88"/>
        <v>8</v>
      </c>
      <c r="E763" s="4" t="s">
        <v>27</v>
      </c>
      <c r="F763" s="4">
        <f t="shared" si="89"/>
        <v>800</v>
      </c>
      <c r="G763" s="5">
        <f t="shared" si="95"/>
        <v>1.01</v>
      </c>
      <c r="H763" s="6" t="str">
        <f t="shared" si="90"/>
        <v>INSERT INTO public.coupon (plancode, age, "year", couponrate, benefittype, benefitrate, premiumrate) VALUES('EN60', 22, 26, 8, 'A',800, 1.01);</v>
      </c>
      <c r="I763" s="6" t="str">
        <f t="shared" si="91"/>
        <v>{"age":"22", "year":"26", "couponrate":"8", "benefittype":"A", "benefitrate":"800", "premiumrate":"1.01"}</v>
      </c>
      <c r="J763" s="6" t="str">
        <f t="shared" si="92"/>
        <v>,</v>
      </c>
    </row>
    <row r="764" spans="1:10">
      <c r="A764" s="4" t="str">
        <f>'EN60'!A$3</f>
        <v>EN60</v>
      </c>
      <c r="B764" s="4">
        <f t="shared" si="93"/>
        <v>22</v>
      </c>
      <c r="C764" s="4">
        <f t="shared" si="94"/>
        <v>27</v>
      </c>
      <c r="D764" s="4">
        <f t="shared" si="88"/>
        <v>8</v>
      </c>
      <c r="E764" s="4" t="s">
        <v>27</v>
      </c>
      <c r="F764" s="4">
        <f t="shared" si="89"/>
        <v>800</v>
      </c>
      <c r="G764" s="5">
        <f t="shared" si="95"/>
        <v>1.01</v>
      </c>
      <c r="H764" s="6" t="str">
        <f t="shared" si="90"/>
        <v>INSERT INTO public.coupon (plancode, age, "year", couponrate, benefittype, benefitrate, premiumrate) VALUES('EN60', 22, 27, 8, 'A',800, 1.01);</v>
      </c>
      <c r="I764" s="6" t="str">
        <f t="shared" si="91"/>
        <v>{"age":"22", "year":"27", "couponrate":"8", "benefittype":"A", "benefitrate":"800", "premiumrate":"1.01"}</v>
      </c>
      <c r="J764" s="6" t="str">
        <f t="shared" si="92"/>
        <v>,</v>
      </c>
    </row>
    <row r="765" spans="1:10">
      <c r="A765" s="4" t="str">
        <f>'EN60'!A$3</f>
        <v>EN60</v>
      </c>
      <c r="B765" s="4">
        <f t="shared" si="93"/>
        <v>22</v>
      </c>
      <c r="C765" s="4">
        <f t="shared" si="94"/>
        <v>28</v>
      </c>
      <c r="D765" s="4">
        <f t="shared" si="88"/>
        <v>8</v>
      </c>
      <c r="E765" s="4" t="s">
        <v>27</v>
      </c>
      <c r="F765" s="4">
        <f t="shared" si="89"/>
        <v>800</v>
      </c>
      <c r="G765" s="5">
        <f t="shared" si="95"/>
        <v>1.01</v>
      </c>
      <c r="H765" s="6" t="str">
        <f t="shared" si="90"/>
        <v>INSERT INTO public.coupon (plancode, age, "year", couponrate, benefittype, benefitrate, premiumrate) VALUES('EN60', 22, 28, 8, 'A',800, 1.01);</v>
      </c>
      <c r="I765" s="6" t="str">
        <f t="shared" si="91"/>
        <v>{"age":"22", "year":"28", "couponrate":"8", "benefittype":"A", "benefitrate":"800", "premiumrate":"1.01"}</v>
      </c>
      <c r="J765" s="6" t="str">
        <f t="shared" si="92"/>
        <v>,</v>
      </c>
    </row>
    <row r="766" spans="1:10">
      <c r="A766" s="4" t="str">
        <f>'EN60'!A$3</f>
        <v>EN60</v>
      </c>
      <c r="B766" s="4">
        <f t="shared" si="93"/>
        <v>22</v>
      </c>
      <c r="C766" s="4">
        <f t="shared" si="94"/>
        <v>29</v>
      </c>
      <c r="D766" s="4">
        <f t="shared" si="88"/>
        <v>8</v>
      </c>
      <c r="E766" s="4" t="s">
        <v>27</v>
      </c>
      <c r="F766" s="4">
        <f t="shared" si="89"/>
        <v>800</v>
      </c>
      <c r="G766" s="5">
        <f t="shared" si="95"/>
        <v>1.01</v>
      </c>
      <c r="H766" s="6" t="str">
        <f t="shared" si="90"/>
        <v>INSERT INTO public.coupon (plancode, age, "year", couponrate, benefittype, benefitrate, premiumrate) VALUES('EN60', 22, 29, 8, 'A',800, 1.01);</v>
      </c>
      <c r="I766" s="6" t="str">
        <f t="shared" si="91"/>
        <v>{"age":"22", "year":"29", "couponrate":"8", "benefittype":"A", "benefitrate":"800", "premiumrate":"1.01"}</v>
      </c>
      <c r="J766" s="6" t="str">
        <f t="shared" si="92"/>
        <v>,</v>
      </c>
    </row>
    <row r="767" spans="1:10">
      <c r="A767" s="4" t="str">
        <f>'EN60'!A$3</f>
        <v>EN60</v>
      </c>
      <c r="B767" s="4">
        <f t="shared" si="93"/>
        <v>22</v>
      </c>
      <c r="C767" s="4">
        <f t="shared" si="94"/>
        <v>30</v>
      </c>
      <c r="D767" s="4">
        <f t="shared" si="88"/>
        <v>8</v>
      </c>
      <c r="E767" s="4" t="s">
        <v>27</v>
      </c>
      <c r="F767" s="4">
        <f t="shared" si="89"/>
        <v>800</v>
      </c>
      <c r="G767" s="5">
        <f t="shared" si="95"/>
        <v>1.01</v>
      </c>
      <c r="H767" s="6" t="str">
        <f t="shared" si="90"/>
        <v>INSERT INTO public.coupon (plancode, age, "year", couponrate, benefittype, benefitrate, premiumrate) VALUES('EN60', 22, 30, 8, 'A',800, 1.01);</v>
      </c>
      <c r="I767" s="6" t="str">
        <f t="shared" si="91"/>
        <v>{"age":"22", "year":"30", "couponrate":"8", "benefittype":"A", "benefitrate":"800", "premiumrate":"1.01"}</v>
      </c>
      <c r="J767" s="6" t="str">
        <f t="shared" si="92"/>
        <v>,</v>
      </c>
    </row>
    <row r="768" spans="1:10">
      <c r="A768" s="4" t="str">
        <f>'EN60'!A$3</f>
        <v>EN60</v>
      </c>
      <c r="B768" s="4">
        <f t="shared" si="93"/>
        <v>22</v>
      </c>
      <c r="C768" s="4">
        <f t="shared" si="94"/>
        <v>31</v>
      </c>
      <c r="D768" s="4">
        <f t="shared" si="88"/>
        <v>8</v>
      </c>
      <c r="E768" s="4" t="s">
        <v>27</v>
      </c>
      <c r="F768" s="4">
        <f t="shared" si="89"/>
        <v>800</v>
      </c>
      <c r="G768" s="5">
        <f t="shared" si="95"/>
        <v>1.01</v>
      </c>
      <c r="H768" s="6" t="str">
        <f t="shared" si="90"/>
        <v>INSERT INTO public.coupon (plancode, age, "year", couponrate, benefittype, benefitrate, premiumrate) VALUES('EN60', 22, 31, 8, 'A',800, 1.01);</v>
      </c>
      <c r="I768" s="6" t="str">
        <f t="shared" si="91"/>
        <v>{"age":"22", "year":"31", "couponrate":"8", "benefittype":"A", "benefitrate":"800", "premiumrate":"1.01"}</v>
      </c>
      <c r="J768" s="6" t="str">
        <f t="shared" si="92"/>
        <v>,</v>
      </c>
    </row>
    <row r="769" spans="1:10">
      <c r="A769" s="4" t="str">
        <f>'EN60'!A$3</f>
        <v>EN60</v>
      </c>
      <c r="B769" s="4">
        <f t="shared" si="93"/>
        <v>22</v>
      </c>
      <c r="C769" s="4">
        <f t="shared" si="94"/>
        <v>32</v>
      </c>
      <c r="D769" s="4">
        <f t="shared" si="88"/>
        <v>8</v>
      </c>
      <c r="E769" s="4" t="s">
        <v>27</v>
      </c>
      <c r="F769" s="4">
        <f t="shared" si="89"/>
        <v>800</v>
      </c>
      <c r="G769" s="5">
        <f t="shared" si="95"/>
        <v>1.01</v>
      </c>
      <c r="H769" s="6" t="str">
        <f t="shared" si="90"/>
        <v>INSERT INTO public.coupon (plancode, age, "year", couponrate, benefittype, benefitrate, premiumrate) VALUES('EN60', 22, 32, 8, 'A',800, 1.01);</v>
      </c>
      <c r="I769" s="6" t="str">
        <f t="shared" si="91"/>
        <v>{"age":"22", "year":"32", "couponrate":"8", "benefittype":"A", "benefitrate":"800", "premiumrate":"1.01"}</v>
      </c>
      <c r="J769" s="6" t="str">
        <f t="shared" si="92"/>
        <v>,</v>
      </c>
    </row>
    <row r="770" spans="1:10">
      <c r="A770" s="4" t="str">
        <f>'EN60'!A$3</f>
        <v>EN60</v>
      </c>
      <c r="B770" s="4">
        <f t="shared" si="93"/>
        <v>22</v>
      </c>
      <c r="C770" s="4">
        <f t="shared" si="94"/>
        <v>33</v>
      </c>
      <c r="D770" s="4">
        <f t="shared" si="88"/>
        <v>8</v>
      </c>
      <c r="E770" s="4" t="s">
        <v>27</v>
      </c>
      <c r="F770" s="4">
        <f t="shared" si="89"/>
        <v>800</v>
      </c>
      <c r="G770" s="5">
        <f t="shared" si="95"/>
        <v>1.01</v>
      </c>
      <c r="H770" s="6" t="str">
        <f t="shared" si="90"/>
        <v>INSERT INTO public.coupon (plancode, age, "year", couponrate, benefittype, benefitrate, premiumrate) VALUES('EN60', 22, 33, 8, 'A',800, 1.01);</v>
      </c>
      <c r="I770" s="6" t="str">
        <f t="shared" si="91"/>
        <v>{"age":"22", "year":"33", "couponrate":"8", "benefittype":"A", "benefitrate":"800", "premiumrate":"1.01"}</v>
      </c>
      <c r="J770" s="6" t="str">
        <f t="shared" si="92"/>
        <v>,</v>
      </c>
    </row>
    <row r="771" spans="1:10">
      <c r="A771" s="4" t="str">
        <f>'EN60'!A$3</f>
        <v>EN60</v>
      </c>
      <c r="B771" s="4">
        <f t="shared" si="93"/>
        <v>22</v>
      </c>
      <c r="C771" s="4">
        <f t="shared" si="94"/>
        <v>34</v>
      </c>
      <c r="D771" s="4">
        <f t="shared" si="88"/>
        <v>8</v>
      </c>
      <c r="E771" s="4" t="s">
        <v>27</v>
      </c>
      <c r="F771" s="4">
        <f t="shared" si="89"/>
        <v>800</v>
      </c>
      <c r="G771" s="5">
        <f t="shared" si="95"/>
        <v>1.01</v>
      </c>
      <c r="H771" s="6" t="str">
        <f t="shared" si="90"/>
        <v>INSERT INTO public.coupon (plancode, age, "year", couponrate, benefittype, benefitrate, premiumrate) VALUES('EN60', 22, 34, 8, 'A',800, 1.01);</v>
      </c>
      <c r="I771" s="6" t="str">
        <f t="shared" si="91"/>
        <v>{"age":"22", "year":"34", "couponrate":"8", "benefittype":"A", "benefitrate":"800", "premiumrate":"1.01"}</v>
      </c>
      <c r="J771" s="6" t="str">
        <f t="shared" si="92"/>
        <v>,</v>
      </c>
    </row>
    <row r="772" spans="1:10">
      <c r="A772" s="4" t="str">
        <f>'EN60'!A$3</f>
        <v>EN60</v>
      </c>
      <c r="B772" s="4">
        <f t="shared" si="93"/>
        <v>22</v>
      </c>
      <c r="C772" s="4">
        <f t="shared" si="94"/>
        <v>35</v>
      </c>
      <c r="D772" s="4">
        <f t="shared" si="88"/>
        <v>8</v>
      </c>
      <c r="E772" s="4" t="s">
        <v>27</v>
      </c>
      <c r="F772" s="4">
        <f t="shared" si="89"/>
        <v>800</v>
      </c>
      <c r="G772" s="5">
        <f t="shared" si="95"/>
        <v>1.01</v>
      </c>
      <c r="H772" s="6" t="str">
        <f t="shared" si="90"/>
        <v>INSERT INTO public.coupon (plancode, age, "year", couponrate, benefittype, benefitrate, premiumrate) VALUES('EN60', 22, 35, 8, 'A',800, 1.01);</v>
      </c>
      <c r="I772" s="6" t="str">
        <f t="shared" si="91"/>
        <v>{"age":"22", "year":"35", "couponrate":"8", "benefittype":"A", "benefitrate":"800", "premiumrate":"1.01"}</v>
      </c>
      <c r="J772" s="6" t="str">
        <f t="shared" si="92"/>
        <v>,</v>
      </c>
    </row>
    <row r="773" spans="1:10">
      <c r="A773" s="4" t="str">
        <f>'EN60'!A$3</f>
        <v>EN60</v>
      </c>
      <c r="B773" s="4">
        <f t="shared" si="93"/>
        <v>22</v>
      </c>
      <c r="C773" s="4">
        <f t="shared" si="94"/>
        <v>36</v>
      </c>
      <c r="D773" s="4">
        <f t="shared" si="88"/>
        <v>8</v>
      </c>
      <c r="E773" s="4" t="s">
        <v>27</v>
      </c>
      <c r="F773" s="4">
        <f t="shared" si="89"/>
        <v>800</v>
      </c>
      <c r="G773" s="5">
        <f t="shared" si="95"/>
        <v>1.01</v>
      </c>
      <c r="H773" s="6" t="str">
        <f t="shared" si="90"/>
        <v>INSERT INTO public.coupon (plancode, age, "year", couponrate, benefittype, benefitrate, premiumrate) VALUES('EN60', 22, 36, 8, 'A',800, 1.01);</v>
      </c>
      <c r="I773" s="6" t="str">
        <f t="shared" si="91"/>
        <v>{"age":"22", "year":"36", "couponrate":"8", "benefittype":"A", "benefitrate":"800", "premiumrate":"1.01"}</v>
      </c>
      <c r="J773" s="6" t="str">
        <f t="shared" si="92"/>
        <v>,</v>
      </c>
    </row>
    <row r="774" spans="1:10">
      <c r="A774" s="4" t="str">
        <f>'EN60'!A$3</f>
        <v>EN60</v>
      </c>
      <c r="B774" s="4">
        <f t="shared" si="93"/>
        <v>22</v>
      </c>
      <c r="C774" s="4">
        <f t="shared" si="94"/>
        <v>37</v>
      </c>
      <c r="D774" s="4">
        <f t="shared" si="88"/>
        <v>8</v>
      </c>
      <c r="E774" s="4" t="s">
        <v>27</v>
      </c>
      <c r="F774" s="4">
        <f t="shared" si="89"/>
        <v>800</v>
      </c>
      <c r="G774" s="5">
        <f t="shared" si="95"/>
        <v>1.01</v>
      </c>
      <c r="H774" s="6" t="str">
        <f t="shared" si="90"/>
        <v>INSERT INTO public.coupon (plancode, age, "year", couponrate, benefittype, benefitrate, premiumrate) VALUES('EN60', 22, 37, 8, 'A',800, 1.01);</v>
      </c>
      <c r="I774" s="6" t="str">
        <f t="shared" si="91"/>
        <v>{"age":"22", "year":"37", "couponrate":"8", "benefittype":"A", "benefitrate":"800", "premiumrate":"1.01"}</v>
      </c>
      <c r="J774" s="6" t="str">
        <f t="shared" si="92"/>
        <v>,</v>
      </c>
    </row>
    <row r="775" spans="1:10">
      <c r="A775" s="4" t="str">
        <f>'EN60'!A$3</f>
        <v>EN60</v>
      </c>
      <c r="B775" s="4">
        <f t="shared" si="93"/>
        <v>22</v>
      </c>
      <c r="C775" s="4">
        <f t="shared" si="94"/>
        <v>38</v>
      </c>
      <c r="D775" s="4">
        <f t="shared" si="88"/>
        <v>8</v>
      </c>
      <c r="E775" s="4" t="s">
        <v>27</v>
      </c>
      <c r="F775" s="4">
        <f t="shared" si="89"/>
        <v>800</v>
      </c>
      <c r="G775" s="5">
        <f t="shared" si="95"/>
        <v>1.01</v>
      </c>
      <c r="H775" s="6" t="str">
        <f t="shared" si="90"/>
        <v>INSERT INTO public.coupon (plancode, age, "year", couponrate, benefittype, benefitrate, premiumrate) VALUES('EN60', 22, 38, 8, 'A',800, 1.01);</v>
      </c>
      <c r="I775" s="6" t="str">
        <f t="shared" si="91"/>
        <v>{"age":"22", "year":"38", "couponrate":"8", "benefittype":"A", "benefitrate":"800", "premiumrate":"1.01"}</v>
      </c>
      <c r="J775" s="6" t="str">
        <f t="shared" si="92"/>
        <v>,</v>
      </c>
    </row>
    <row r="776" spans="1:10">
      <c r="A776" s="4" t="str">
        <f>'EN60'!A$3</f>
        <v>EN60</v>
      </c>
      <c r="B776" s="4">
        <f t="shared" si="93"/>
        <v>22</v>
      </c>
      <c r="C776" s="4">
        <f t="shared" si="94"/>
        <v>39</v>
      </c>
      <c r="D776" s="4">
        <f t="shared" si="88"/>
        <v>8</v>
      </c>
      <c r="E776" s="4" t="s">
        <v>27</v>
      </c>
      <c r="F776" s="4">
        <f t="shared" si="89"/>
        <v>800</v>
      </c>
      <c r="G776" s="5">
        <f t="shared" si="95"/>
        <v>1.01</v>
      </c>
      <c r="H776" s="6" t="str">
        <f t="shared" si="90"/>
        <v>INSERT INTO public.coupon (plancode, age, "year", couponrate, benefittype, benefitrate, premiumrate) VALUES('EN60', 22, 39, 8, 'A',800, 1.01);</v>
      </c>
      <c r="I776" s="6" t="str">
        <f t="shared" si="91"/>
        <v>{"age":"22", "year":"39", "couponrate":"8", "benefittype":"A", "benefitrate":"800", "premiumrate":"1.01"}</v>
      </c>
      <c r="J776" s="6" t="str">
        <f t="shared" si="92"/>
        <v>,</v>
      </c>
    </row>
    <row r="777" spans="1:10">
      <c r="A777" s="4" t="str">
        <f>'EN60'!A$3</f>
        <v>EN60</v>
      </c>
      <c r="B777" s="4">
        <f t="shared" si="93"/>
        <v>22</v>
      </c>
      <c r="C777" s="4">
        <f t="shared" si="94"/>
        <v>40</v>
      </c>
      <c r="D777" s="4">
        <f t="shared" si="88"/>
        <v>8</v>
      </c>
      <c r="E777" s="4" t="s">
        <v>27</v>
      </c>
      <c r="F777" s="4">
        <f t="shared" si="89"/>
        <v>800</v>
      </c>
      <c r="G777" s="5">
        <f t="shared" si="95"/>
        <v>1.01</v>
      </c>
      <c r="H777" s="6" t="str">
        <f t="shared" si="90"/>
        <v>INSERT INTO public.coupon (plancode, age, "year", couponrate, benefittype, benefitrate, premiumrate) VALUES('EN60', 22, 40, 8, 'A',800, 1.01);</v>
      </c>
      <c r="I777" s="6" t="str">
        <f t="shared" si="91"/>
        <v>{"age":"22", "year":"40", "couponrate":"8", "benefittype":"A", "benefitrate":"800", "premiumrate":"1.01"}</v>
      </c>
      <c r="J777" s="6" t="str">
        <f t="shared" si="92"/>
        <v>,</v>
      </c>
    </row>
    <row r="778" spans="1:10">
      <c r="A778" s="4" t="str">
        <f>'EN60'!A$3</f>
        <v>EN60</v>
      </c>
      <c r="B778" s="4">
        <f t="shared" si="93"/>
        <v>22</v>
      </c>
      <c r="C778" s="4">
        <f t="shared" si="94"/>
        <v>41</v>
      </c>
      <c r="D778" s="4">
        <f t="shared" si="88"/>
        <v>8</v>
      </c>
      <c r="E778" s="4" t="s">
        <v>27</v>
      </c>
      <c r="F778" s="4">
        <f t="shared" si="89"/>
        <v>800</v>
      </c>
      <c r="G778" s="5">
        <f t="shared" si="95"/>
        <v>1.01</v>
      </c>
      <c r="H778" s="6" t="str">
        <f t="shared" si="90"/>
        <v>INSERT INTO public.coupon (plancode, age, "year", couponrate, benefittype, benefitrate, premiumrate) VALUES('EN60', 22, 41, 8, 'A',800, 1.01);</v>
      </c>
      <c r="I778" s="6" t="str">
        <f t="shared" si="91"/>
        <v>{"age":"22", "year":"41", "couponrate":"8", "benefittype":"A", "benefitrate":"800", "premiumrate":"1.01"}</v>
      </c>
      <c r="J778" s="6" t="str">
        <f t="shared" si="92"/>
        <v>,</v>
      </c>
    </row>
    <row r="779" spans="1:10">
      <c r="A779" s="4" t="str">
        <f>'EN60'!A$3</f>
        <v>EN60</v>
      </c>
      <c r="B779" s="4">
        <f t="shared" si="93"/>
        <v>22</v>
      </c>
      <c r="C779" s="4">
        <f t="shared" si="94"/>
        <v>42</v>
      </c>
      <c r="D779" s="4">
        <f t="shared" si="88"/>
        <v>8</v>
      </c>
      <c r="E779" s="4" t="s">
        <v>27</v>
      </c>
      <c r="F779" s="4">
        <f t="shared" si="89"/>
        <v>800</v>
      </c>
      <c r="G779" s="5">
        <f t="shared" si="95"/>
        <v>1.01</v>
      </c>
      <c r="H779" s="6" t="str">
        <f t="shared" si="90"/>
        <v>INSERT INTO public.coupon (plancode, age, "year", couponrate, benefittype, benefitrate, premiumrate) VALUES('EN60', 22, 42, 8, 'A',800, 1.01);</v>
      </c>
      <c r="I779" s="6" t="str">
        <f t="shared" si="91"/>
        <v>{"age":"22", "year":"42", "couponrate":"8", "benefittype":"A", "benefitrate":"800", "premiumrate":"1.01"}</v>
      </c>
      <c r="J779" s="6" t="str">
        <f t="shared" si="92"/>
        <v>,</v>
      </c>
    </row>
    <row r="780" spans="1:10">
      <c r="A780" s="4" t="str">
        <f>'EN60'!A$3</f>
        <v>EN60</v>
      </c>
      <c r="B780" s="4">
        <f t="shared" si="93"/>
        <v>22</v>
      </c>
      <c r="C780" s="4">
        <f t="shared" si="94"/>
        <v>43</v>
      </c>
      <c r="D780" s="4">
        <f t="shared" si="88"/>
        <v>8</v>
      </c>
      <c r="E780" s="4" t="s">
        <v>27</v>
      </c>
      <c r="F780" s="4">
        <f t="shared" si="89"/>
        <v>800</v>
      </c>
      <c r="G780" s="5">
        <f t="shared" si="95"/>
        <v>1.01</v>
      </c>
      <c r="H780" s="6" t="str">
        <f t="shared" si="90"/>
        <v>INSERT INTO public.coupon (plancode, age, "year", couponrate, benefittype, benefitrate, premiumrate) VALUES('EN60', 22, 43, 8, 'A',800, 1.01);</v>
      </c>
      <c r="I780" s="6" t="str">
        <f t="shared" si="91"/>
        <v>{"age":"22", "year":"43", "couponrate":"8", "benefittype":"A", "benefitrate":"800", "premiumrate":"1.01"}</v>
      </c>
      <c r="J780" s="6" t="str">
        <f t="shared" si="92"/>
        <v>,</v>
      </c>
    </row>
    <row r="781" spans="1:10">
      <c r="A781" s="4" t="str">
        <f>'EN60'!A$3</f>
        <v>EN60</v>
      </c>
      <c r="B781" s="4">
        <f t="shared" si="93"/>
        <v>22</v>
      </c>
      <c r="C781" s="4">
        <f t="shared" si="94"/>
        <v>44</v>
      </c>
      <c r="D781" s="4">
        <f t="shared" si="88"/>
        <v>8</v>
      </c>
      <c r="E781" s="4" t="s">
        <v>27</v>
      </c>
      <c r="F781" s="4">
        <f t="shared" si="89"/>
        <v>800</v>
      </c>
      <c r="G781" s="5">
        <f t="shared" si="95"/>
        <v>1.01</v>
      </c>
      <c r="H781" s="6" t="str">
        <f t="shared" si="90"/>
        <v>INSERT INTO public.coupon (plancode, age, "year", couponrate, benefittype, benefitrate, premiumrate) VALUES('EN60', 22, 44, 8, 'A',800, 1.01);</v>
      </c>
      <c r="I781" s="6" t="str">
        <f t="shared" si="91"/>
        <v>{"age":"22", "year":"44", "couponrate":"8", "benefittype":"A", "benefitrate":"800", "premiumrate":"1.01"}</v>
      </c>
      <c r="J781" s="6" t="str">
        <f t="shared" si="92"/>
        <v>,</v>
      </c>
    </row>
    <row r="782" spans="1:10">
      <c r="A782" s="4" t="str">
        <f>'EN60'!A$3</f>
        <v>EN60</v>
      </c>
      <c r="B782" s="4">
        <f t="shared" si="93"/>
        <v>22</v>
      </c>
      <c r="C782" s="4">
        <f t="shared" si="94"/>
        <v>45</v>
      </c>
      <c r="D782" s="4">
        <f t="shared" si="88"/>
        <v>8</v>
      </c>
      <c r="E782" s="4" t="s">
        <v>27</v>
      </c>
      <c r="F782" s="4">
        <f t="shared" si="89"/>
        <v>800</v>
      </c>
      <c r="G782" s="5">
        <f t="shared" si="95"/>
        <v>1.01</v>
      </c>
      <c r="H782" s="6" t="str">
        <f t="shared" si="90"/>
        <v>INSERT INTO public.coupon (plancode, age, "year", couponrate, benefittype, benefitrate, premiumrate) VALUES('EN60', 22, 45, 8, 'A',800, 1.01);</v>
      </c>
      <c r="I782" s="6" t="str">
        <f t="shared" si="91"/>
        <v>{"age":"22", "year":"45", "couponrate":"8", "benefittype":"A", "benefitrate":"800", "premiumrate":"1.01"}</v>
      </c>
      <c r="J782" s="6" t="str">
        <f t="shared" si="92"/>
        <v>,</v>
      </c>
    </row>
    <row r="783" spans="1:10">
      <c r="A783" s="4" t="str">
        <f>'EN60'!A$3</f>
        <v>EN60</v>
      </c>
      <c r="B783" s="4">
        <f t="shared" si="93"/>
        <v>22</v>
      </c>
      <c r="C783" s="4">
        <f t="shared" si="94"/>
        <v>46</v>
      </c>
      <c r="D783" s="4">
        <f t="shared" si="88"/>
        <v>8</v>
      </c>
      <c r="E783" s="4" t="s">
        <v>27</v>
      </c>
      <c r="F783" s="4">
        <f t="shared" si="89"/>
        <v>800</v>
      </c>
      <c r="G783" s="5">
        <f t="shared" si="95"/>
        <v>1.01</v>
      </c>
      <c r="H783" s="6" t="str">
        <f t="shared" si="90"/>
        <v>INSERT INTO public.coupon (plancode, age, "year", couponrate, benefittype, benefitrate, premiumrate) VALUES('EN60', 22, 46, 8, 'A',800, 1.01);</v>
      </c>
      <c r="I783" s="6" t="str">
        <f t="shared" si="91"/>
        <v>{"age":"22", "year":"46", "couponrate":"8", "benefittype":"A", "benefitrate":"800", "premiumrate":"1.01"}</v>
      </c>
      <c r="J783" s="6" t="str">
        <f t="shared" si="92"/>
        <v>,</v>
      </c>
    </row>
    <row r="784" spans="1:10">
      <c r="A784" s="4" t="str">
        <f>'EN60'!A$3</f>
        <v>EN60</v>
      </c>
      <c r="B784" s="4">
        <f t="shared" si="93"/>
        <v>22</v>
      </c>
      <c r="C784" s="4">
        <f t="shared" si="94"/>
        <v>47</v>
      </c>
      <c r="D784" s="4">
        <f t="shared" si="88"/>
        <v>8</v>
      </c>
      <c r="E784" s="4" t="s">
        <v>27</v>
      </c>
      <c r="F784" s="4">
        <f t="shared" si="89"/>
        <v>800</v>
      </c>
      <c r="G784" s="5">
        <f t="shared" si="95"/>
        <v>1.01</v>
      </c>
      <c r="H784" s="6" t="str">
        <f t="shared" si="90"/>
        <v>INSERT INTO public.coupon (plancode, age, "year", couponrate, benefittype, benefitrate, premiumrate) VALUES('EN60', 22, 47, 8, 'A',800, 1.01);</v>
      </c>
      <c r="I784" s="6" t="str">
        <f t="shared" si="91"/>
        <v>{"age":"22", "year":"47", "couponrate":"8", "benefittype":"A", "benefitrate":"800", "premiumrate":"1.01"}</v>
      </c>
      <c r="J784" s="6" t="str">
        <f t="shared" si="92"/>
        <v>,</v>
      </c>
    </row>
    <row r="785" spans="1:10">
      <c r="A785" s="4" t="str">
        <f>'EN60'!A$3</f>
        <v>EN60</v>
      </c>
      <c r="B785" s="4">
        <f t="shared" si="93"/>
        <v>22</v>
      </c>
      <c r="C785" s="4">
        <f t="shared" si="94"/>
        <v>48</v>
      </c>
      <c r="D785" s="4">
        <f t="shared" si="88"/>
        <v>8</v>
      </c>
      <c r="E785" s="4" t="s">
        <v>27</v>
      </c>
      <c r="F785" s="4">
        <f t="shared" si="89"/>
        <v>800</v>
      </c>
      <c r="G785" s="5">
        <f t="shared" si="95"/>
        <v>1.01</v>
      </c>
      <c r="H785" s="6" t="str">
        <f t="shared" si="90"/>
        <v>INSERT INTO public.coupon (plancode, age, "year", couponrate, benefittype, benefitrate, premiumrate) VALUES('EN60', 22, 48, 8, 'A',800, 1.01);</v>
      </c>
      <c r="I785" s="6" t="str">
        <f t="shared" si="91"/>
        <v>{"age":"22", "year":"48", "couponrate":"8", "benefittype":"A", "benefitrate":"800", "premiumrate":"1.01"}</v>
      </c>
      <c r="J785" s="6" t="str">
        <f t="shared" si="92"/>
        <v>,</v>
      </c>
    </row>
    <row r="786" spans="1:10">
      <c r="A786" s="4" t="str">
        <f>'EN60'!A$3</f>
        <v>EN60</v>
      </c>
      <c r="B786" s="4">
        <f t="shared" si="93"/>
        <v>22</v>
      </c>
      <c r="C786" s="4">
        <f t="shared" si="94"/>
        <v>49</v>
      </c>
      <c r="D786" s="4">
        <f t="shared" si="88"/>
        <v>8</v>
      </c>
      <c r="E786" s="4" t="s">
        <v>27</v>
      </c>
      <c r="F786" s="4">
        <f t="shared" si="89"/>
        <v>800</v>
      </c>
      <c r="G786" s="5">
        <f t="shared" si="95"/>
        <v>1.01</v>
      </c>
      <c r="H786" s="6" t="str">
        <f t="shared" si="90"/>
        <v>INSERT INTO public.coupon (plancode, age, "year", couponrate, benefittype, benefitrate, premiumrate) VALUES('EN60', 22, 49, 8, 'A',800, 1.01);</v>
      </c>
      <c r="I786" s="6" t="str">
        <f t="shared" si="91"/>
        <v>{"age":"22", "year":"49", "couponrate":"8", "benefittype":"A", "benefitrate":"800", "premiumrate":"1.01"}</v>
      </c>
      <c r="J786" s="6" t="str">
        <f t="shared" si="92"/>
        <v>,</v>
      </c>
    </row>
    <row r="787" spans="1:10">
      <c r="A787" s="4" t="str">
        <f>'EN60'!A$3</f>
        <v>EN60</v>
      </c>
      <c r="B787" s="4">
        <f t="shared" si="93"/>
        <v>22</v>
      </c>
      <c r="C787" s="4">
        <f t="shared" si="94"/>
        <v>50</v>
      </c>
      <c r="D787" s="4">
        <f t="shared" si="88"/>
        <v>8</v>
      </c>
      <c r="E787" s="4" t="s">
        <v>27</v>
      </c>
      <c r="F787" s="4">
        <f t="shared" si="89"/>
        <v>800</v>
      </c>
      <c r="G787" s="5">
        <f t="shared" si="95"/>
        <v>1.01</v>
      </c>
      <c r="H787" s="6" t="str">
        <f t="shared" si="90"/>
        <v>INSERT INTO public.coupon (plancode, age, "year", couponrate, benefittype, benefitrate, premiumrate) VALUES('EN60', 22, 50, 8, 'A',800, 1.01);</v>
      </c>
      <c r="I787" s="6" t="str">
        <f t="shared" si="91"/>
        <v>{"age":"22", "year":"50", "couponrate":"8", "benefittype":"A", "benefitrate":"800", "premiumrate":"1.01"}</v>
      </c>
      <c r="J787" s="6" t="str">
        <f t="shared" si="92"/>
        <v>,</v>
      </c>
    </row>
    <row r="788" spans="1:10">
      <c r="A788" s="4" t="str">
        <f>'EN60'!A$3</f>
        <v>EN60</v>
      </c>
      <c r="B788" s="4">
        <f t="shared" si="93"/>
        <v>22</v>
      </c>
      <c r="C788" s="4">
        <f t="shared" si="94"/>
        <v>51</v>
      </c>
      <c r="D788" s="4">
        <f t="shared" si="88"/>
        <v>8</v>
      </c>
      <c r="E788" s="4" t="s">
        <v>27</v>
      </c>
      <c r="F788" s="4">
        <f t="shared" si="89"/>
        <v>800</v>
      </c>
      <c r="G788" s="5">
        <f t="shared" si="95"/>
        <v>1.01</v>
      </c>
      <c r="H788" s="6" t="str">
        <f t="shared" si="90"/>
        <v>INSERT INTO public.coupon (plancode, age, "year", couponrate, benefittype, benefitrate, premiumrate) VALUES('EN60', 22, 51, 8, 'A',800, 1.01);</v>
      </c>
      <c r="I788" s="6" t="str">
        <f t="shared" si="91"/>
        <v>{"age":"22", "year":"51", "couponrate":"8", "benefittype":"A", "benefitrate":"800", "premiumrate":"1.01"}</v>
      </c>
      <c r="J788" s="6" t="str">
        <f t="shared" si="92"/>
        <v>,</v>
      </c>
    </row>
    <row r="789" spans="1:10">
      <c r="A789" s="4" t="str">
        <f>'EN60'!A$3</f>
        <v>EN60</v>
      </c>
      <c r="B789" s="4">
        <f t="shared" si="93"/>
        <v>22</v>
      </c>
      <c r="C789" s="4">
        <f t="shared" si="94"/>
        <v>52</v>
      </c>
      <c r="D789" s="4">
        <f t="shared" si="88"/>
        <v>8</v>
      </c>
      <c r="E789" s="4" t="s">
        <v>27</v>
      </c>
      <c r="F789" s="4">
        <f t="shared" si="89"/>
        <v>800</v>
      </c>
      <c r="G789" s="5">
        <f t="shared" si="95"/>
        <v>1.01</v>
      </c>
      <c r="H789" s="6" t="str">
        <f t="shared" si="90"/>
        <v>INSERT INTO public.coupon (plancode, age, "year", couponrate, benefittype, benefitrate, premiumrate) VALUES('EN60', 22, 52, 8, 'A',800, 1.01);</v>
      </c>
      <c r="I789" s="6" t="str">
        <f t="shared" si="91"/>
        <v>{"age":"22", "year":"52", "couponrate":"8", "benefittype":"A", "benefitrate":"800", "premiumrate":"1.01"}</v>
      </c>
      <c r="J789" s="6" t="str">
        <f t="shared" si="92"/>
        <v>,</v>
      </c>
    </row>
    <row r="790" spans="1:10">
      <c r="A790" s="4" t="str">
        <f>'EN60'!A$3</f>
        <v>EN60</v>
      </c>
      <c r="B790" s="4">
        <f t="shared" si="93"/>
        <v>22</v>
      </c>
      <c r="C790" s="4">
        <f t="shared" si="94"/>
        <v>53</v>
      </c>
      <c r="D790" s="4">
        <f t="shared" si="88"/>
        <v>8</v>
      </c>
      <c r="E790" s="4" t="s">
        <v>27</v>
      </c>
      <c r="F790" s="4">
        <f t="shared" si="89"/>
        <v>800</v>
      </c>
      <c r="G790" s="5">
        <f t="shared" si="95"/>
        <v>1.01</v>
      </c>
      <c r="H790" s="6" t="str">
        <f t="shared" si="90"/>
        <v>INSERT INTO public.coupon (plancode, age, "year", couponrate, benefittype, benefitrate, premiumrate) VALUES('EN60', 22, 53, 8, 'A',800, 1.01);</v>
      </c>
      <c r="I790" s="6" t="str">
        <f t="shared" si="91"/>
        <v>{"age":"22", "year":"53", "couponrate":"8", "benefittype":"A", "benefitrate":"800", "premiumrate":"1.01"}</v>
      </c>
      <c r="J790" s="6" t="str">
        <f t="shared" si="92"/>
        <v>,</v>
      </c>
    </row>
    <row r="791" spans="1:10">
      <c r="A791" s="4" t="str">
        <f>'EN60'!A$3</f>
        <v>EN60</v>
      </c>
      <c r="B791" s="4">
        <f t="shared" si="93"/>
        <v>22</v>
      </c>
      <c r="C791" s="4">
        <f t="shared" si="94"/>
        <v>54</v>
      </c>
      <c r="D791" s="4">
        <f t="shared" si="88"/>
        <v>8</v>
      </c>
      <c r="E791" s="4" t="s">
        <v>27</v>
      </c>
      <c r="F791" s="4">
        <f t="shared" si="89"/>
        <v>800</v>
      </c>
      <c r="G791" s="5">
        <f t="shared" si="95"/>
        <v>1.01</v>
      </c>
      <c r="H791" s="6" t="str">
        <f t="shared" si="90"/>
        <v>INSERT INTO public.coupon (plancode, age, "year", couponrate, benefittype, benefitrate, premiumrate) VALUES('EN60', 22, 54, 8, 'A',800, 1.01);</v>
      </c>
      <c r="I791" s="6" t="str">
        <f t="shared" si="91"/>
        <v>{"age":"22", "year":"54", "couponrate":"8", "benefittype":"A", "benefitrate":"800", "premiumrate":"1.01"}</v>
      </c>
      <c r="J791" s="6" t="str">
        <f t="shared" si="92"/>
        <v>,</v>
      </c>
    </row>
    <row r="792" spans="1:10">
      <c r="A792" s="4" t="str">
        <f>'EN60'!A$3</f>
        <v>EN60</v>
      </c>
      <c r="B792" s="4">
        <f t="shared" si="93"/>
        <v>22</v>
      </c>
      <c r="C792" s="4">
        <f t="shared" si="94"/>
        <v>55</v>
      </c>
      <c r="D792" s="4">
        <f t="shared" si="88"/>
        <v>8</v>
      </c>
      <c r="E792" s="4" t="s">
        <v>27</v>
      </c>
      <c r="F792" s="4">
        <f t="shared" si="89"/>
        <v>800</v>
      </c>
      <c r="G792" s="5">
        <f t="shared" si="95"/>
        <v>1.01</v>
      </c>
      <c r="H792" s="6" t="str">
        <f t="shared" si="90"/>
        <v>INSERT INTO public.coupon (plancode, age, "year", couponrate, benefittype, benefitrate, premiumrate) VALUES('EN60', 22, 55, 8, 'A',800, 1.01);</v>
      </c>
      <c r="I792" s="6" t="str">
        <f t="shared" si="91"/>
        <v>{"age":"22", "year":"55", "couponrate":"8", "benefittype":"A", "benefitrate":"800", "premiumrate":"1.01"}</v>
      </c>
      <c r="J792" s="6" t="str">
        <f t="shared" si="92"/>
        <v>,</v>
      </c>
    </row>
    <row r="793" spans="1:10">
      <c r="A793" s="4" t="str">
        <f>'EN60'!A$3</f>
        <v>EN60</v>
      </c>
      <c r="B793" s="4">
        <f t="shared" si="93"/>
        <v>22</v>
      </c>
      <c r="C793" s="4">
        <f t="shared" si="94"/>
        <v>56</v>
      </c>
      <c r="D793" s="4">
        <f t="shared" si="88"/>
        <v>8</v>
      </c>
      <c r="E793" s="4" t="s">
        <v>27</v>
      </c>
      <c r="F793" s="4">
        <f t="shared" si="89"/>
        <v>800</v>
      </c>
      <c r="G793" s="5">
        <f t="shared" si="95"/>
        <v>1.01</v>
      </c>
      <c r="H793" s="6" t="str">
        <f t="shared" si="90"/>
        <v>INSERT INTO public.coupon (plancode, age, "year", couponrate, benefittype, benefitrate, premiumrate) VALUES('EN60', 22, 56, 8, 'A',800, 1.01);</v>
      </c>
      <c r="I793" s="6" t="str">
        <f t="shared" si="91"/>
        <v>{"age":"22", "year":"56", "couponrate":"8", "benefittype":"A", "benefitrate":"800", "premiumrate":"1.01"}</v>
      </c>
      <c r="J793" s="6" t="str">
        <f t="shared" si="92"/>
        <v>,</v>
      </c>
    </row>
    <row r="794" spans="1:10">
      <c r="A794" s="4" t="str">
        <f>'EN60'!A$3</f>
        <v>EN60</v>
      </c>
      <c r="B794" s="4">
        <f t="shared" si="93"/>
        <v>22</v>
      </c>
      <c r="C794" s="4">
        <f t="shared" si="94"/>
        <v>57</v>
      </c>
      <c r="D794" s="4">
        <f t="shared" si="88"/>
        <v>8</v>
      </c>
      <c r="E794" s="4" t="s">
        <v>27</v>
      </c>
      <c r="F794" s="4">
        <f t="shared" si="89"/>
        <v>800</v>
      </c>
      <c r="G794" s="5">
        <f t="shared" si="95"/>
        <v>1.01</v>
      </c>
      <c r="H794" s="6" t="str">
        <f t="shared" si="90"/>
        <v>INSERT INTO public.coupon (plancode, age, "year", couponrate, benefittype, benefitrate, premiumrate) VALUES('EN60', 22, 57, 8, 'A',800, 1.01);</v>
      </c>
      <c r="I794" s="6" t="str">
        <f t="shared" si="91"/>
        <v>{"age":"22", "year":"57", "couponrate":"8", "benefittype":"A", "benefitrate":"800", "premiumrate":"1.01"}</v>
      </c>
      <c r="J794" s="6" t="str">
        <f t="shared" si="92"/>
        <v>,</v>
      </c>
    </row>
    <row r="795" spans="1:10">
      <c r="A795" s="4" t="str">
        <f>'EN60'!A$3</f>
        <v>EN60</v>
      </c>
      <c r="B795" s="4">
        <f t="shared" si="93"/>
        <v>22</v>
      </c>
      <c r="C795" s="4">
        <f t="shared" si="94"/>
        <v>58</v>
      </c>
      <c r="D795" s="4">
        <f t="shared" si="88"/>
        <v>0</v>
      </c>
      <c r="E795" s="4" t="s">
        <v>27</v>
      </c>
      <c r="F795" s="4">
        <f t="shared" si="89"/>
        <v>800</v>
      </c>
      <c r="G795" s="5">
        <f t="shared" si="95"/>
        <v>1.01</v>
      </c>
      <c r="H795" s="6" t="str">
        <f t="shared" si="90"/>
        <v>INSERT INTO public.coupon (plancode, age, "year", couponrate, benefittype, benefitrate, premiumrate) VALUES('EN60', 22, 58, 0, 'A',800, 1.01);</v>
      </c>
      <c r="I795" s="6" t="str">
        <f t="shared" si="91"/>
        <v>{"age":"22", "year":"58", "couponrate":"0", "benefittype":"A", "benefitrate":"800", "premiumrate":"1.01"}</v>
      </c>
    </row>
    <row r="796" spans="1:10">
      <c r="C796" s="6"/>
      <c r="I796" s="6" t="s">
        <v>28</v>
      </c>
    </row>
    <row r="797" spans="1:10">
      <c r="A797" s="3" t="s">
        <v>2</v>
      </c>
      <c r="B797" s="3" t="s">
        <v>23</v>
      </c>
      <c r="C797" s="3" t="s">
        <v>24</v>
      </c>
      <c r="D797" s="3" t="s">
        <v>25</v>
      </c>
      <c r="E797" s="3" t="s">
        <v>8</v>
      </c>
      <c r="F797" s="3" t="s">
        <v>26</v>
      </c>
      <c r="G797" s="3" t="s">
        <v>4</v>
      </c>
      <c r="I797" s="6" t="str">
        <f>"[{""plancode"":"""&amp;A798&amp;""",""returncash"":"""&amp;B$7&amp;""",""ytable"":"""&amp;C$7&amp;""",""maturerate"":"""&amp;B$3&amp;""",""maturepmrate"":"""&amp;C$3&amp;""",""coupon"":["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798" spans="1:10">
      <c r="A798" s="4" t="str">
        <f>'EN60'!A$3</f>
        <v>EN60</v>
      </c>
      <c r="B798" s="8">
        <v>23</v>
      </c>
      <c r="C798" s="4">
        <v>1</v>
      </c>
      <c r="D798" s="4">
        <f t="shared" ref="D798:D854" si="96">IF(C798+B798=80,0,8)</f>
        <v>8</v>
      </c>
      <c r="E798" s="4" t="s">
        <v>27</v>
      </c>
      <c r="F798" s="4">
        <f t="shared" ref="F798:F854" si="97">IF(C798&gt;7, 800, C798*100)</f>
        <v>100</v>
      </c>
      <c r="G798" s="5">
        <f>'EN60'!C$3</f>
        <v>1.01</v>
      </c>
      <c r="H798" s="6" t="str">
        <f t="shared" ref="H798:H854" si="98">"INSERT INTO public.coupon ("&amp;A$11&amp;", "&amp;B$11&amp;", """&amp;C$11&amp;""", "&amp;D$11&amp;", "&amp;E$11&amp;", "&amp;F$11&amp;", "&amp;G$11&amp;") VALUES('"&amp;A798&amp;"', "&amp;B798&amp;", "&amp;C798&amp;", "&amp;D798&amp;", '"&amp;E798&amp;"',"&amp;F798&amp;", "&amp;G798&amp;");"</f>
        <v>INSERT INTO public.coupon (plancode, age, "year", couponrate, benefittype, benefitrate, premiumrate) VALUES('EN60', 23, 1, 8, 'A',100, 1.01);</v>
      </c>
      <c r="I798" s="6" t="str">
        <f t="shared" ref="I798:I854" si="99">"{""age"":"""&amp;B798&amp;""", ""year"":"""&amp;C798&amp;""", ""couponrate"":"""&amp;D798&amp;""", ""benefittype"":"""&amp;E798&amp;""", ""benefitrate"":"""&amp;F798&amp;""", """&amp;G$11&amp;""":"""&amp;G798&amp;"""}"</f>
        <v>{"age":"23", "year":"1", "couponrate":"8", "benefittype":"A", "benefitrate":"100", "premiumrate":"1.01"}</v>
      </c>
      <c r="J798" s="6" t="str">
        <f t="shared" ref="J798:J853" si="100">IF(OR(I799="]", I798="[", I798="]"), "", ",")</f>
        <v>,</v>
      </c>
    </row>
    <row r="799" spans="1:10">
      <c r="A799" s="4" t="str">
        <f>'EN60'!A$3</f>
        <v>EN60</v>
      </c>
      <c r="B799" s="4">
        <f t="shared" ref="B799:B854" si="101">B798</f>
        <v>23</v>
      </c>
      <c r="C799" s="4">
        <f t="shared" ref="C799:C854" si="102">C798+1</f>
        <v>2</v>
      </c>
      <c r="D799" s="4">
        <f t="shared" si="96"/>
        <v>8</v>
      </c>
      <c r="E799" s="4" t="s">
        <v>27</v>
      </c>
      <c r="F799" s="4">
        <f t="shared" si="97"/>
        <v>200</v>
      </c>
      <c r="G799" s="5">
        <f t="shared" ref="G799:G854" si="103">G798</f>
        <v>1.01</v>
      </c>
      <c r="H799" s="6" t="str">
        <f t="shared" si="98"/>
        <v>INSERT INTO public.coupon (plancode, age, "year", couponrate, benefittype, benefitrate, premiumrate) VALUES('EN60', 23, 2, 8, 'A',200, 1.01);</v>
      </c>
      <c r="I799" s="6" t="str">
        <f t="shared" si="99"/>
        <v>{"age":"23", "year":"2", "couponrate":"8", "benefittype":"A", "benefitrate":"200", "premiumrate":"1.01"}</v>
      </c>
      <c r="J799" s="6" t="str">
        <f t="shared" si="100"/>
        <v>,</v>
      </c>
    </row>
    <row r="800" spans="1:10">
      <c r="A800" s="4" t="str">
        <f>'EN60'!A$3</f>
        <v>EN60</v>
      </c>
      <c r="B800" s="4">
        <f t="shared" si="101"/>
        <v>23</v>
      </c>
      <c r="C800" s="4">
        <f t="shared" si="102"/>
        <v>3</v>
      </c>
      <c r="D800" s="4">
        <f t="shared" si="96"/>
        <v>8</v>
      </c>
      <c r="E800" s="4" t="s">
        <v>27</v>
      </c>
      <c r="F800" s="4">
        <f t="shared" si="97"/>
        <v>300</v>
      </c>
      <c r="G800" s="5">
        <f t="shared" si="103"/>
        <v>1.01</v>
      </c>
      <c r="H800" s="6" t="str">
        <f t="shared" si="98"/>
        <v>INSERT INTO public.coupon (plancode, age, "year", couponrate, benefittype, benefitrate, premiumrate) VALUES('EN60', 23, 3, 8, 'A',300, 1.01);</v>
      </c>
      <c r="I800" s="6" t="str">
        <f t="shared" si="99"/>
        <v>{"age":"23", "year":"3", "couponrate":"8", "benefittype":"A", "benefitrate":"300", "premiumrate":"1.01"}</v>
      </c>
      <c r="J800" s="6" t="str">
        <f t="shared" si="100"/>
        <v>,</v>
      </c>
    </row>
    <row r="801" spans="1:10">
      <c r="A801" s="4" t="str">
        <f>'EN60'!A$3</f>
        <v>EN60</v>
      </c>
      <c r="B801" s="4">
        <f t="shared" si="101"/>
        <v>23</v>
      </c>
      <c r="C801" s="4">
        <f t="shared" si="102"/>
        <v>4</v>
      </c>
      <c r="D801" s="4">
        <f t="shared" si="96"/>
        <v>8</v>
      </c>
      <c r="E801" s="4" t="s">
        <v>27</v>
      </c>
      <c r="F801" s="4">
        <f t="shared" si="97"/>
        <v>400</v>
      </c>
      <c r="G801" s="5">
        <f t="shared" si="103"/>
        <v>1.01</v>
      </c>
      <c r="H801" s="6" t="str">
        <f t="shared" si="98"/>
        <v>INSERT INTO public.coupon (plancode, age, "year", couponrate, benefittype, benefitrate, premiumrate) VALUES('EN60', 23, 4, 8, 'A',400, 1.01);</v>
      </c>
      <c r="I801" s="6" t="str">
        <f t="shared" si="99"/>
        <v>{"age":"23", "year":"4", "couponrate":"8", "benefittype":"A", "benefitrate":"400", "premiumrate":"1.01"}</v>
      </c>
      <c r="J801" s="6" t="str">
        <f t="shared" si="100"/>
        <v>,</v>
      </c>
    </row>
    <row r="802" spans="1:10">
      <c r="A802" s="4" t="str">
        <f>'EN60'!A$3</f>
        <v>EN60</v>
      </c>
      <c r="B802" s="4">
        <f t="shared" si="101"/>
        <v>23</v>
      </c>
      <c r="C802" s="4">
        <f t="shared" si="102"/>
        <v>5</v>
      </c>
      <c r="D802" s="4">
        <f t="shared" si="96"/>
        <v>8</v>
      </c>
      <c r="E802" s="4" t="s">
        <v>27</v>
      </c>
      <c r="F802" s="4">
        <f t="shared" si="97"/>
        <v>500</v>
      </c>
      <c r="G802" s="5">
        <f t="shared" si="103"/>
        <v>1.01</v>
      </c>
      <c r="H802" s="6" t="str">
        <f t="shared" si="98"/>
        <v>INSERT INTO public.coupon (plancode, age, "year", couponrate, benefittype, benefitrate, premiumrate) VALUES('EN60', 23, 5, 8, 'A',500, 1.01);</v>
      </c>
      <c r="I802" s="6" t="str">
        <f t="shared" si="99"/>
        <v>{"age":"23", "year":"5", "couponrate":"8", "benefittype":"A", "benefitrate":"500", "premiumrate":"1.01"}</v>
      </c>
      <c r="J802" s="6" t="str">
        <f t="shared" si="100"/>
        <v>,</v>
      </c>
    </row>
    <row r="803" spans="1:10">
      <c r="A803" s="4" t="str">
        <f>'EN60'!A$3</f>
        <v>EN60</v>
      </c>
      <c r="B803" s="4">
        <f t="shared" si="101"/>
        <v>23</v>
      </c>
      <c r="C803" s="4">
        <f t="shared" si="102"/>
        <v>6</v>
      </c>
      <c r="D803" s="4">
        <f t="shared" si="96"/>
        <v>8</v>
      </c>
      <c r="E803" s="4" t="s">
        <v>27</v>
      </c>
      <c r="F803" s="4">
        <f t="shared" si="97"/>
        <v>600</v>
      </c>
      <c r="G803" s="5">
        <f t="shared" si="103"/>
        <v>1.01</v>
      </c>
      <c r="H803" s="6" t="str">
        <f t="shared" si="98"/>
        <v>INSERT INTO public.coupon (plancode, age, "year", couponrate, benefittype, benefitrate, premiumrate) VALUES('EN60', 23, 6, 8, 'A',600, 1.01);</v>
      </c>
      <c r="I803" s="6" t="str">
        <f t="shared" si="99"/>
        <v>{"age":"23", "year":"6", "couponrate":"8", "benefittype":"A", "benefitrate":"600", "premiumrate":"1.01"}</v>
      </c>
      <c r="J803" s="6" t="str">
        <f t="shared" si="100"/>
        <v>,</v>
      </c>
    </row>
    <row r="804" spans="1:10">
      <c r="A804" s="4" t="str">
        <f>'EN60'!A$3</f>
        <v>EN60</v>
      </c>
      <c r="B804" s="4">
        <f t="shared" si="101"/>
        <v>23</v>
      </c>
      <c r="C804" s="4">
        <f t="shared" si="102"/>
        <v>7</v>
      </c>
      <c r="D804" s="4">
        <f t="shared" si="96"/>
        <v>8</v>
      </c>
      <c r="E804" s="4" t="s">
        <v>27</v>
      </c>
      <c r="F804" s="4">
        <f t="shared" si="97"/>
        <v>700</v>
      </c>
      <c r="G804" s="5">
        <f t="shared" si="103"/>
        <v>1.01</v>
      </c>
      <c r="H804" s="6" t="str">
        <f t="shared" si="98"/>
        <v>INSERT INTO public.coupon (plancode, age, "year", couponrate, benefittype, benefitrate, premiumrate) VALUES('EN60', 23, 7, 8, 'A',700, 1.01);</v>
      </c>
      <c r="I804" s="6" t="str">
        <f t="shared" si="99"/>
        <v>{"age":"23", "year":"7", "couponrate":"8", "benefittype":"A", "benefitrate":"700", "premiumrate":"1.01"}</v>
      </c>
      <c r="J804" s="6" t="str">
        <f t="shared" si="100"/>
        <v>,</v>
      </c>
    </row>
    <row r="805" spans="1:10">
      <c r="A805" s="4" t="str">
        <f>'EN60'!A$3</f>
        <v>EN60</v>
      </c>
      <c r="B805" s="4">
        <f t="shared" si="101"/>
        <v>23</v>
      </c>
      <c r="C805" s="4">
        <f t="shared" si="102"/>
        <v>8</v>
      </c>
      <c r="D805" s="4">
        <f t="shared" si="96"/>
        <v>8</v>
      </c>
      <c r="E805" s="4" t="s">
        <v>27</v>
      </c>
      <c r="F805" s="4">
        <f t="shared" si="97"/>
        <v>800</v>
      </c>
      <c r="G805" s="5">
        <f t="shared" si="103"/>
        <v>1.01</v>
      </c>
      <c r="H805" s="6" t="str">
        <f t="shared" si="98"/>
        <v>INSERT INTO public.coupon (plancode, age, "year", couponrate, benefittype, benefitrate, premiumrate) VALUES('EN60', 23, 8, 8, 'A',800, 1.01);</v>
      </c>
      <c r="I805" s="6" t="str">
        <f t="shared" si="99"/>
        <v>{"age":"23", "year":"8", "couponrate":"8", "benefittype":"A", "benefitrate":"800", "premiumrate":"1.01"}</v>
      </c>
      <c r="J805" s="6" t="str">
        <f t="shared" si="100"/>
        <v>,</v>
      </c>
    </row>
    <row r="806" spans="1:10">
      <c r="A806" s="4" t="str">
        <f>'EN60'!A$3</f>
        <v>EN60</v>
      </c>
      <c r="B806" s="4">
        <f t="shared" si="101"/>
        <v>23</v>
      </c>
      <c r="C806" s="4">
        <f t="shared" si="102"/>
        <v>9</v>
      </c>
      <c r="D806" s="4">
        <f t="shared" si="96"/>
        <v>8</v>
      </c>
      <c r="E806" s="4" t="s">
        <v>27</v>
      </c>
      <c r="F806" s="4">
        <f t="shared" si="97"/>
        <v>800</v>
      </c>
      <c r="G806" s="5">
        <f t="shared" si="103"/>
        <v>1.01</v>
      </c>
      <c r="H806" s="6" t="str">
        <f t="shared" si="98"/>
        <v>INSERT INTO public.coupon (plancode, age, "year", couponrate, benefittype, benefitrate, premiumrate) VALUES('EN60', 23, 9, 8, 'A',800, 1.01);</v>
      </c>
      <c r="I806" s="6" t="str">
        <f t="shared" si="99"/>
        <v>{"age":"23", "year":"9", "couponrate":"8", "benefittype":"A", "benefitrate":"800", "premiumrate":"1.01"}</v>
      </c>
      <c r="J806" s="6" t="str">
        <f t="shared" si="100"/>
        <v>,</v>
      </c>
    </row>
    <row r="807" spans="1:10">
      <c r="A807" s="4" t="str">
        <f>'EN60'!A$3</f>
        <v>EN60</v>
      </c>
      <c r="B807" s="4">
        <f t="shared" si="101"/>
        <v>23</v>
      </c>
      <c r="C807" s="4">
        <f t="shared" si="102"/>
        <v>10</v>
      </c>
      <c r="D807" s="4">
        <f t="shared" si="96"/>
        <v>8</v>
      </c>
      <c r="E807" s="4" t="s">
        <v>27</v>
      </c>
      <c r="F807" s="4">
        <f t="shared" si="97"/>
        <v>800</v>
      </c>
      <c r="G807" s="5">
        <f t="shared" si="103"/>
        <v>1.01</v>
      </c>
      <c r="H807" s="6" t="str">
        <f t="shared" si="98"/>
        <v>INSERT INTO public.coupon (plancode, age, "year", couponrate, benefittype, benefitrate, premiumrate) VALUES('EN60', 23, 10, 8, 'A',800, 1.01);</v>
      </c>
      <c r="I807" s="6" t="str">
        <f t="shared" si="99"/>
        <v>{"age":"23", "year":"10", "couponrate":"8", "benefittype":"A", "benefitrate":"800", "premiumrate":"1.01"}</v>
      </c>
      <c r="J807" s="6" t="str">
        <f t="shared" si="100"/>
        <v>,</v>
      </c>
    </row>
    <row r="808" spans="1:10">
      <c r="A808" s="4" t="str">
        <f>'EN60'!A$3</f>
        <v>EN60</v>
      </c>
      <c r="B808" s="4">
        <f t="shared" si="101"/>
        <v>23</v>
      </c>
      <c r="C808" s="4">
        <f t="shared" si="102"/>
        <v>11</v>
      </c>
      <c r="D808" s="4">
        <f t="shared" si="96"/>
        <v>8</v>
      </c>
      <c r="E808" s="4" t="s">
        <v>27</v>
      </c>
      <c r="F808" s="4">
        <f t="shared" si="97"/>
        <v>800</v>
      </c>
      <c r="G808" s="5">
        <f t="shared" si="103"/>
        <v>1.01</v>
      </c>
      <c r="H808" s="6" t="str">
        <f t="shared" si="98"/>
        <v>INSERT INTO public.coupon (plancode, age, "year", couponrate, benefittype, benefitrate, premiumrate) VALUES('EN60', 23, 11, 8, 'A',800, 1.01);</v>
      </c>
      <c r="I808" s="6" t="str">
        <f t="shared" si="99"/>
        <v>{"age":"23", "year":"11", "couponrate":"8", "benefittype":"A", "benefitrate":"800", "premiumrate":"1.01"}</v>
      </c>
      <c r="J808" s="6" t="str">
        <f t="shared" si="100"/>
        <v>,</v>
      </c>
    </row>
    <row r="809" spans="1:10">
      <c r="A809" s="4" t="str">
        <f>'EN60'!A$3</f>
        <v>EN60</v>
      </c>
      <c r="B809" s="4">
        <f t="shared" si="101"/>
        <v>23</v>
      </c>
      <c r="C809" s="4">
        <f t="shared" si="102"/>
        <v>12</v>
      </c>
      <c r="D809" s="4">
        <f t="shared" si="96"/>
        <v>8</v>
      </c>
      <c r="E809" s="4" t="s">
        <v>27</v>
      </c>
      <c r="F809" s="4">
        <f t="shared" si="97"/>
        <v>800</v>
      </c>
      <c r="G809" s="5">
        <f t="shared" si="103"/>
        <v>1.01</v>
      </c>
      <c r="H809" s="6" t="str">
        <f t="shared" si="98"/>
        <v>INSERT INTO public.coupon (plancode, age, "year", couponrate, benefittype, benefitrate, premiumrate) VALUES('EN60', 23, 12, 8, 'A',800, 1.01);</v>
      </c>
      <c r="I809" s="6" t="str">
        <f t="shared" si="99"/>
        <v>{"age":"23", "year":"12", "couponrate":"8", "benefittype":"A", "benefitrate":"800", "premiumrate":"1.01"}</v>
      </c>
      <c r="J809" s="6" t="str">
        <f t="shared" si="100"/>
        <v>,</v>
      </c>
    </row>
    <row r="810" spans="1:10">
      <c r="A810" s="4" t="str">
        <f>'EN60'!A$3</f>
        <v>EN60</v>
      </c>
      <c r="B810" s="4">
        <f t="shared" si="101"/>
        <v>23</v>
      </c>
      <c r="C810" s="4">
        <f t="shared" si="102"/>
        <v>13</v>
      </c>
      <c r="D810" s="4">
        <f t="shared" si="96"/>
        <v>8</v>
      </c>
      <c r="E810" s="4" t="s">
        <v>27</v>
      </c>
      <c r="F810" s="4">
        <f t="shared" si="97"/>
        <v>800</v>
      </c>
      <c r="G810" s="5">
        <f t="shared" si="103"/>
        <v>1.01</v>
      </c>
      <c r="H810" s="6" t="str">
        <f t="shared" si="98"/>
        <v>INSERT INTO public.coupon (plancode, age, "year", couponrate, benefittype, benefitrate, premiumrate) VALUES('EN60', 23, 13, 8, 'A',800, 1.01);</v>
      </c>
      <c r="I810" s="6" t="str">
        <f t="shared" si="99"/>
        <v>{"age":"23", "year":"13", "couponrate":"8", "benefittype":"A", "benefitrate":"800", "premiumrate":"1.01"}</v>
      </c>
      <c r="J810" s="6" t="str">
        <f t="shared" si="100"/>
        <v>,</v>
      </c>
    </row>
    <row r="811" spans="1:10">
      <c r="A811" s="4" t="str">
        <f>'EN60'!A$3</f>
        <v>EN60</v>
      </c>
      <c r="B811" s="4">
        <f t="shared" si="101"/>
        <v>23</v>
      </c>
      <c r="C811" s="4">
        <f t="shared" si="102"/>
        <v>14</v>
      </c>
      <c r="D811" s="4">
        <f t="shared" si="96"/>
        <v>8</v>
      </c>
      <c r="E811" s="4" t="s">
        <v>27</v>
      </c>
      <c r="F811" s="4">
        <f t="shared" si="97"/>
        <v>800</v>
      </c>
      <c r="G811" s="5">
        <f t="shared" si="103"/>
        <v>1.01</v>
      </c>
      <c r="H811" s="6" t="str">
        <f t="shared" si="98"/>
        <v>INSERT INTO public.coupon (plancode, age, "year", couponrate, benefittype, benefitrate, premiumrate) VALUES('EN60', 23, 14, 8, 'A',800, 1.01);</v>
      </c>
      <c r="I811" s="6" t="str">
        <f t="shared" si="99"/>
        <v>{"age":"23", "year":"14", "couponrate":"8", "benefittype":"A", "benefitrate":"800", "premiumrate":"1.01"}</v>
      </c>
      <c r="J811" s="6" t="str">
        <f t="shared" si="100"/>
        <v>,</v>
      </c>
    </row>
    <row r="812" spans="1:10">
      <c r="A812" s="4" t="str">
        <f>'EN60'!A$3</f>
        <v>EN60</v>
      </c>
      <c r="B812" s="4">
        <f t="shared" si="101"/>
        <v>23</v>
      </c>
      <c r="C812" s="4">
        <f t="shared" si="102"/>
        <v>15</v>
      </c>
      <c r="D812" s="4">
        <f t="shared" si="96"/>
        <v>8</v>
      </c>
      <c r="E812" s="4" t="s">
        <v>27</v>
      </c>
      <c r="F812" s="4">
        <f t="shared" si="97"/>
        <v>800</v>
      </c>
      <c r="G812" s="5">
        <f t="shared" si="103"/>
        <v>1.01</v>
      </c>
      <c r="H812" s="6" t="str">
        <f t="shared" si="98"/>
        <v>INSERT INTO public.coupon (plancode, age, "year", couponrate, benefittype, benefitrate, premiumrate) VALUES('EN60', 23, 15, 8, 'A',800, 1.01);</v>
      </c>
      <c r="I812" s="6" t="str">
        <f t="shared" si="99"/>
        <v>{"age":"23", "year":"15", "couponrate":"8", "benefittype":"A", "benefitrate":"800", "premiumrate":"1.01"}</v>
      </c>
      <c r="J812" s="6" t="str">
        <f t="shared" si="100"/>
        <v>,</v>
      </c>
    </row>
    <row r="813" spans="1:10">
      <c r="A813" s="4" t="str">
        <f>'EN60'!A$3</f>
        <v>EN60</v>
      </c>
      <c r="B813" s="4">
        <f t="shared" si="101"/>
        <v>23</v>
      </c>
      <c r="C813" s="4">
        <f t="shared" si="102"/>
        <v>16</v>
      </c>
      <c r="D813" s="4">
        <f t="shared" si="96"/>
        <v>8</v>
      </c>
      <c r="E813" s="4" t="s">
        <v>27</v>
      </c>
      <c r="F813" s="4">
        <f t="shared" si="97"/>
        <v>800</v>
      </c>
      <c r="G813" s="5">
        <f t="shared" si="103"/>
        <v>1.01</v>
      </c>
      <c r="H813" s="6" t="str">
        <f t="shared" si="98"/>
        <v>INSERT INTO public.coupon (plancode, age, "year", couponrate, benefittype, benefitrate, premiumrate) VALUES('EN60', 23, 16, 8, 'A',800, 1.01);</v>
      </c>
      <c r="I813" s="6" t="str">
        <f t="shared" si="99"/>
        <v>{"age":"23", "year":"16", "couponrate":"8", "benefittype":"A", "benefitrate":"800", "premiumrate":"1.01"}</v>
      </c>
      <c r="J813" s="6" t="str">
        <f t="shared" si="100"/>
        <v>,</v>
      </c>
    </row>
    <row r="814" spans="1:10">
      <c r="A814" s="4" t="str">
        <f>'EN60'!A$3</f>
        <v>EN60</v>
      </c>
      <c r="B814" s="4">
        <f t="shared" si="101"/>
        <v>23</v>
      </c>
      <c r="C814" s="4">
        <f t="shared" si="102"/>
        <v>17</v>
      </c>
      <c r="D814" s="4">
        <f t="shared" si="96"/>
        <v>8</v>
      </c>
      <c r="E814" s="4" t="s">
        <v>27</v>
      </c>
      <c r="F814" s="4">
        <f t="shared" si="97"/>
        <v>800</v>
      </c>
      <c r="G814" s="5">
        <f t="shared" si="103"/>
        <v>1.01</v>
      </c>
      <c r="H814" s="6" t="str">
        <f t="shared" si="98"/>
        <v>INSERT INTO public.coupon (plancode, age, "year", couponrate, benefittype, benefitrate, premiumrate) VALUES('EN60', 23, 17, 8, 'A',800, 1.01);</v>
      </c>
      <c r="I814" s="6" t="str">
        <f t="shared" si="99"/>
        <v>{"age":"23", "year":"17", "couponrate":"8", "benefittype":"A", "benefitrate":"800", "premiumrate":"1.01"}</v>
      </c>
      <c r="J814" s="6" t="str">
        <f t="shared" si="100"/>
        <v>,</v>
      </c>
    </row>
    <row r="815" spans="1:10">
      <c r="A815" s="4" t="str">
        <f>'EN60'!A$3</f>
        <v>EN60</v>
      </c>
      <c r="B815" s="4">
        <f t="shared" si="101"/>
        <v>23</v>
      </c>
      <c r="C815" s="4">
        <f t="shared" si="102"/>
        <v>18</v>
      </c>
      <c r="D815" s="4">
        <f t="shared" si="96"/>
        <v>8</v>
      </c>
      <c r="E815" s="4" t="s">
        <v>27</v>
      </c>
      <c r="F815" s="4">
        <f t="shared" si="97"/>
        <v>800</v>
      </c>
      <c r="G815" s="5">
        <f t="shared" si="103"/>
        <v>1.01</v>
      </c>
      <c r="H815" s="6" t="str">
        <f t="shared" si="98"/>
        <v>INSERT INTO public.coupon (plancode, age, "year", couponrate, benefittype, benefitrate, premiumrate) VALUES('EN60', 23, 18, 8, 'A',800, 1.01);</v>
      </c>
      <c r="I815" s="6" t="str">
        <f t="shared" si="99"/>
        <v>{"age":"23", "year":"18", "couponrate":"8", "benefittype":"A", "benefitrate":"800", "premiumrate":"1.01"}</v>
      </c>
      <c r="J815" s="6" t="str">
        <f t="shared" si="100"/>
        <v>,</v>
      </c>
    </row>
    <row r="816" spans="1:10">
      <c r="A816" s="4" t="str">
        <f>'EN60'!A$3</f>
        <v>EN60</v>
      </c>
      <c r="B816" s="4">
        <f t="shared" si="101"/>
        <v>23</v>
      </c>
      <c r="C816" s="4">
        <f t="shared" si="102"/>
        <v>19</v>
      </c>
      <c r="D816" s="4">
        <f t="shared" si="96"/>
        <v>8</v>
      </c>
      <c r="E816" s="4" t="s">
        <v>27</v>
      </c>
      <c r="F816" s="4">
        <f t="shared" si="97"/>
        <v>800</v>
      </c>
      <c r="G816" s="5">
        <f t="shared" si="103"/>
        <v>1.01</v>
      </c>
      <c r="H816" s="6" t="str">
        <f t="shared" si="98"/>
        <v>INSERT INTO public.coupon (plancode, age, "year", couponrate, benefittype, benefitrate, premiumrate) VALUES('EN60', 23, 19, 8, 'A',800, 1.01);</v>
      </c>
      <c r="I816" s="6" t="str">
        <f t="shared" si="99"/>
        <v>{"age":"23", "year":"19", "couponrate":"8", "benefittype":"A", "benefitrate":"800", "premiumrate":"1.01"}</v>
      </c>
      <c r="J816" s="6" t="str">
        <f t="shared" si="100"/>
        <v>,</v>
      </c>
    </row>
    <row r="817" spans="1:10">
      <c r="A817" s="4" t="str">
        <f>'EN60'!A$3</f>
        <v>EN60</v>
      </c>
      <c r="B817" s="4">
        <f t="shared" si="101"/>
        <v>23</v>
      </c>
      <c r="C817" s="4">
        <f t="shared" si="102"/>
        <v>20</v>
      </c>
      <c r="D817" s="4">
        <f t="shared" si="96"/>
        <v>8</v>
      </c>
      <c r="E817" s="4" t="s">
        <v>27</v>
      </c>
      <c r="F817" s="4">
        <f t="shared" si="97"/>
        <v>800</v>
      </c>
      <c r="G817" s="5">
        <f t="shared" si="103"/>
        <v>1.01</v>
      </c>
      <c r="H817" s="6" t="str">
        <f t="shared" si="98"/>
        <v>INSERT INTO public.coupon (plancode, age, "year", couponrate, benefittype, benefitrate, premiumrate) VALUES('EN60', 23, 20, 8, 'A',800, 1.01);</v>
      </c>
      <c r="I817" s="6" t="str">
        <f t="shared" si="99"/>
        <v>{"age":"23", "year":"20", "couponrate":"8", "benefittype":"A", "benefitrate":"800", "premiumrate":"1.01"}</v>
      </c>
      <c r="J817" s="6" t="str">
        <f t="shared" si="100"/>
        <v>,</v>
      </c>
    </row>
    <row r="818" spans="1:10">
      <c r="A818" s="4" t="str">
        <f>'EN60'!A$3</f>
        <v>EN60</v>
      </c>
      <c r="B818" s="4">
        <f t="shared" si="101"/>
        <v>23</v>
      </c>
      <c r="C818" s="4">
        <f t="shared" si="102"/>
        <v>21</v>
      </c>
      <c r="D818" s="4">
        <f t="shared" si="96"/>
        <v>8</v>
      </c>
      <c r="E818" s="4" t="s">
        <v>27</v>
      </c>
      <c r="F818" s="4">
        <f t="shared" si="97"/>
        <v>800</v>
      </c>
      <c r="G818" s="5">
        <f t="shared" si="103"/>
        <v>1.01</v>
      </c>
      <c r="H818" s="6" t="str">
        <f t="shared" si="98"/>
        <v>INSERT INTO public.coupon (plancode, age, "year", couponrate, benefittype, benefitrate, premiumrate) VALUES('EN60', 23, 21, 8, 'A',800, 1.01);</v>
      </c>
      <c r="I818" s="6" t="str">
        <f t="shared" si="99"/>
        <v>{"age":"23", "year":"21", "couponrate":"8", "benefittype":"A", "benefitrate":"800", "premiumrate":"1.01"}</v>
      </c>
      <c r="J818" s="6" t="str">
        <f t="shared" si="100"/>
        <v>,</v>
      </c>
    </row>
    <row r="819" spans="1:10">
      <c r="A819" s="4" t="str">
        <f>'EN60'!A$3</f>
        <v>EN60</v>
      </c>
      <c r="B819" s="4">
        <f t="shared" si="101"/>
        <v>23</v>
      </c>
      <c r="C819" s="4">
        <f t="shared" si="102"/>
        <v>22</v>
      </c>
      <c r="D819" s="4">
        <f t="shared" si="96"/>
        <v>8</v>
      </c>
      <c r="E819" s="4" t="s">
        <v>27</v>
      </c>
      <c r="F819" s="4">
        <f t="shared" si="97"/>
        <v>800</v>
      </c>
      <c r="G819" s="5">
        <f t="shared" si="103"/>
        <v>1.01</v>
      </c>
      <c r="H819" s="6" t="str">
        <f t="shared" si="98"/>
        <v>INSERT INTO public.coupon (plancode, age, "year", couponrate, benefittype, benefitrate, premiumrate) VALUES('EN60', 23, 22, 8, 'A',800, 1.01);</v>
      </c>
      <c r="I819" s="6" t="str">
        <f t="shared" si="99"/>
        <v>{"age":"23", "year":"22", "couponrate":"8", "benefittype":"A", "benefitrate":"800", "premiumrate":"1.01"}</v>
      </c>
      <c r="J819" s="6" t="str">
        <f t="shared" si="100"/>
        <v>,</v>
      </c>
    </row>
    <row r="820" spans="1:10">
      <c r="A820" s="4" t="str">
        <f>'EN60'!A$3</f>
        <v>EN60</v>
      </c>
      <c r="B820" s="4">
        <f t="shared" si="101"/>
        <v>23</v>
      </c>
      <c r="C820" s="4">
        <f t="shared" si="102"/>
        <v>23</v>
      </c>
      <c r="D820" s="4">
        <f t="shared" si="96"/>
        <v>8</v>
      </c>
      <c r="E820" s="4" t="s">
        <v>27</v>
      </c>
      <c r="F820" s="4">
        <f t="shared" si="97"/>
        <v>800</v>
      </c>
      <c r="G820" s="5">
        <f t="shared" si="103"/>
        <v>1.01</v>
      </c>
      <c r="H820" s="6" t="str">
        <f t="shared" si="98"/>
        <v>INSERT INTO public.coupon (plancode, age, "year", couponrate, benefittype, benefitrate, premiumrate) VALUES('EN60', 23, 23, 8, 'A',800, 1.01);</v>
      </c>
      <c r="I820" s="6" t="str">
        <f t="shared" si="99"/>
        <v>{"age":"23", "year":"23", "couponrate":"8", "benefittype":"A", "benefitrate":"800", "premiumrate":"1.01"}</v>
      </c>
      <c r="J820" s="6" t="str">
        <f t="shared" si="100"/>
        <v>,</v>
      </c>
    </row>
    <row r="821" spans="1:10">
      <c r="A821" s="4" t="str">
        <f>'EN60'!A$3</f>
        <v>EN60</v>
      </c>
      <c r="B821" s="4">
        <f t="shared" si="101"/>
        <v>23</v>
      </c>
      <c r="C821" s="4">
        <f t="shared" si="102"/>
        <v>24</v>
      </c>
      <c r="D821" s="4">
        <f t="shared" si="96"/>
        <v>8</v>
      </c>
      <c r="E821" s="4" t="s">
        <v>27</v>
      </c>
      <c r="F821" s="4">
        <f t="shared" si="97"/>
        <v>800</v>
      </c>
      <c r="G821" s="5">
        <f t="shared" si="103"/>
        <v>1.01</v>
      </c>
      <c r="H821" s="6" t="str">
        <f t="shared" si="98"/>
        <v>INSERT INTO public.coupon (plancode, age, "year", couponrate, benefittype, benefitrate, premiumrate) VALUES('EN60', 23, 24, 8, 'A',800, 1.01);</v>
      </c>
      <c r="I821" s="6" t="str">
        <f t="shared" si="99"/>
        <v>{"age":"23", "year":"24", "couponrate":"8", "benefittype":"A", "benefitrate":"800", "premiumrate":"1.01"}</v>
      </c>
      <c r="J821" s="6" t="str">
        <f t="shared" si="100"/>
        <v>,</v>
      </c>
    </row>
    <row r="822" spans="1:10">
      <c r="A822" s="4" t="str">
        <f>'EN60'!A$3</f>
        <v>EN60</v>
      </c>
      <c r="B822" s="4">
        <f t="shared" si="101"/>
        <v>23</v>
      </c>
      <c r="C822" s="4">
        <f t="shared" si="102"/>
        <v>25</v>
      </c>
      <c r="D822" s="4">
        <f t="shared" si="96"/>
        <v>8</v>
      </c>
      <c r="E822" s="4" t="s">
        <v>27</v>
      </c>
      <c r="F822" s="4">
        <f t="shared" si="97"/>
        <v>800</v>
      </c>
      <c r="G822" s="5">
        <f t="shared" si="103"/>
        <v>1.01</v>
      </c>
      <c r="H822" s="6" t="str">
        <f t="shared" si="98"/>
        <v>INSERT INTO public.coupon (plancode, age, "year", couponrate, benefittype, benefitrate, premiumrate) VALUES('EN60', 23, 25, 8, 'A',800, 1.01);</v>
      </c>
      <c r="I822" s="6" t="str">
        <f t="shared" si="99"/>
        <v>{"age":"23", "year":"25", "couponrate":"8", "benefittype":"A", "benefitrate":"800", "premiumrate":"1.01"}</v>
      </c>
      <c r="J822" s="6" t="str">
        <f t="shared" si="100"/>
        <v>,</v>
      </c>
    </row>
    <row r="823" spans="1:10">
      <c r="A823" s="4" t="str">
        <f>'EN60'!A$3</f>
        <v>EN60</v>
      </c>
      <c r="B823" s="4">
        <f t="shared" si="101"/>
        <v>23</v>
      </c>
      <c r="C823" s="4">
        <f t="shared" si="102"/>
        <v>26</v>
      </c>
      <c r="D823" s="4">
        <f t="shared" si="96"/>
        <v>8</v>
      </c>
      <c r="E823" s="4" t="s">
        <v>27</v>
      </c>
      <c r="F823" s="4">
        <f t="shared" si="97"/>
        <v>800</v>
      </c>
      <c r="G823" s="5">
        <f t="shared" si="103"/>
        <v>1.01</v>
      </c>
      <c r="H823" s="6" t="str">
        <f t="shared" si="98"/>
        <v>INSERT INTO public.coupon (plancode, age, "year", couponrate, benefittype, benefitrate, premiumrate) VALUES('EN60', 23, 26, 8, 'A',800, 1.01);</v>
      </c>
      <c r="I823" s="6" t="str">
        <f t="shared" si="99"/>
        <v>{"age":"23", "year":"26", "couponrate":"8", "benefittype":"A", "benefitrate":"800", "premiumrate":"1.01"}</v>
      </c>
      <c r="J823" s="6" t="str">
        <f t="shared" si="100"/>
        <v>,</v>
      </c>
    </row>
    <row r="824" spans="1:10">
      <c r="A824" s="4" t="str">
        <f>'EN60'!A$3</f>
        <v>EN60</v>
      </c>
      <c r="B824" s="4">
        <f t="shared" si="101"/>
        <v>23</v>
      </c>
      <c r="C824" s="4">
        <f t="shared" si="102"/>
        <v>27</v>
      </c>
      <c r="D824" s="4">
        <f t="shared" si="96"/>
        <v>8</v>
      </c>
      <c r="E824" s="4" t="s">
        <v>27</v>
      </c>
      <c r="F824" s="4">
        <f t="shared" si="97"/>
        <v>800</v>
      </c>
      <c r="G824" s="5">
        <f t="shared" si="103"/>
        <v>1.01</v>
      </c>
      <c r="H824" s="6" t="str">
        <f t="shared" si="98"/>
        <v>INSERT INTO public.coupon (plancode, age, "year", couponrate, benefittype, benefitrate, premiumrate) VALUES('EN60', 23, 27, 8, 'A',800, 1.01);</v>
      </c>
      <c r="I824" s="6" t="str">
        <f t="shared" si="99"/>
        <v>{"age":"23", "year":"27", "couponrate":"8", "benefittype":"A", "benefitrate":"800", "premiumrate":"1.01"}</v>
      </c>
      <c r="J824" s="6" t="str">
        <f t="shared" si="100"/>
        <v>,</v>
      </c>
    </row>
    <row r="825" spans="1:10">
      <c r="A825" s="4" t="str">
        <f>'EN60'!A$3</f>
        <v>EN60</v>
      </c>
      <c r="B825" s="4">
        <f t="shared" si="101"/>
        <v>23</v>
      </c>
      <c r="C825" s="4">
        <f t="shared" si="102"/>
        <v>28</v>
      </c>
      <c r="D825" s="4">
        <f t="shared" si="96"/>
        <v>8</v>
      </c>
      <c r="E825" s="4" t="s">
        <v>27</v>
      </c>
      <c r="F825" s="4">
        <f t="shared" si="97"/>
        <v>800</v>
      </c>
      <c r="G825" s="5">
        <f t="shared" si="103"/>
        <v>1.01</v>
      </c>
      <c r="H825" s="6" t="str">
        <f t="shared" si="98"/>
        <v>INSERT INTO public.coupon (plancode, age, "year", couponrate, benefittype, benefitrate, premiumrate) VALUES('EN60', 23, 28, 8, 'A',800, 1.01);</v>
      </c>
      <c r="I825" s="6" t="str">
        <f t="shared" si="99"/>
        <v>{"age":"23", "year":"28", "couponrate":"8", "benefittype":"A", "benefitrate":"800", "premiumrate":"1.01"}</v>
      </c>
      <c r="J825" s="6" t="str">
        <f t="shared" si="100"/>
        <v>,</v>
      </c>
    </row>
    <row r="826" spans="1:10">
      <c r="A826" s="4" t="str">
        <f>'EN60'!A$3</f>
        <v>EN60</v>
      </c>
      <c r="B826" s="4">
        <f t="shared" si="101"/>
        <v>23</v>
      </c>
      <c r="C826" s="4">
        <f t="shared" si="102"/>
        <v>29</v>
      </c>
      <c r="D826" s="4">
        <f t="shared" si="96"/>
        <v>8</v>
      </c>
      <c r="E826" s="4" t="s">
        <v>27</v>
      </c>
      <c r="F826" s="4">
        <f t="shared" si="97"/>
        <v>800</v>
      </c>
      <c r="G826" s="5">
        <f t="shared" si="103"/>
        <v>1.01</v>
      </c>
      <c r="H826" s="6" t="str">
        <f t="shared" si="98"/>
        <v>INSERT INTO public.coupon (plancode, age, "year", couponrate, benefittype, benefitrate, premiumrate) VALUES('EN60', 23, 29, 8, 'A',800, 1.01);</v>
      </c>
      <c r="I826" s="6" t="str">
        <f t="shared" si="99"/>
        <v>{"age":"23", "year":"29", "couponrate":"8", "benefittype":"A", "benefitrate":"800", "premiumrate":"1.01"}</v>
      </c>
      <c r="J826" s="6" t="str">
        <f t="shared" si="100"/>
        <v>,</v>
      </c>
    </row>
    <row r="827" spans="1:10">
      <c r="A827" s="4" t="str">
        <f>'EN60'!A$3</f>
        <v>EN60</v>
      </c>
      <c r="B827" s="4">
        <f t="shared" si="101"/>
        <v>23</v>
      </c>
      <c r="C827" s="4">
        <f t="shared" si="102"/>
        <v>30</v>
      </c>
      <c r="D827" s="4">
        <f t="shared" si="96"/>
        <v>8</v>
      </c>
      <c r="E827" s="4" t="s">
        <v>27</v>
      </c>
      <c r="F827" s="4">
        <f t="shared" si="97"/>
        <v>800</v>
      </c>
      <c r="G827" s="5">
        <f t="shared" si="103"/>
        <v>1.01</v>
      </c>
      <c r="H827" s="6" t="str">
        <f t="shared" si="98"/>
        <v>INSERT INTO public.coupon (plancode, age, "year", couponrate, benefittype, benefitrate, premiumrate) VALUES('EN60', 23, 30, 8, 'A',800, 1.01);</v>
      </c>
      <c r="I827" s="6" t="str">
        <f t="shared" si="99"/>
        <v>{"age":"23", "year":"30", "couponrate":"8", "benefittype":"A", "benefitrate":"800", "premiumrate":"1.01"}</v>
      </c>
      <c r="J827" s="6" t="str">
        <f t="shared" si="100"/>
        <v>,</v>
      </c>
    </row>
    <row r="828" spans="1:10">
      <c r="A828" s="4" t="str">
        <f>'EN60'!A$3</f>
        <v>EN60</v>
      </c>
      <c r="B828" s="4">
        <f t="shared" si="101"/>
        <v>23</v>
      </c>
      <c r="C828" s="4">
        <f t="shared" si="102"/>
        <v>31</v>
      </c>
      <c r="D828" s="4">
        <f t="shared" si="96"/>
        <v>8</v>
      </c>
      <c r="E828" s="4" t="s">
        <v>27</v>
      </c>
      <c r="F828" s="4">
        <f t="shared" si="97"/>
        <v>800</v>
      </c>
      <c r="G828" s="5">
        <f t="shared" si="103"/>
        <v>1.01</v>
      </c>
      <c r="H828" s="6" t="str">
        <f t="shared" si="98"/>
        <v>INSERT INTO public.coupon (plancode, age, "year", couponrate, benefittype, benefitrate, premiumrate) VALUES('EN60', 23, 31, 8, 'A',800, 1.01);</v>
      </c>
      <c r="I828" s="6" t="str">
        <f t="shared" si="99"/>
        <v>{"age":"23", "year":"31", "couponrate":"8", "benefittype":"A", "benefitrate":"800", "premiumrate":"1.01"}</v>
      </c>
      <c r="J828" s="6" t="str">
        <f t="shared" si="100"/>
        <v>,</v>
      </c>
    </row>
    <row r="829" spans="1:10">
      <c r="A829" s="4" t="str">
        <f>'EN60'!A$3</f>
        <v>EN60</v>
      </c>
      <c r="B829" s="4">
        <f t="shared" si="101"/>
        <v>23</v>
      </c>
      <c r="C829" s="4">
        <f t="shared" si="102"/>
        <v>32</v>
      </c>
      <c r="D829" s="4">
        <f t="shared" si="96"/>
        <v>8</v>
      </c>
      <c r="E829" s="4" t="s">
        <v>27</v>
      </c>
      <c r="F829" s="4">
        <f t="shared" si="97"/>
        <v>800</v>
      </c>
      <c r="G829" s="5">
        <f t="shared" si="103"/>
        <v>1.01</v>
      </c>
      <c r="H829" s="6" t="str">
        <f t="shared" si="98"/>
        <v>INSERT INTO public.coupon (plancode, age, "year", couponrate, benefittype, benefitrate, premiumrate) VALUES('EN60', 23, 32, 8, 'A',800, 1.01);</v>
      </c>
      <c r="I829" s="6" t="str">
        <f t="shared" si="99"/>
        <v>{"age":"23", "year":"32", "couponrate":"8", "benefittype":"A", "benefitrate":"800", "premiumrate":"1.01"}</v>
      </c>
      <c r="J829" s="6" t="str">
        <f t="shared" si="100"/>
        <v>,</v>
      </c>
    </row>
    <row r="830" spans="1:10">
      <c r="A830" s="4" t="str">
        <f>'EN60'!A$3</f>
        <v>EN60</v>
      </c>
      <c r="B830" s="4">
        <f t="shared" si="101"/>
        <v>23</v>
      </c>
      <c r="C830" s="4">
        <f t="shared" si="102"/>
        <v>33</v>
      </c>
      <c r="D830" s="4">
        <f t="shared" si="96"/>
        <v>8</v>
      </c>
      <c r="E830" s="4" t="s">
        <v>27</v>
      </c>
      <c r="F830" s="4">
        <f t="shared" si="97"/>
        <v>800</v>
      </c>
      <c r="G830" s="5">
        <f t="shared" si="103"/>
        <v>1.01</v>
      </c>
      <c r="H830" s="6" t="str">
        <f t="shared" si="98"/>
        <v>INSERT INTO public.coupon (plancode, age, "year", couponrate, benefittype, benefitrate, premiumrate) VALUES('EN60', 23, 33, 8, 'A',800, 1.01);</v>
      </c>
      <c r="I830" s="6" t="str">
        <f t="shared" si="99"/>
        <v>{"age":"23", "year":"33", "couponrate":"8", "benefittype":"A", "benefitrate":"800", "premiumrate":"1.01"}</v>
      </c>
      <c r="J830" s="6" t="str">
        <f t="shared" si="100"/>
        <v>,</v>
      </c>
    </row>
    <row r="831" spans="1:10">
      <c r="A831" s="4" t="str">
        <f>'EN60'!A$3</f>
        <v>EN60</v>
      </c>
      <c r="B831" s="4">
        <f t="shared" si="101"/>
        <v>23</v>
      </c>
      <c r="C831" s="4">
        <f t="shared" si="102"/>
        <v>34</v>
      </c>
      <c r="D831" s="4">
        <f t="shared" si="96"/>
        <v>8</v>
      </c>
      <c r="E831" s="4" t="s">
        <v>27</v>
      </c>
      <c r="F831" s="4">
        <f t="shared" si="97"/>
        <v>800</v>
      </c>
      <c r="G831" s="5">
        <f t="shared" si="103"/>
        <v>1.01</v>
      </c>
      <c r="H831" s="6" t="str">
        <f t="shared" si="98"/>
        <v>INSERT INTO public.coupon (plancode, age, "year", couponrate, benefittype, benefitrate, premiumrate) VALUES('EN60', 23, 34, 8, 'A',800, 1.01);</v>
      </c>
      <c r="I831" s="6" t="str">
        <f t="shared" si="99"/>
        <v>{"age":"23", "year":"34", "couponrate":"8", "benefittype":"A", "benefitrate":"800", "premiumrate":"1.01"}</v>
      </c>
      <c r="J831" s="6" t="str">
        <f t="shared" si="100"/>
        <v>,</v>
      </c>
    </row>
    <row r="832" spans="1:10">
      <c r="A832" s="4" t="str">
        <f>'EN60'!A$3</f>
        <v>EN60</v>
      </c>
      <c r="B832" s="4">
        <f t="shared" si="101"/>
        <v>23</v>
      </c>
      <c r="C832" s="4">
        <f t="shared" si="102"/>
        <v>35</v>
      </c>
      <c r="D832" s="4">
        <f t="shared" si="96"/>
        <v>8</v>
      </c>
      <c r="E832" s="4" t="s">
        <v>27</v>
      </c>
      <c r="F832" s="4">
        <f t="shared" si="97"/>
        <v>800</v>
      </c>
      <c r="G832" s="5">
        <f t="shared" si="103"/>
        <v>1.01</v>
      </c>
      <c r="H832" s="6" t="str">
        <f t="shared" si="98"/>
        <v>INSERT INTO public.coupon (plancode, age, "year", couponrate, benefittype, benefitrate, premiumrate) VALUES('EN60', 23, 35, 8, 'A',800, 1.01);</v>
      </c>
      <c r="I832" s="6" t="str">
        <f t="shared" si="99"/>
        <v>{"age":"23", "year":"35", "couponrate":"8", "benefittype":"A", "benefitrate":"800", "premiumrate":"1.01"}</v>
      </c>
      <c r="J832" s="6" t="str">
        <f t="shared" si="100"/>
        <v>,</v>
      </c>
    </row>
    <row r="833" spans="1:10">
      <c r="A833" s="4" t="str">
        <f>'EN60'!A$3</f>
        <v>EN60</v>
      </c>
      <c r="B833" s="4">
        <f t="shared" si="101"/>
        <v>23</v>
      </c>
      <c r="C833" s="4">
        <f t="shared" si="102"/>
        <v>36</v>
      </c>
      <c r="D833" s="4">
        <f t="shared" si="96"/>
        <v>8</v>
      </c>
      <c r="E833" s="4" t="s">
        <v>27</v>
      </c>
      <c r="F833" s="4">
        <f t="shared" si="97"/>
        <v>800</v>
      </c>
      <c r="G833" s="5">
        <f t="shared" si="103"/>
        <v>1.01</v>
      </c>
      <c r="H833" s="6" t="str">
        <f t="shared" si="98"/>
        <v>INSERT INTO public.coupon (plancode, age, "year", couponrate, benefittype, benefitrate, premiumrate) VALUES('EN60', 23, 36, 8, 'A',800, 1.01);</v>
      </c>
      <c r="I833" s="6" t="str">
        <f t="shared" si="99"/>
        <v>{"age":"23", "year":"36", "couponrate":"8", "benefittype":"A", "benefitrate":"800", "premiumrate":"1.01"}</v>
      </c>
      <c r="J833" s="6" t="str">
        <f t="shared" si="100"/>
        <v>,</v>
      </c>
    </row>
    <row r="834" spans="1:10">
      <c r="A834" s="4" t="str">
        <f>'EN60'!A$3</f>
        <v>EN60</v>
      </c>
      <c r="B834" s="4">
        <f t="shared" si="101"/>
        <v>23</v>
      </c>
      <c r="C834" s="4">
        <f t="shared" si="102"/>
        <v>37</v>
      </c>
      <c r="D834" s="4">
        <f t="shared" si="96"/>
        <v>8</v>
      </c>
      <c r="E834" s="4" t="s">
        <v>27</v>
      </c>
      <c r="F834" s="4">
        <f t="shared" si="97"/>
        <v>800</v>
      </c>
      <c r="G834" s="5">
        <f t="shared" si="103"/>
        <v>1.01</v>
      </c>
      <c r="H834" s="6" t="str">
        <f t="shared" si="98"/>
        <v>INSERT INTO public.coupon (plancode, age, "year", couponrate, benefittype, benefitrate, premiumrate) VALUES('EN60', 23, 37, 8, 'A',800, 1.01);</v>
      </c>
      <c r="I834" s="6" t="str">
        <f t="shared" si="99"/>
        <v>{"age":"23", "year":"37", "couponrate":"8", "benefittype":"A", "benefitrate":"800", "premiumrate":"1.01"}</v>
      </c>
      <c r="J834" s="6" t="str">
        <f t="shared" si="100"/>
        <v>,</v>
      </c>
    </row>
    <row r="835" spans="1:10">
      <c r="A835" s="4" t="str">
        <f>'EN60'!A$3</f>
        <v>EN60</v>
      </c>
      <c r="B835" s="4">
        <f t="shared" si="101"/>
        <v>23</v>
      </c>
      <c r="C835" s="4">
        <f t="shared" si="102"/>
        <v>38</v>
      </c>
      <c r="D835" s="4">
        <f t="shared" si="96"/>
        <v>8</v>
      </c>
      <c r="E835" s="4" t="s">
        <v>27</v>
      </c>
      <c r="F835" s="4">
        <f t="shared" si="97"/>
        <v>800</v>
      </c>
      <c r="G835" s="5">
        <f t="shared" si="103"/>
        <v>1.01</v>
      </c>
      <c r="H835" s="6" t="str">
        <f t="shared" si="98"/>
        <v>INSERT INTO public.coupon (plancode, age, "year", couponrate, benefittype, benefitrate, premiumrate) VALUES('EN60', 23, 38, 8, 'A',800, 1.01);</v>
      </c>
      <c r="I835" s="6" t="str">
        <f t="shared" si="99"/>
        <v>{"age":"23", "year":"38", "couponrate":"8", "benefittype":"A", "benefitrate":"800", "premiumrate":"1.01"}</v>
      </c>
      <c r="J835" s="6" t="str">
        <f t="shared" si="100"/>
        <v>,</v>
      </c>
    </row>
    <row r="836" spans="1:10">
      <c r="A836" s="4" t="str">
        <f>'EN60'!A$3</f>
        <v>EN60</v>
      </c>
      <c r="B836" s="4">
        <f t="shared" si="101"/>
        <v>23</v>
      </c>
      <c r="C836" s="4">
        <f t="shared" si="102"/>
        <v>39</v>
      </c>
      <c r="D836" s="4">
        <f t="shared" si="96"/>
        <v>8</v>
      </c>
      <c r="E836" s="4" t="s">
        <v>27</v>
      </c>
      <c r="F836" s="4">
        <f t="shared" si="97"/>
        <v>800</v>
      </c>
      <c r="G836" s="5">
        <f t="shared" si="103"/>
        <v>1.01</v>
      </c>
      <c r="H836" s="6" t="str">
        <f t="shared" si="98"/>
        <v>INSERT INTO public.coupon (plancode, age, "year", couponrate, benefittype, benefitrate, premiumrate) VALUES('EN60', 23, 39, 8, 'A',800, 1.01);</v>
      </c>
      <c r="I836" s="6" t="str">
        <f t="shared" si="99"/>
        <v>{"age":"23", "year":"39", "couponrate":"8", "benefittype":"A", "benefitrate":"800", "premiumrate":"1.01"}</v>
      </c>
      <c r="J836" s="6" t="str">
        <f t="shared" si="100"/>
        <v>,</v>
      </c>
    </row>
    <row r="837" spans="1:10">
      <c r="A837" s="4" t="str">
        <f>'EN60'!A$3</f>
        <v>EN60</v>
      </c>
      <c r="B837" s="4">
        <f t="shared" si="101"/>
        <v>23</v>
      </c>
      <c r="C837" s="4">
        <f t="shared" si="102"/>
        <v>40</v>
      </c>
      <c r="D837" s="4">
        <f t="shared" si="96"/>
        <v>8</v>
      </c>
      <c r="E837" s="4" t="s">
        <v>27</v>
      </c>
      <c r="F837" s="4">
        <f t="shared" si="97"/>
        <v>800</v>
      </c>
      <c r="G837" s="5">
        <f t="shared" si="103"/>
        <v>1.01</v>
      </c>
      <c r="H837" s="6" t="str">
        <f t="shared" si="98"/>
        <v>INSERT INTO public.coupon (plancode, age, "year", couponrate, benefittype, benefitrate, premiumrate) VALUES('EN60', 23, 40, 8, 'A',800, 1.01);</v>
      </c>
      <c r="I837" s="6" t="str">
        <f t="shared" si="99"/>
        <v>{"age":"23", "year":"40", "couponrate":"8", "benefittype":"A", "benefitrate":"800", "premiumrate":"1.01"}</v>
      </c>
      <c r="J837" s="6" t="str">
        <f t="shared" si="100"/>
        <v>,</v>
      </c>
    </row>
    <row r="838" spans="1:10">
      <c r="A838" s="4" t="str">
        <f>'EN60'!A$3</f>
        <v>EN60</v>
      </c>
      <c r="B838" s="4">
        <f t="shared" si="101"/>
        <v>23</v>
      </c>
      <c r="C838" s="4">
        <f t="shared" si="102"/>
        <v>41</v>
      </c>
      <c r="D838" s="4">
        <f t="shared" si="96"/>
        <v>8</v>
      </c>
      <c r="E838" s="4" t="s">
        <v>27</v>
      </c>
      <c r="F838" s="4">
        <f t="shared" si="97"/>
        <v>800</v>
      </c>
      <c r="G838" s="5">
        <f t="shared" si="103"/>
        <v>1.01</v>
      </c>
      <c r="H838" s="6" t="str">
        <f t="shared" si="98"/>
        <v>INSERT INTO public.coupon (plancode, age, "year", couponrate, benefittype, benefitrate, premiumrate) VALUES('EN60', 23, 41, 8, 'A',800, 1.01);</v>
      </c>
      <c r="I838" s="6" t="str">
        <f t="shared" si="99"/>
        <v>{"age":"23", "year":"41", "couponrate":"8", "benefittype":"A", "benefitrate":"800", "premiumrate":"1.01"}</v>
      </c>
      <c r="J838" s="6" t="str">
        <f t="shared" si="100"/>
        <v>,</v>
      </c>
    </row>
    <row r="839" spans="1:10">
      <c r="A839" s="4" t="str">
        <f>'EN60'!A$3</f>
        <v>EN60</v>
      </c>
      <c r="B839" s="4">
        <f t="shared" si="101"/>
        <v>23</v>
      </c>
      <c r="C839" s="4">
        <f t="shared" si="102"/>
        <v>42</v>
      </c>
      <c r="D839" s="4">
        <f t="shared" si="96"/>
        <v>8</v>
      </c>
      <c r="E839" s="4" t="s">
        <v>27</v>
      </c>
      <c r="F839" s="4">
        <f t="shared" si="97"/>
        <v>800</v>
      </c>
      <c r="G839" s="5">
        <f t="shared" si="103"/>
        <v>1.01</v>
      </c>
      <c r="H839" s="6" t="str">
        <f t="shared" si="98"/>
        <v>INSERT INTO public.coupon (plancode, age, "year", couponrate, benefittype, benefitrate, premiumrate) VALUES('EN60', 23, 42, 8, 'A',800, 1.01);</v>
      </c>
      <c r="I839" s="6" t="str">
        <f t="shared" si="99"/>
        <v>{"age":"23", "year":"42", "couponrate":"8", "benefittype":"A", "benefitrate":"800", "premiumrate":"1.01"}</v>
      </c>
      <c r="J839" s="6" t="str">
        <f t="shared" si="100"/>
        <v>,</v>
      </c>
    </row>
    <row r="840" spans="1:10">
      <c r="A840" s="4" t="str">
        <f>'EN60'!A$3</f>
        <v>EN60</v>
      </c>
      <c r="B840" s="4">
        <f t="shared" si="101"/>
        <v>23</v>
      </c>
      <c r="C840" s="4">
        <f t="shared" si="102"/>
        <v>43</v>
      </c>
      <c r="D840" s="4">
        <f t="shared" si="96"/>
        <v>8</v>
      </c>
      <c r="E840" s="4" t="s">
        <v>27</v>
      </c>
      <c r="F840" s="4">
        <f t="shared" si="97"/>
        <v>800</v>
      </c>
      <c r="G840" s="5">
        <f t="shared" si="103"/>
        <v>1.01</v>
      </c>
      <c r="H840" s="6" t="str">
        <f t="shared" si="98"/>
        <v>INSERT INTO public.coupon (plancode, age, "year", couponrate, benefittype, benefitrate, premiumrate) VALUES('EN60', 23, 43, 8, 'A',800, 1.01);</v>
      </c>
      <c r="I840" s="6" t="str">
        <f t="shared" si="99"/>
        <v>{"age":"23", "year":"43", "couponrate":"8", "benefittype":"A", "benefitrate":"800", "premiumrate":"1.01"}</v>
      </c>
      <c r="J840" s="6" t="str">
        <f t="shared" si="100"/>
        <v>,</v>
      </c>
    </row>
    <row r="841" spans="1:10">
      <c r="A841" s="4" t="str">
        <f>'EN60'!A$3</f>
        <v>EN60</v>
      </c>
      <c r="B841" s="4">
        <f t="shared" si="101"/>
        <v>23</v>
      </c>
      <c r="C841" s="4">
        <f t="shared" si="102"/>
        <v>44</v>
      </c>
      <c r="D841" s="4">
        <f t="shared" si="96"/>
        <v>8</v>
      </c>
      <c r="E841" s="4" t="s">
        <v>27</v>
      </c>
      <c r="F841" s="4">
        <f t="shared" si="97"/>
        <v>800</v>
      </c>
      <c r="G841" s="5">
        <f t="shared" si="103"/>
        <v>1.01</v>
      </c>
      <c r="H841" s="6" t="str">
        <f t="shared" si="98"/>
        <v>INSERT INTO public.coupon (plancode, age, "year", couponrate, benefittype, benefitrate, premiumrate) VALUES('EN60', 23, 44, 8, 'A',800, 1.01);</v>
      </c>
      <c r="I841" s="6" t="str">
        <f t="shared" si="99"/>
        <v>{"age":"23", "year":"44", "couponrate":"8", "benefittype":"A", "benefitrate":"800", "premiumrate":"1.01"}</v>
      </c>
      <c r="J841" s="6" t="str">
        <f t="shared" si="100"/>
        <v>,</v>
      </c>
    </row>
    <row r="842" spans="1:10">
      <c r="A842" s="4" t="str">
        <f>'EN60'!A$3</f>
        <v>EN60</v>
      </c>
      <c r="B842" s="4">
        <f t="shared" si="101"/>
        <v>23</v>
      </c>
      <c r="C842" s="4">
        <f t="shared" si="102"/>
        <v>45</v>
      </c>
      <c r="D842" s="4">
        <f t="shared" si="96"/>
        <v>8</v>
      </c>
      <c r="E842" s="4" t="s">
        <v>27</v>
      </c>
      <c r="F842" s="4">
        <f t="shared" si="97"/>
        <v>800</v>
      </c>
      <c r="G842" s="5">
        <f t="shared" si="103"/>
        <v>1.01</v>
      </c>
      <c r="H842" s="6" t="str">
        <f t="shared" si="98"/>
        <v>INSERT INTO public.coupon (plancode, age, "year", couponrate, benefittype, benefitrate, premiumrate) VALUES('EN60', 23, 45, 8, 'A',800, 1.01);</v>
      </c>
      <c r="I842" s="6" t="str">
        <f t="shared" si="99"/>
        <v>{"age":"23", "year":"45", "couponrate":"8", "benefittype":"A", "benefitrate":"800", "premiumrate":"1.01"}</v>
      </c>
      <c r="J842" s="6" t="str">
        <f t="shared" si="100"/>
        <v>,</v>
      </c>
    </row>
    <row r="843" spans="1:10">
      <c r="A843" s="4" t="str">
        <f>'EN60'!A$3</f>
        <v>EN60</v>
      </c>
      <c r="B843" s="4">
        <f t="shared" si="101"/>
        <v>23</v>
      </c>
      <c r="C843" s="4">
        <f t="shared" si="102"/>
        <v>46</v>
      </c>
      <c r="D843" s="4">
        <f t="shared" si="96"/>
        <v>8</v>
      </c>
      <c r="E843" s="4" t="s">
        <v>27</v>
      </c>
      <c r="F843" s="4">
        <f t="shared" si="97"/>
        <v>800</v>
      </c>
      <c r="G843" s="5">
        <f t="shared" si="103"/>
        <v>1.01</v>
      </c>
      <c r="H843" s="6" t="str">
        <f t="shared" si="98"/>
        <v>INSERT INTO public.coupon (plancode, age, "year", couponrate, benefittype, benefitrate, premiumrate) VALUES('EN60', 23, 46, 8, 'A',800, 1.01);</v>
      </c>
      <c r="I843" s="6" t="str">
        <f t="shared" si="99"/>
        <v>{"age":"23", "year":"46", "couponrate":"8", "benefittype":"A", "benefitrate":"800", "premiumrate":"1.01"}</v>
      </c>
      <c r="J843" s="6" t="str">
        <f t="shared" si="100"/>
        <v>,</v>
      </c>
    </row>
    <row r="844" spans="1:10">
      <c r="A844" s="4" t="str">
        <f>'EN60'!A$3</f>
        <v>EN60</v>
      </c>
      <c r="B844" s="4">
        <f t="shared" si="101"/>
        <v>23</v>
      </c>
      <c r="C844" s="4">
        <f t="shared" si="102"/>
        <v>47</v>
      </c>
      <c r="D844" s="4">
        <f t="shared" si="96"/>
        <v>8</v>
      </c>
      <c r="E844" s="4" t="s">
        <v>27</v>
      </c>
      <c r="F844" s="4">
        <f t="shared" si="97"/>
        <v>800</v>
      </c>
      <c r="G844" s="5">
        <f t="shared" si="103"/>
        <v>1.01</v>
      </c>
      <c r="H844" s="6" t="str">
        <f t="shared" si="98"/>
        <v>INSERT INTO public.coupon (plancode, age, "year", couponrate, benefittype, benefitrate, premiumrate) VALUES('EN60', 23, 47, 8, 'A',800, 1.01);</v>
      </c>
      <c r="I844" s="6" t="str">
        <f t="shared" si="99"/>
        <v>{"age":"23", "year":"47", "couponrate":"8", "benefittype":"A", "benefitrate":"800", "premiumrate":"1.01"}</v>
      </c>
      <c r="J844" s="6" t="str">
        <f t="shared" si="100"/>
        <v>,</v>
      </c>
    </row>
    <row r="845" spans="1:10">
      <c r="A845" s="4" t="str">
        <f>'EN60'!A$3</f>
        <v>EN60</v>
      </c>
      <c r="B845" s="4">
        <f t="shared" si="101"/>
        <v>23</v>
      </c>
      <c r="C845" s="4">
        <f t="shared" si="102"/>
        <v>48</v>
      </c>
      <c r="D845" s="4">
        <f t="shared" si="96"/>
        <v>8</v>
      </c>
      <c r="E845" s="4" t="s">
        <v>27</v>
      </c>
      <c r="F845" s="4">
        <f t="shared" si="97"/>
        <v>800</v>
      </c>
      <c r="G845" s="5">
        <f t="shared" si="103"/>
        <v>1.01</v>
      </c>
      <c r="H845" s="6" t="str">
        <f t="shared" si="98"/>
        <v>INSERT INTO public.coupon (plancode, age, "year", couponrate, benefittype, benefitrate, premiumrate) VALUES('EN60', 23, 48, 8, 'A',800, 1.01);</v>
      </c>
      <c r="I845" s="6" t="str">
        <f t="shared" si="99"/>
        <v>{"age":"23", "year":"48", "couponrate":"8", "benefittype":"A", "benefitrate":"800", "premiumrate":"1.01"}</v>
      </c>
      <c r="J845" s="6" t="str">
        <f t="shared" si="100"/>
        <v>,</v>
      </c>
    </row>
    <row r="846" spans="1:10">
      <c r="A846" s="4" t="str">
        <f>'EN60'!A$3</f>
        <v>EN60</v>
      </c>
      <c r="B846" s="4">
        <f t="shared" si="101"/>
        <v>23</v>
      </c>
      <c r="C846" s="4">
        <f t="shared" si="102"/>
        <v>49</v>
      </c>
      <c r="D846" s="4">
        <f t="shared" si="96"/>
        <v>8</v>
      </c>
      <c r="E846" s="4" t="s">
        <v>27</v>
      </c>
      <c r="F846" s="4">
        <f t="shared" si="97"/>
        <v>800</v>
      </c>
      <c r="G846" s="5">
        <f t="shared" si="103"/>
        <v>1.01</v>
      </c>
      <c r="H846" s="6" t="str">
        <f t="shared" si="98"/>
        <v>INSERT INTO public.coupon (plancode, age, "year", couponrate, benefittype, benefitrate, premiumrate) VALUES('EN60', 23, 49, 8, 'A',800, 1.01);</v>
      </c>
      <c r="I846" s="6" t="str">
        <f t="shared" si="99"/>
        <v>{"age":"23", "year":"49", "couponrate":"8", "benefittype":"A", "benefitrate":"800", "premiumrate":"1.01"}</v>
      </c>
      <c r="J846" s="6" t="str">
        <f t="shared" si="100"/>
        <v>,</v>
      </c>
    </row>
    <row r="847" spans="1:10">
      <c r="A847" s="4" t="str">
        <f>'EN60'!A$3</f>
        <v>EN60</v>
      </c>
      <c r="B847" s="4">
        <f t="shared" si="101"/>
        <v>23</v>
      </c>
      <c r="C847" s="4">
        <f t="shared" si="102"/>
        <v>50</v>
      </c>
      <c r="D847" s="4">
        <f t="shared" si="96"/>
        <v>8</v>
      </c>
      <c r="E847" s="4" t="s">
        <v>27</v>
      </c>
      <c r="F847" s="4">
        <f t="shared" si="97"/>
        <v>800</v>
      </c>
      <c r="G847" s="5">
        <f t="shared" si="103"/>
        <v>1.01</v>
      </c>
      <c r="H847" s="6" t="str">
        <f t="shared" si="98"/>
        <v>INSERT INTO public.coupon (plancode, age, "year", couponrate, benefittype, benefitrate, premiumrate) VALUES('EN60', 23, 50, 8, 'A',800, 1.01);</v>
      </c>
      <c r="I847" s="6" t="str">
        <f t="shared" si="99"/>
        <v>{"age":"23", "year":"50", "couponrate":"8", "benefittype":"A", "benefitrate":"800", "premiumrate":"1.01"}</v>
      </c>
      <c r="J847" s="6" t="str">
        <f t="shared" si="100"/>
        <v>,</v>
      </c>
    </row>
    <row r="848" spans="1:10">
      <c r="A848" s="4" t="str">
        <f>'EN60'!A$3</f>
        <v>EN60</v>
      </c>
      <c r="B848" s="4">
        <f t="shared" si="101"/>
        <v>23</v>
      </c>
      <c r="C848" s="4">
        <f t="shared" si="102"/>
        <v>51</v>
      </c>
      <c r="D848" s="4">
        <f t="shared" si="96"/>
        <v>8</v>
      </c>
      <c r="E848" s="4" t="s">
        <v>27</v>
      </c>
      <c r="F848" s="4">
        <f t="shared" si="97"/>
        <v>800</v>
      </c>
      <c r="G848" s="5">
        <f t="shared" si="103"/>
        <v>1.01</v>
      </c>
      <c r="H848" s="6" t="str">
        <f t="shared" si="98"/>
        <v>INSERT INTO public.coupon (plancode, age, "year", couponrate, benefittype, benefitrate, premiumrate) VALUES('EN60', 23, 51, 8, 'A',800, 1.01);</v>
      </c>
      <c r="I848" s="6" t="str">
        <f t="shared" si="99"/>
        <v>{"age":"23", "year":"51", "couponrate":"8", "benefittype":"A", "benefitrate":"800", "premiumrate":"1.01"}</v>
      </c>
      <c r="J848" s="6" t="str">
        <f t="shared" si="100"/>
        <v>,</v>
      </c>
    </row>
    <row r="849" spans="1:10">
      <c r="A849" s="4" t="str">
        <f>'EN60'!A$3</f>
        <v>EN60</v>
      </c>
      <c r="B849" s="4">
        <f t="shared" si="101"/>
        <v>23</v>
      </c>
      <c r="C849" s="4">
        <f t="shared" si="102"/>
        <v>52</v>
      </c>
      <c r="D849" s="4">
        <f t="shared" si="96"/>
        <v>8</v>
      </c>
      <c r="E849" s="4" t="s">
        <v>27</v>
      </c>
      <c r="F849" s="4">
        <f t="shared" si="97"/>
        <v>800</v>
      </c>
      <c r="G849" s="5">
        <f t="shared" si="103"/>
        <v>1.01</v>
      </c>
      <c r="H849" s="6" t="str">
        <f t="shared" si="98"/>
        <v>INSERT INTO public.coupon (plancode, age, "year", couponrate, benefittype, benefitrate, premiumrate) VALUES('EN60', 23, 52, 8, 'A',800, 1.01);</v>
      </c>
      <c r="I849" s="6" t="str">
        <f t="shared" si="99"/>
        <v>{"age":"23", "year":"52", "couponrate":"8", "benefittype":"A", "benefitrate":"800", "premiumrate":"1.01"}</v>
      </c>
      <c r="J849" s="6" t="str">
        <f t="shared" si="100"/>
        <v>,</v>
      </c>
    </row>
    <row r="850" spans="1:10">
      <c r="A850" s="4" t="str">
        <f>'EN60'!A$3</f>
        <v>EN60</v>
      </c>
      <c r="B850" s="4">
        <f t="shared" si="101"/>
        <v>23</v>
      </c>
      <c r="C850" s="4">
        <f t="shared" si="102"/>
        <v>53</v>
      </c>
      <c r="D850" s="4">
        <f t="shared" si="96"/>
        <v>8</v>
      </c>
      <c r="E850" s="4" t="s">
        <v>27</v>
      </c>
      <c r="F850" s="4">
        <f t="shared" si="97"/>
        <v>800</v>
      </c>
      <c r="G850" s="5">
        <f t="shared" si="103"/>
        <v>1.01</v>
      </c>
      <c r="H850" s="6" t="str">
        <f t="shared" si="98"/>
        <v>INSERT INTO public.coupon (plancode, age, "year", couponrate, benefittype, benefitrate, premiumrate) VALUES('EN60', 23, 53, 8, 'A',800, 1.01);</v>
      </c>
      <c r="I850" s="6" t="str">
        <f t="shared" si="99"/>
        <v>{"age":"23", "year":"53", "couponrate":"8", "benefittype":"A", "benefitrate":"800", "premiumrate":"1.01"}</v>
      </c>
      <c r="J850" s="6" t="str">
        <f t="shared" si="100"/>
        <v>,</v>
      </c>
    </row>
    <row r="851" spans="1:10">
      <c r="A851" s="4" t="str">
        <f>'EN60'!A$3</f>
        <v>EN60</v>
      </c>
      <c r="B851" s="4">
        <f t="shared" si="101"/>
        <v>23</v>
      </c>
      <c r="C851" s="4">
        <f t="shared" si="102"/>
        <v>54</v>
      </c>
      <c r="D851" s="4">
        <f t="shared" si="96"/>
        <v>8</v>
      </c>
      <c r="E851" s="4" t="s">
        <v>27</v>
      </c>
      <c r="F851" s="4">
        <f t="shared" si="97"/>
        <v>800</v>
      </c>
      <c r="G851" s="5">
        <f t="shared" si="103"/>
        <v>1.01</v>
      </c>
      <c r="H851" s="6" t="str">
        <f t="shared" si="98"/>
        <v>INSERT INTO public.coupon (plancode, age, "year", couponrate, benefittype, benefitrate, premiumrate) VALUES('EN60', 23, 54, 8, 'A',800, 1.01);</v>
      </c>
      <c r="I851" s="6" t="str">
        <f t="shared" si="99"/>
        <v>{"age":"23", "year":"54", "couponrate":"8", "benefittype":"A", "benefitrate":"800", "premiumrate":"1.01"}</v>
      </c>
      <c r="J851" s="6" t="str">
        <f t="shared" si="100"/>
        <v>,</v>
      </c>
    </row>
    <row r="852" spans="1:10">
      <c r="A852" s="4" t="str">
        <f>'EN60'!A$3</f>
        <v>EN60</v>
      </c>
      <c r="B852" s="4">
        <f t="shared" si="101"/>
        <v>23</v>
      </c>
      <c r="C852" s="4">
        <f t="shared" si="102"/>
        <v>55</v>
      </c>
      <c r="D852" s="4">
        <f t="shared" si="96"/>
        <v>8</v>
      </c>
      <c r="E852" s="4" t="s">
        <v>27</v>
      </c>
      <c r="F852" s="4">
        <f t="shared" si="97"/>
        <v>800</v>
      </c>
      <c r="G852" s="5">
        <f t="shared" si="103"/>
        <v>1.01</v>
      </c>
      <c r="H852" s="6" t="str">
        <f t="shared" si="98"/>
        <v>INSERT INTO public.coupon (plancode, age, "year", couponrate, benefittype, benefitrate, premiumrate) VALUES('EN60', 23, 55, 8, 'A',800, 1.01);</v>
      </c>
      <c r="I852" s="6" t="str">
        <f t="shared" si="99"/>
        <v>{"age":"23", "year":"55", "couponrate":"8", "benefittype":"A", "benefitrate":"800", "premiumrate":"1.01"}</v>
      </c>
      <c r="J852" s="6" t="str">
        <f t="shared" si="100"/>
        <v>,</v>
      </c>
    </row>
    <row r="853" spans="1:10">
      <c r="A853" s="4" t="str">
        <f>'EN60'!A$3</f>
        <v>EN60</v>
      </c>
      <c r="B853" s="4">
        <f t="shared" si="101"/>
        <v>23</v>
      </c>
      <c r="C853" s="4">
        <f t="shared" si="102"/>
        <v>56</v>
      </c>
      <c r="D853" s="4">
        <f t="shared" si="96"/>
        <v>8</v>
      </c>
      <c r="E853" s="4" t="s">
        <v>27</v>
      </c>
      <c r="F853" s="4">
        <f t="shared" si="97"/>
        <v>800</v>
      </c>
      <c r="G853" s="5">
        <f t="shared" si="103"/>
        <v>1.01</v>
      </c>
      <c r="H853" s="6" t="str">
        <f t="shared" si="98"/>
        <v>INSERT INTO public.coupon (plancode, age, "year", couponrate, benefittype, benefitrate, premiumrate) VALUES('EN60', 23, 56, 8, 'A',800, 1.01);</v>
      </c>
      <c r="I853" s="6" t="str">
        <f t="shared" si="99"/>
        <v>{"age":"23", "year":"56", "couponrate":"8", "benefittype":"A", "benefitrate":"800", "premiumrate":"1.01"}</v>
      </c>
      <c r="J853" s="6" t="str">
        <f t="shared" si="100"/>
        <v>,</v>
      </c>
    </row>
    <row r="854" spans="1:10">
      <c r="A854" s="4" t="str">
        <f>'EN60'!A$3</f>
        <v>EN60</v>
      </c>
      <c r="B854" s="4">
        <f t="shared" si="101"/>
        <v>23</v>
      </c>
      <c r="C854" s="4">
        <f t="shared" si="102"/>
        <v>57</v>
      </c>
      <c r="D854" s="4">
        <f t="shared" si="96"/>
        <v>0</v>
      </c>
      <c r="E854" s="4" t="s">
        <v>27</v>
      </c>
      <c r="F854" s="4">
        <f t="shared" si="97"/>
        <v>800</v>
      </c>
      <c r="G854" s="5">
        <f t="shared" si="103"/>
        <v>1.01</v>
      </c>
      <c r="H854" s="6" t="str">
        <f t="shared" si="98"/>
        <v>INSERT INTO public.coupon (plancode, age, "year", couponrate, benefittype, benefitrate, premiumrate) VALUES('EN60', 23, 57, 0, 'A',800, 1.01);</v>
      </c>
      <c r="I854" s="6" t="str">
        <f t="shared" si="99"/>
        <v>{"age":"23", "year":"57", "couponrate":"0", "benefittype":"A", "benefitrate":"800", "premiumrate":"1.01"}</v>
      </c>
    </row>
    <row r="855" spans="1:10">
      <c r="C855" s="6"/>
      <c r="I855" s="6" t="s">
        <v>28</v>
      </c>
    </row>
    <row r="856" spans="1:10">
      <c r="A856" s="3" t="s">
        <v>2</v>
      </c>
      <c r="B856" s="3" t="s">
        <v>23</v>
      </c>
      <c r="C856" s="3" t="s">
        <v>24</v>
      </c>
      <c r="D856" s="3" t="s">
        <v>25</v>
      </c>
      <c r="E856" s="3" t="s">
        <v>8</v>
      </c>
      <c r="F856" s="3" t="s">
        <v>26</v>
      </c>
      <c r="G856" s="3" t="s">
        <v>4</v>
      </c>
      <c r="I856" s="6" t="str">
        <f>"[{""plancode"":"""&amp;A857&amp;""",""returncash"":"""&amp;B$7&amp;""",""ytable"":"""&amp;C$7&amp;""",""maturerate"":"""&amp;B$3&amp;""",""maturepmrate"":"""&amp;C$3&amp;""",""coupon"":["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857" spans="1:10">
      <c r="A857" s="4" t="str">
        <f>'EN60'!A$3</f>
        <v>EN60</v>
      </c>
      <c r="B857" s="8">
        <v>24</v>
      </c>
      <c r="C857" s="4">
        <v>1</v>
      </c>
      <c r="D857" s="4">
        <f t="shared" ref="D857:D912" si="104">IF(C857+B857=80,0,8)</f>
        <v>8</v>
      </c>
      <c r="E857" s="4" t="s">
        <v>27</v>
      </c>
      <c r="F857" s="4">
        <f t="shared" ref="F857:F912" si="105">IF(C857&gt;7, 800, C857*100)</f>
        <v>100</v>
      </c>
      <c r="G857" s="5">
        <f>'EN60'!C$3</f>
        <v>1.01</v>
      </c>
      <c r="H857" s="6" t="str">
        <f t="shared" ref="H857:H912" si="106">"INSERT INTO public.coupon ("&amp;A$11&amp;", "&amp;B$11&amp;", """&amp;C$11&amp;""", "&amp;D$11&amp;", "&amp;E$11&amp;", "&amp;F$11&amp;", "&amp;G$11&amp;") VALUES('"&amp;A857&amp;"', "&amp;B857&amp;", "&amp;C857&amp;", "&amp;D857&amp;", '"&amp;E857&amp;"',"&amp;F857&amp;", "&amp;G857&amp;");"</f>
        <v>INSERT INTO public.coupon (plancode, age, "year", couponrate, benefittype, benefitrate, premiumrate) VALUES('EN60', 24, 1, 8, 'A',100, 1.01);</v>
      </c>
      <c r="I857" s="6" t="str">
        <f t="shared" ref="I857:I912" si="107">"{""age"":"""&amp;B857&amp;""", ""year"":"""&amp;C857&amp;""", ""couponrate"":"""&amp;D857&amp;""", ""benefittype"":"""&amp;E857&amp;""", ""benefitrate"":"""&amp;F857&amp;""", """&amp;G$11&amp;""":"""&amp;G857&amp;"""}"</f>
        <v>{"age":"24", "year":"1", "couponrate":"8", "benefittype":"A", "benefitrate":"100", "premiumrate":"1.01"}</v>
      </c>
      <c r="J857" s="6" t="str">
        <f t="shared" ref="J857:J911" si="108">IF(OR(I858="]", I857="[", I857="]"), "", ",")</f>
        <v>,</v>
      </c>
    </row>
    <row r="858" spans="1:10">
      <c r="A858" s="4" t="str">
        <f>'EN60'!A$3</f>
        <v>EN60</v>
      </c>
      <c r="B858" s="4">
        <f t="shared" ref="B858:B912" si="109">B857</f>
        <v>24</v>
      </c>
      <c r="C858" s="4">
        <f t="shared" ref="C858:C912" si="110">C857+1</f>
        <v>2</v>
      </c>
      <c r="D858" s="4">
        <f t="shared" si="104"/>
        <v>8</v>
      </c>
      <c r="E858" s="4" t="s">
        <v>27</v>
      </c>
      <c r="F858" s="4">
        <f t="shared" si="105"/>
        <v>200</v>
      </c>
      <c r="G858" s="5">
        <f t="shared" ref="G858:G912" si="111">G857</f>
        <v>1.01</v>
      </c>
      <c r="H858" s="6" t="str">
        <f t="shared" si="106"/>
        <v>INSERT INTO public.coupon (plancode, age, "year", couponrate, benefittype, benefitrate, premiumrate) VALUES('EN60', 24, 2, 8, 'A',200, 1.01);</v>
      </c>
      <c r="I858" s="6" t="str">
        <f t="shared" si="107"/>
        <v>{"age":"24", "year":"2", "couponrate":"8", "benefittype":"A", "benefitrate":"200", "premiumrate":"1.01"}</v>
      </c>
      <c r="J858" s="6" t="str">
        <f t="shared" si="108"/>
        <v>,</v>
      </c>
    </row>
    <row r="859" spans="1:10">
      <c r="A859" s="4" t="str">
        <f>'EN60'!A$3</f>
        <v>EN60</v>
      </c>
      <c r="B859" s="4">
        <f t="shared" si="109"/>
        <v>24</v>
      </c>
      <c r="C859" s="4">
        <f t="shared" si="110"/>
        <v>3</v>
      </c>
      <c r="D859" s="4">
        <f t="shared" si="104"/>
        <v>8</v>
      </c>
      <c r="E859" s="4" t="s">
        <v>27</v>
      </c>
      <c r="F859" s="4">
        <f t="shared" si="105"/>
        <v>300</v>
      </c>
      <c r="G859" s="5">
        <f t="shared" si="111"/>
        <v>1.01</v>
      </c>
      <c r="H859" s="6" t="str">
        <f t="shared" si="106"/>
        <v>INSERT INTO public.coupon (plancode, age, "year", couponrate, benefittype, benefitrate, premiumrate) VALUES('EN60', 24, 3, 8, 'A',300, 1.01);</v>
      </c>
      <c r="I859" s="6" t="str">
        <f t="shared" si="107"/>
        <v>{"age":"24", "year":"3", "couponrate":"8", "benefittype":"A", "benefitrate":"300", "premiumrate":"1.01"}</v>
      </c>
      <c r="J859" s="6" t="str">
        <f t="shared" si="108"/>
        <v>,</v>
      </c>
    </row>
    <row r="860" spans="1:10">
      <c r="A860" s="4" t="str">
        <f>'EN60'!A$3</f>
        <v>EN60</v>
      </c>
      <c r="B860" s="4">
        <f t="shared" si="109"/>
        <v>24</v>
      </c>
      <c r="C860" s="4">
        <f t="shared" si="110"/>
        <v>4</v>
      </c>
      <c r="D860" s="4">
        <f t="shared" si="104"/>
        <v>8</v>
      </c>
      <c r="E860" s="4" t="s">
        <v>27</v>
      </c>
      <c r="F860" s="4">
        <f t="shared" si="105"/>
        <v>400</v>
      </c>
      <c r="G860" s="5">
        <f t="shared" si="111"/>
        <v>1.01</v>
      </c>
      <c r="H860" s="6" t="str">
        <f t="shared" si="106"/>
        <v>INSERT INTO public.coupon (plancode, age, "year", couponrate, benefittype, benefitrate, premiumrate) VALUES('EN60', 24, 4, 8, 'A',400, 1.01);</v>
      </c>
      <c r="I860" s="6" t="str">
        <f t="shared" si="107"/>
        <v>{"age":"24", "year":"4", "couponrate":"8", "benefittype":"A", "benefitrate":"400", "premiumrate":"1.01"}</v>
      </c>
      <c r="J860" s="6" t="str">
        <f t="shared" si="108"/>
        <v>,</v>
      </c>
    </row>
    <row r="861" spans="1:10">
      <c r="A861" s="4" t="str">
        <f>'EN60'!A$3</f>
        <v>EN60</v>
      </c>
      <c r="B861" s="4">
        <f t="shared" si="109"/>
        <v>24</v>
      </c>
      <c r="C861" s="4">
        <f t="shared" si="110"/>
        <v>5</v>
      </c>
      <c r="D861" s="4">
        <f t="shared" si="104"/>
        <v>8</v>
      </c>
      <c r="E861" s="4" t="s">
        <v>27</v>
      </c>
      <c r="F861" s="4">
        <f t="shared" si="105"/>
        <v>500</v>
      </c>
      <c r="G861" s="5">
        <f t="shared" si="111"/>
        <v>1.01</v>
      </c>
      <c r="H861" s="6" t="str">
        <f t="shared" si="106"/>
        <v>INSERT INTO public.coupon (plancode, age, "year", couponrate, benefittype, benefitrate, premiumrate) VALUES('EN60', 24, 5, 8, 'A',500, 1.01);</v>
      </c>
      <c r="I861" s="6" t="str">
        <f t="shared" si="107"/>
        <v>{"age":"24", "year":"5", "couponrate":"8", "benefittype":"A", "benefitrate":"500", "premiumrate":"1.01"}</v>
      </c>
      <c r="J861" s="6" t="str">
        <f t="shared" si="108"/>
        <v>,</v>
      </c>
    </row>
    <row r="862" spans="1:10">
      <c r="A862" s="4" t="str">
        <f>'EN60'!A$3</f>
        <v>EN60</v>
      </c>
      <c r="B862" s="4">
        <f t="shared" si="109"/>
        <v>24</v>
      </c>
      <c r="C862" s="4">
        <f t="shared" si="110"/>
        <v>6</v>
      </c>
      <c r="D862" s="4">
        <f t="shared" si="104"/>
        <v>8</v>
      </c>
      <c r="E862" s="4" t="s">
        <v>27</v>
      </c>
      <c r="F862" s="4">
        <f t="shared" si="105"/>
        <v>600</v>
      </c>
      <c r="G862" s="5">
        <f t="shared" si="111"/>
        <v>1.01</v>
      </c>
      <c r="H862" s="6" t="str">
        <f t="shared" si="106"/>
        <v>INSERT INTO public.coupon (plancode, age, "year", couponrate, benefittype, benefitrate, premiumrate) VALUES('EN60', 24, 6, 8, 'A',600, 1.01);</v>
      </c>
      <c r="I862" s="6" t="str">
        <f t="shared" si="107"/>
        <v>{"age":"24", "year":"6", "couponrate":"8", "benefittype":"A", "benefitrate":"600", "premiumrate":"1.01"}</v>
      </c>
      <c r="J862" s="6" t="str">
        <f t="shared" si="108"/>
        <v>,</v>
      </c>
    </row>
    <row r="863" spans="1:10">
      <c r="A863" s="4" t="str">
        <f>'EN60'!A$3</f>
        <v>EN60</v>
      </c>
      <c r="B863" s="4">
        <f t="shared" si="109"/>
        <v>24</v>
      </c>
      <c r="C863" s="4">
        <f t="shared" si="110"/>
        <v>7</v>
      </c>
      <c r="D863" s="4">
        <f t="shared" si="104"/>
        <v>8</v>
      </c>
      <c r="E863" s="4" t="s">
        <v>27</v>
      </c>
      <c r="F863" s="4">
        <f t="shared" si="105"/>
        <v>700</v>
      </c>
      <c r="G863" s="5">
        <f t="shared" si="111"/>
        <v>1.01</v>
      </c>
      <c r="H863" s="6" t="str">
        <f t="shared" si="106"/>
        <v>INSERT INTO public.coupon (plancode, age, "year", couponrate, benefittype, benefitrate, premiumrate) VALUES('EN60', 24, 7, 8, 'A',700, 1.01);</v>
      </c>
      <c r="I863" s="6" t="str">
        <f t="shared" si="107"/>
        <v>{"age":"24", "year":"7", "couponrate":"8", "benefittype":"A", "benefitrate":"700", "premiumrate":"1.01"}</v>
      </c>
      <c r="J863" s="6" t="str">
        <f t="shared" si="108"/>
        <v>,</v>
      </c>
    </row>
    <row r="864" spans="1:10">
      <c r="A864" s="4" t="str">
        <f>'EN60'!A$3</f>
        <v>EN60</v>
      </c>
      <c r="B864" s="4">
        <f t="shared" si="109"/>
        <v>24</v>
      </c>
      <c r="C864" s="4">
        <f t="shared" si="110"/>
        <v>8</v>
      </c>
      <c r="D864" s="4">
        <f t="shared" si="104"/>
        <v>8</v>
      </c>
      <c r="E864" s="4" t="s">
        <v>27</v>
      </c>
      <c r="F864" s="4">
        <f t="shared" si="105"/>
        <v>800</v>
      </c>
      <c r="G864" s="5">
        <f t="shared" si="111"/>
        <v>1.01</v>
      </c>
      <c r="H864" s="6" t="str">
        <f t="shared" si="106"/>
        <v>INSERT INTO public.coupon (plancode, age, "year", couponrate, benefittype, benefitrate, premiumrate) VALUES('EN60', 24, 8, 8, 'A',800, 1.01);</v>
      </c>
      <c r="I864" s="6" t="str">
        <f t="shared" si="107"/>
        <v>{"age":"24", "year":"8", "couponrate":"8", "benefittype":"A", "benefitrate":"800", "premiumrate":"1.01"}</v>
      </c>
      <c r="J864" s="6" t="str">
        <f t="shared" si="108"/>
        <v>,</v>
      </c>
    </row>
    <row r="865" spans="1:10">
      <c r="A865" s="4" t="str">
        <f>'EN60'!A$3</f>
        <v>EN60</v>
      </c>
      <c r="B865" s="4">
        <f t="shared" si="109"/>
        <v>24</v>
      </c>
      <c r="C865" s="4">
        <f t="shared" si="110"/>
        <v>9</v>
      </c>
      <c r="D865" s="4">
        <f t="shared" si="104"/>
        <v>8</v>
      </c>
      <c r="E865" s="4" t="s">
        <v>27</v>
      </c>
      <c r="F865" s="4">
        <f t="shared" si="105"/>
        <v>800</v>
      </c>
      <c r="G865" s="5">
        <f t="shared" si="111"/>
        <v>1.01</v>
      </c>
      <c r="H865" s="6" t="str">
        <f t="shared" si="106"/>
        <v>INSERT INTO public.coupon (plancode, age, "year", couponrate, benefittype, benefitrate, premiumrate) VALUES('EN60', 24, 9, 8, 'A',800, 1.01);</v>
      </c>
      <c r="I865" s="6" t="str">
        <f t="shared" si="107"/>
        <v>{"age":"24", "year":"9", "couponrate":"8", "benefittype":"A", "benefitrate":"800", "premiumrate":"1.01"}</v>
      </c>
      <c r="J865" s="6" t="str">
        <f t="shared" si="108"/>
        <v>,</v>
      </c>
    </row>
    <row r="866" spans="1:10">
      <c r="A866" s="4" t="str">
        <f>'EN60'!A$3</f>
        <v>EN60</v>
      </c>
      <c r="B866" s="4">
        <f t="shared" si="109"/>
        <v>24</v>
      </c>
      <c r="C866" s="4">
        <f t="shared" si="110"/>
        <v>10</v>
      </c>
      <c r="D866" s="4">
        <f t="shared" si="104"/>
        <v>8</v>
      </c>
      <c r="E866" s="4" t="s">
        <v>27</v>
      </c>
      <c r="F866" s="4">
        <f t="shared" si="105"/>
        <v>800</v>
      </c>
      <c r="G866" s="5">
        <f t="shared" si="111"/>
        <v>1.01</v>
      </c>
      <c r="H866" s="6" t="str">
        <f t="shared" si="106"/>
        <v>INSERT INTO public.coupon (plancode, age, "year", couponrate, benefittype, benefitrate, premiumrate) VALUES('EN60', 24, 10, 8, 'A',800, 1.01);</v>
      </c>
      <c r="I866" s="6" t="str">
        <f t="shared" si="107"/>
        <v>{"age":"24", "year":"10", "couponrate":"8", "benefittype":"A", "benefitrate":"800", "premiumrate":"1.01"}</v>
      </c>
      <c r="J866" s="6" t="str">
        <f t="shared" si="108"/>
        <v>,</v>
      </c>
    </row>
    <row r="867" spans="1:10">
      <c r="A867" s="4" t="str">
        <f>'EN60'!A$3</f>
        <v>EN60</v>
      </c>
      <c r="B867" s="4">
        <f t="shared" si="109"/>
        <v>24</v>
      </c>
      <c r="C867" s="4">
        <f t="shared" si="110"/>
        <v>11</v>
      </c>
      <c r="D867" s="4">
        <f t="shared" si="104"/>
        <v>8</v>
      </c>
      <c r="E867" s="4" t="s">
        <v>27</v>
      </c>
      <c r="F867" s="4">
        <f t="shared" si="105"/>
        <v>800</v>
      </c>
      <c r="G867" s="5">
        <f t="shared" si="111"/>
        <v>1.01</v>
      </c>
      <c r="H867" s="6" t="str">
        <f t="shared" si="106"/>
        <v>INSERT INTO public.coupon (plancode, age, "year", couponrate, benefittype, benefitrate, premiumrate) VALUES('EN60', 24, 11, 8, 'A',800, 1.01);</v>
      </c>
      <c r="I867" s="6" t="str">
        <f t="shared" si="107"/>
        <v>{"age":"24", "year":"11", "couponrate":"8", "benefittype":"A", "benefitrate":"800", "premiumrate":"1.01"}</v>
      </c>
      <c r="J867" s="6" t="str">
        <f t="shared" si="108"/>
        <v>,</v>
      </c>
    </row>
    <row r="868" spans="1:10">
      <c r="A868" s="4" t="str">
        <f>'EN60'!A$3</f>
        <v>EN60</v>
      </c>
      <c r="B868" s="4">
        <f t="shared" si="109"/>
        <v>24</v>
      </c>
      <c r="C868" s="4">
        <f t="shared" si="110"/>
        <v>12</v>
      </c>
      <c r="D868" s="4">
        <f t="shared" si="104"/>
        <v>8</v>
      </c>
      <c r="E868" s="4" t="s">
        <v>27</v>
      </c>
      <c r="F868" s="4">
        <f t="shared" si="105"/>
        <v>800</v>
      </c>
      <c r="G868" s="5">
        <f t="shared" si="111"/>
        <v>1.01</v>
      </c>
      <c r="H868" s="6" t="str">
        <f t="shared" si="106"/>
        <v>INSERT INTO public.coupon (plancode, age, "year", couponrate, benefittype, benefitrate, premiumrate) VALUES('EN60', 24, 12, 8, 'A',800, 1.01);</v>
      </c>
      <c r="I868" s="6" t="str">
        <f t="shared" si="107"/>
        <v>{"age":"24", "year":"12", "couponrate":"8", "benefittype":"A", "benefitrate":"800", "premiumrate":"1.01"}</v>
      </c>
      <c r="J868" s="6" t="str">
        <f t="shared" si="108"/>
        <v>,</v>
      </c>
    </row>
    <row r="869" spans="1:10">
      <c r="A869" s="4" t="str">
        <f>'EN60'!A$3</f>
        <v>EN60</v>
      </c>
      <c r="B869" s="4">
        <f t="shared" si="109"/>
        <v>24</v>
      </c>
      <c r="C869" s="4">
        <f t="shared" si="110"/>
        <v>13</v>
      </c>
      <c r="D869" s="4">
        <f t="shared" si="104"/>
        <v>8</v>
      </c>
      <c r="E869" s="4" t="s">
        <v>27</v>
      </c>
      <c r="F869" s="4">
        <f t="shared" si="105"/>
        <v>800</v>
      </c>
      <c r="G869" s="5">
        <f t="shared" si="111"/>
        <v>1.01</v>
      </c>
      <c r="H869" s="6" t="str">
        <f t="shared" si="106"/>
        <v>INSERT INTO public.coupon (plancode, age, "year", couponrate, benefittype, benefitrate, premiumrate) VALUES('EN60', 24, 13, 8, 'A',800, 1.01);</v>
      </c>
      <c r="I869" s="6" t="str">
        <f t="shared" si="107"/>
        <v>{"age":"24", "year":"13", "couponrate":"8", "benefittype":"A", "benefitrate":"800", "premiumrate":"1.01"}</v>
      </c>
      <c r="J869" s="6" t="str">
        <f t="shared" si="108"/>
        <v>,</v>
      </c>
    </row>
    <row r="870" spans="1:10">
      <c r="A870" s="4" t="str">
        <f>'EN60'!A$3</f>
        <v>EN60</v>
      </c>
      <c r="B870" s="4">
        <f t="shared" si="109"/>
        <v>24</v>
      </c>
      <c r="C870" s="4">
        <f t="shared" si="110"/>
        <v>14</v>
      </c>
      <c r="D870" s="4">
        <f t="shared" si="104"/>
        <v>8</v>
      </c>
      <c r="E870" s="4" t="s">
        <v>27</v>
      </c>
      <c r="F870" s="4">
        <f t="shared" si="105"/>
        <v>800</v>
      </c>
      <c r="G870" s="5">
        <f t="shared" si="111"/>
        <v>1.01</v>
      </c>
      <c r="H870" s="6" t="str">
        <f t="shared" si="106"/>
        <v>INSERT INTO public.coupon (plancode, age, "year", couponrate, benefittype, benefitrate, premiumrate) VALUES('EN60', 24, 14, 8, 'A',800, 1.01);</v>
      </c>
      <c r="I870" s="6" t="str">
        <f t="shared" si="107"/>
        <v>{"age":"24", "year":"14", "couponrate":"8", "benefittype":"A", "benefitrate":"800", "premiumrate":"1.01"}</v>
      </c>
      <c r="J870" s="6" t="str">
        <f t="shared" si="108"/>
        <v>,</v>
      </c>
    </row>
    <row r="871" spans="1:10">
      <c r="A871" s="4" t="str">
        <f>'EN60'!A$3</f>
        <v>EN60</v>
      </c>
      <c r="B871" s="4">
        <f t="shared" si="109"/>
        <v>24</v>
      </c>
      <c r="C871" s="4">
        <f t="shared" si="110"/>
        <v>15</v>
      </c>
      <c r="D871" s="4">
        <f t="shared" si="104"/>
        <v>8</v>
      </c>
      <c r="E871" s="4" t="s">
        <v>27</v>
      </c>
      <c r="F871" s="4">
        <f t="shared" si="105"/>
        <v>800</v>
      </c>
      <c r="G871" s="5">
        <f t="shared" si="111"/>
        <v>1.01</v>
      </c>
      <c r="H871" s="6" t="str">
        <f t="shared" si="106"/>
        <v>INSERT INTO public.coupon (plancode, age, "year", couponrate, benefittype, benefitrate, premiumrate) VALUES('EN60', 24, 15, 8, 'A',800, 1.01);</v>
      </c>
      <c r="I871" s="6" t="str">
        <f t="shared" si="107"/>
        <v>{"age":"24", "year":"15", "couponrate":"8", "benefittype":"A", "benefitrate":"800", "premiumrate":"1.01"}</v>
      </c>
      <c r="J871" s="6" t="str">
        <f t="shared" si="108"/>
        <v>,</v>
      </c>
    </row>
    <row r="872" spans="1:10">
      <c r="A872" s="4" t="str">
        <f>'EN60'!A$3</f>
        <v>EN60</v>
      </c>
      <c r="B872" s="4">
        <f t="shared" si="109"/>
        <v>24</v>
      </c>
      <c r="C872" s="4">
        <f t="shared" si="110"/>
        <v>16</v>
      </c>
      <c r="D872" s="4">
        <f t="shared" si="104"/>
        <v>8</v>
      </c>
      <c r="E872" s="4" t="s">
        <v>27</v>
      </c>
      <c r="F872" s="4">
        <f t="shared" si="105"/>
        <v>800</v>
      </c>
      <c r="G872" s="5">
        <f t="shared" si="111"/>
        <v>1.01</v>
      </c>
      <c r="H872" s="6" t="str">
        <f t="shared" si="106"/>
        <v>INSERT INTO public.coupon (plancode, age, "year", couponrate, benefittype, benefitrate, premiumrate) VALUES('EN60', 24, 16, 8, 'A',800, 1.01);</v>
      </c>
      <c r="I872" s="6" t="str">
        <f t="shared" si="107"/>
        <v>{"age":"24", "year":"16", "couponrate":"8", "benefittype":"A", "benefitrate":"800", "premiumrate":"1.01"}</v>
      </c>
      <c r="J872" s="6" t="str">
        <f t="shared" si="108"/>
        <v>,</v>
      </c>
    </row>
    <row r="873" spans="1:10">
      <c r="A873" s="4" t="str">
        <f>'EN60'!A$3</f>
        <v>EN60</v>
      </c>
      <c r="B873" s="4">
        <f t="shared" si="109"/>
        <v>24</v>
      </c>
      <c r="C873" s="4">
        <f t="shared" si="110"/>
        <v>17</v>
      </c>
      <c r="D873" s="4">
        <f t="shared" si="104"/>
        <v>8</v>
      </c>
      <c r="E873" s="4" t="s">
        <v>27</v>
      </c>
      <c r="F873" s="4">
        <f t="shared" si="105"/>
        <v>800</v>
      </c>
      <c r="G873" s="5">
        <f t="shared" si="111"/>
        <v>1.01</v>
      </c>
      <c r="H873" s="6" t="str">
        <f t="shared" si="106"/>
        <v>INSERT INTO public.coupon (plancode, age, "year", couponrate, benefittype, benefitrate, premiumrate) VALUES('EN60', 24, 17, 8, 'A',800, 1.01);</v>
      </c>
      <c r="I873" s="6" t="str">
        <f t="shared" si="107"/>
        <v>{"age":"24", "year":"17", "couponrate":"8", "benefittype":"A", "benefitrate":"800", "premiumrate":"1.01"}</v>
      </c>
      <c r="J873" s="6" t="str">
        <f t="shared" si="108"/>
        <v>,</v>
      </c>
    </row>
    <row r="874" spans="1:10">
      <c r="A874" s="4" t="str">
        <f>'EN60'!A$3</f>
        <v>EN60</v>
      </c>
      <c r="B874" s="4">
        <f t="shared" si="109"/>
        <v>24</v>
      </c>
      <c r="C874" s="4">
        <f t="shared" si="110"/>
        <v>18</v>
      </c>
      <c r="D874" s="4">
        <f t="shared" si="104"/>
        <v>8</v>
      </c>
      <c r="E874" s="4" t="s">
        <v>27</v>
      </c>
      <c r="F874" s="4">
        <f t="shared" si="105"/>
        <v>800</v>
      </c>
      <c r="G874" s="5">
        <f t="shared" si="111"/>
        <v>1.01</v>
      </c>
      <c r="H874" s="6" t="str">
        <f t="shared" si="106"/>
        <v>INSERT INTO public.coupon (plancode, age, "year", couponrate, benefittype, benefitrate, premiumrate) VALUES('EN60', 24, 18, 8, 'A',800, 1.01);</v>
      </c>
      <c r="I874" s="6" t="str">
        <f t="shared" si="107"/>
        <v>{"age":"24", "year":"18", "couponrate":"8", "benefittype":"A", "benefitrate":"800", "premiumrate":"1.01"}</v>
      </c>
      <c r="J874" s="6" t="str">
        <f t="shared" si="108"/>
        <v>,</v>
      </c>
    </row>
    <row r="875" spans="1:10">
      <c r="A875" s="4" t="str">
        <f>'EN60'!A$3</f>
        <v>EN60</v>
      </c>
      <c r="B875" s="4">
        <f t="shared" si="109"/>
        <v>24</v>
      </c>
      <c r="C875" s="4">
        <f t="shared" si="110"/>
        <v>19</v>
      </c>
      <c r="D875" s="4">
        <f t="shared" si="104"/>
        <v>8</v>
      </c>
      <c r="E875" s="4" t="s">
        <v>27</v>
      </c>
      <c r="F875" s="4">
        <f t="shared" si="105"/>
        <v>800</v>
      </c>
      <c r="G875" s="5">
        <f t="shared" si="111"/>
        <v>1.01</v>
      </c>
      <c r="H875" s="6" t="str">
        <f t="shared" si="106"/>
        <v>INSERT INTO public.coupon (plancode, age, "year", couponrate, benefittype, benefitrate, premiumrate) VALUES('EN60', 24, 19, 8, 'A',800, 1.01);</v>
      </c>
      <c r="I875" s="6" t="str">
        <f t="shared" si="107"/>
        <v>{"age":"24", "year":"19", "couponrate":"8", "benefittype":"A", "benefitrate":"800", "premiumrate":"1.01"}</v>
      </c>
      <c r="J875" s="6" t="str">
        <f t="shared" si="108"/>
        <v>,</v>
      </c>
    </row>
    <row r="876" spans="1:10">
      <c r="A876" s="4" t="str">
        <f>'EN60'!A$3</f>
        <v>EN60</v>
      </c>
      <c r="B876" s="4">
        <f t="shared" si="109"/>
        <v>24</v>
      </c>
      <c r="C876" s="4">
        <f t="shared" si="110"/>
        <v>20</v>
      </c>
      <c r="D876" s="4">
        <f t="shared" si="104"/>
        <v>8</v>
      </c>
      <c r="E876" s="4" t="s">
        <v>27</v>
      </c>
      <c r="F876" s="4">
        <f t="shared" si="105"/>
        <v>800</v>
      </c>
      <c r="G876" s="5">
        <f t="shared" si="111"/>
        <v>1.01</v>
      </c>
      <c r="H876" s="6" t="str">
        <f t="shared" si="106"/>
        <v>INSERT INTO public.coupon (plancode, age, "year", couponrate, benefittype, benefitrate, premiumrate) VALUES('EN60', 24, 20, 8, 'A',800, 1.01);</v>
      </c>
      <c r="I876" s="6" t="str">
        <f t="shared" si="107"/>
        <v>{"age":"24", "year":"20", "couponrate":"8", "benefittype":"A", "benefitrate":"800", "premiumrate":"1.01"}</v>
      </c>
      <c r="J876" s="6" t="str">
        <f t="shared" si="108"/>
        <v>,</v>
      </c>
    </row>
    <row r="877" spans="1:10">
      <c r="A877" s="4" t="str">
        <f>'EN60'!A$3</f>
        <v>EN60</v>
      </c>
      <c r="B877" s="4">
        <f t="shared" si="109"/>
        <v>24</v>
      </c>
      <c r="C877" s="4">
        <f t="shared" si="110"/>
        <v>21</v>
      </c>
      <c r="D877" s="4">
        <f t="shared" si="104"/>
        <v>8</v>
      </c>
      <c r="E877" s="4" t="s">
        <v>27</v>
      </c>
      <c r="F877" s="4">
        <f t="shared" si="105"/>
        <v>800</v>
      </c>
      <c r="G877" s="5">
        <f t="shared" si="111"/>
        <v>1.01</v>
      </c>
      <c r="H877" s="6" t="str">
        <f t="shared" si="106"/>
        <v>INSERT INTO public.coupon (plancode, age, "year", couponrate, benefittype, benefitrate, premiumrate) VALUES('EN60', 24, 21, 8, 'A',800, 1.01);</v>
      </c>
      <c r="I877" s="6" t="str">
        <f t="shared" si="107"/>
        <v>{"age":"24", "year":"21", "couponrate":"8", "benefittype":"A", "benefitrate":"800", "premiumrate":"1.01"}</v>
      </c>
      <c r="J877" s="6" t="str">
        <f t="shared" si="108"/>
        <v>,</v>
      </c>
    </row>
    <row r="878" spans="1:10">
      <c r="A878" s="4" t="str">
        <f>'EN60'!A$3</f>
        <v>EN60</v>
      </c>
      <c r="B878" s="4">
        <f t="shared" si="109"/>
        <v>24</v>
      </c>
      <c r="C878" s="4">
        <f t="shared" si="110"/>
        <v>22</v>
      </c>
      <c r="D878" s="4">
        <f t="shared" si="104"/>
        <v>8</v>
      </c>
      <c r="E878" s="4" t="s">
        <v>27</v>
      </c>
      <c r="F878" s="4">
        <f t="shared" si="105"/>
        <v>800</v>
      </c>
      <c r="G878" s="5">
        <f t="shared" si="111"/>
        <v>1.01</v>
      </c>
      <c r="H878" s="6" t="str">
        <f t="shared" si="106"/>
        <v>INSERT INTO public.coupon (plancode, age, "year", couponrate, benefittype, benefitrate, premiumrate) VALUES('EN60', 24, 22, 8, 'A',800, 1.01);</v>
      </c>
      <c r="I878" s="6" t="str">
        <f t="shared" si="107"/>
        <v>{"age":"24", "year":"22", "couponrate":"8", "benefittype":"A", "benefitrate":"800", "premiumrate":"1.01"}</v>
      </c>
      <c r="J878" s="6" t="str">
        <f t="shared" si="108"/>
        <v>,</v>
      </c>
    </row>
    <row r="879" spans="1:10">
      <c r="A879" s="4" t="str">
        <f>'EN60'!A$3</f>
        <v>EN60</v>
      </c>
      <c r="B879" s="4">
        <f t="shared" si="109"/>
        <v>24</v>
      </c>
      <c r="C879" s="4">
        <f t="shared" si="110"/>
        <v>23</v>
      </c>
      <c r="D879" s="4">
        <f t="shared" si="104"/>
        <v>8</v>
      </c>
      <c r="E879" s="4" t="s">
        <v>27</v>
      </c>
      <c r="F879" s="4">
        <f t="shared" si="105"/>
        <v>800</v>
      </c>
      <c r="G879" s="5">
        <f t="shared" si="111"/>
        <v>1.01</v>
      </c>
      <c r="H879" s="6" t="str">
        <f t="shared" si="106"/>
        <v>INSERT INTO public.coupon (plancode, age, "year", couponrate, benefittype, benefitrate, premiumrate) VALUES('EN60', 24, 23, 8, 'A',800, 1.01);</v>
      </c>
      <c r="I879" s="6" t="str">
        <f t="shared" si="107"/>
        <v>{"age":"24", "year":"23", "couponrate":"8", "benefittype":"A", "benefitrate":"800", "premiumrate":"1.01"}</v>
      </c>
      <c r="J879" s="6" t="str">
        <f t="shared" si="108"/>
        <v>,</v>
      </c>
    </row>
    <row r="880" spans="1:10">
      <c r="A880" s="4" t="str">
        <f>'EN60'!A$3</f>
        <v>EN60</v>
      </c>
      <c r="B880" s="4">
        <f t="shared" si="109"/>
        <v>24</v>
      </c>
      <c r="C880" s="4">
        <f t="shared" si="110"/>
        <v>24</v>
      </c>
      <c r="D880" s="4">
        <f t="shared" si="104"/>
        <v>8</v>
      </c>
      <c r="E880" s="4" t="s">
        <v>27</v>
      </c>
      <c r="F880" s="4">
        <f t="shared" si="105"/>
        <v>800</v>
      </c>
      <c r="G880" s="5">
        <f t="shared" si="111"/>
        <v>1.01</v>
      </c>
      <c r="H880" s="6" t="str">
        <f t="shared" si="106"/>
        <v>INSERT INTO public.coupon (plancode, age, "year", couponrate, benefittype, benefitrate, premiumrate) VALUES('EN60', 24, 24, 8, 'A',800, 1.01);</v>
      </c>
      <c r="I880" s="6" t="str">
        <f t="shared" si="107"/>
        <v>{"age":"24", "year":"24", "couponrate":"8", "benefittype":"A", "benefitrate":"800", "premiumrate":"1.01"}</v>
      </c>
      <c r="J880" s="6" t="str">
        <f t="shared" si="108"/>
        <v>,</v>
      </c>
    </row>
    <row r="881" spans="1:10">
      <c r="A881" s="4" t="str">
        <f>'EN60'!A$3</f>
        <v>EN60</v>
      </c>
      <c r="B881" s="4">
        <f t="shared" si="109"/>
        <v>24</v>
      </c>
      <c r="C881" s="4">
        <f t="shared" si="110"/>
        <v>25</v>
      </c>
      <c r="D881" s="4">
        <f t="shared" si="104"/>
        <v>8</v>
      </c>
      <c r="E881" s="4" t="s">
        <v>27</v>
      </c>
      <c r="F881" s="4">
        <f t="shared" si="105"/>
        <v>800</v>
      </c>
      <c r="G881" s="5">
        <f t="shared" si="111"/>
        <v>1.01</v>
      </c>
      <c r="H881" s="6" t="str">
        <f t="shared" si="106"/>
        <v>INSERT INTO public.coupon (plancode, age, "year", couponrate, benefittype, benefitrate, premiumrate) VALUES('EN60', 24, 25, 8, 'A',800, 1.01);</v>
      </c>
      <c r="I881" s="6" t="str">
        <f t="shared" si="107"/>
        <v>{"age":"24", "year":"25", "couponrate":"8", "benefittype":"A", "benefitrate":"800", "premiumrate":"1.01"}</v>
      </c>
      <c r="J881" s="6" t="str">
        <f t="shared" si="108"/>
        <v>,</v>
      </c>
    </row>
    <row r="882" spans="1:10">
      <c r="A882" s="4" t="str">
        <f>'EN60'!A$3</f>
        <v>EN60</v>
      </c>
      <c r="B882" s="4">
        <f t="shared" si="109"/>
        <v>24</v>
      </c>
      <c r="C882" s="4">
        <f t="shared" si="110"/>
        <v>26</v>
      </c>
      <c r="D882" s="4">
        <f t="shared" si="104"/>
        <v>8</v>
      </c>
      <c r="E882" s="4" t="s">
        <v>27</v>
      </c>
      <c r="F882" s="4">
        <f t="shared" si="105"/>
        <v>800</v>
      </c>
      <c r="G882" s="5">
        <f t="shared" si="111"/>
        <v>1.01</v>
      </c>
      <c r="H882" s="6" t="str">
        <f t="shared" si="106"/>
        <v>INSERT INTO public.coupon (plancode, age, "year", couponrate, benefittype, benefitrate, premiumrate) VALUES('EN60', 24, 26, 8, 'A',800, 1.01);</v>
      </c>
      <c r="I882" s="6" t="str">
        <f t="shared" si="107"/>
        <v>{"age":"24", "year":"26", "couponrate":"8", "benefittype":"A", "benefitrate":"800", "premiumrate":"1.01"}</v>
      </c>
      <c r="J882" s="6" t="str">
        <f t="shared" si="108"/>
        <v>,</v>
      </c>
    </row>
    <row r="883" spans="1:10">
      <c r="A883" s="4" t="str">
        <f>'EN60'!A$3</f>
        <v>EN60</v>
      </c>
      <c r="B883" s="4">
        <f t="shared" si="109"/>
        <v>24</v>
      </c>
      <c r="C883" s="4">
        <f t="shared" si="110"/>
        <v>27</v>
      </c>
      <c r="D883" s="4">
        <f t="shared" si="104"/>
        <v>8</v>
      </c>
      <c r="E883" s="4" t="s">
        <v>27</v>
      </c>
      <c r="F883" s="4">
        <f t="shared" si="105"/>
        <v>800</v>
      </c>
      <c r="G883" s="5">
        <f t="shared" si="111"/>
        <v>1.01</v>
      </c>
      <c r="H883" s="6" t="str">
        <f t="shared" si="106"/>
        <v>INSERT INTO public.coupon (plancode, age, "year", couponrate, benefittype, benefitrate, premiumrate) VALUES('EN60', 24, 27, 8, 'A',800, 1.01);</v>
      </c>
      <c r="I883" s="6" t="str">
        <f t="shared" si="107"/>
        <v>{"age":"24", "year":"27", "couponrate":"8", "benefittype":"A", "benefitrate":"800", "premiumrate":"1.01"}</v>
      </c>
      <c r="J883" s="6" t="str">
        <f t="shared" si="108"/>
        <v>,</v>
      </c>
    </row>
    <row r="884" spans="1:10">
      <c r="A884" s="4" t="str">
        <f>'EN60'!A$3</f>
        <v>EN60</v>
      </c>
      <c r="B884" s="4">
        <f t="shared" si="109"/>
        <v>24</v>
      </c>
      <c r="C884" s="4">
        <f t="shared" si="110"/>
        <v>28</v>
      </c>
      <c r="D884" s="4">
        <f t="shared" si="104"/>
        <v>8</v>
      </c>
      <c r="E884" s="4" t="s">
        <v>27</v>
      </c>
      <c r="F884" s="4">
        <f t="shared" si="105"/>
        <v>800</v>
      </c>
      <c r="G884" s="5">
        <f t="shared" si="111"/>
        <v>1.01</v>
      </c>
      <c r="H884" s="6" t="str">
        <f t="shared" si="106"/>
        <v>INSERT INTO public.coupon (plancode, age, "year", couponrate, benefittype, benefitrate, premiumrate) VALUES('EN60', 24, 28, 8, 'A',800, 1.01);</v>
      </c>
      <c r="I884" s="6" t="str">
        <f t="shared" si="107"/>
        <v>{"age":"24", "year":"28", "couponrate":"8", "benefittype":"A", "benefitrate":"800", "premiumrate":"1.01"}</v>
      </c>
      <c r="J884" s="6" t="str">
        <f t="shared" si="108"/>
        <v>,</v>
      </c>
    </row>
    <row r="885" spans="1:10">
      <c r="A885" s="4" t="str">
        <f>'EN60'!A$3</f>
        <v>EN60</v>
      </c>
      <c r="B885" s="4">
        <f t="shared" si="109"/>
        <v>24</v>
      </c>
      <c r="C885" s="4">
        <f t="shared" si="110"/>
        <v>29</v>
      </c>
      <c r="D885" s="4">
        <f t="shared" si="104"/>
        <v>8</v>
      </c>
      <c r="E885" s="4" t="s">
        <v>27</v>
      </c>
      <c r="F885" s="4">
        <f t="shared" si="105"/>
        <v>800</v>
      </c>
      <c r="G885" s="5">
        <f t="shared" si="111"/>
        <v>1.01</v>
      </c>
      <c r="H885" s="6" t="str">
        <f t="shared" si="106"/>
        <v>INSERT INTO public.coupon (plancode, age, "year", couponrate, benefittype, benefitrate, premiumrate) VALUES('EN60', 24, 29, 8, 'A',800, 1.01);</v>
      </c>
      <c r="I885" s="6" t="str">
        <f t="shared" si="107"/>
        <v>{"age":"24", "year":"29", "couponrate":"8", "benefittype":"A", "benefitrate":"800", "premiumrate":"1.01"}</v>
      </c>
      <c r="J885" s="6" t="str">
        <f t="shared" si="108"/>
        <v>,</v>
      </c>
    </row>
    <row r="886" spans="1:10">
      <c r="A886" s="4" t="str">
        <f>'EN60'!A$3</f>
        <v>EN60</v>
      </c>
      <c r="B886" s="4">
        <f t="shared" si="109"/>
        <v>24</v>
      </c>
      <c r="C886" s="4">
        <f t="shared" si="110"/>
        <v>30</v>
      </c>
      <c r="D886" s="4">
        <f t="shared" si="104"/>
        <v>8</v>
      </c>
      <c r="E886" s="4" t="s">
        <v>27</v>
      </c>
      <c r="F886" s="4">
        <f t="shared" si="105"/>
        <v>800</v>
      </c>
      <c r="G886" s="5">
        <f t="shared" si="111"/>
        <v>1.01</v>
      </c>
      <c r="H886" s="6" t="str">
        <f t="shared" si="106"/>
        <v>INSERT INTO public.coupon (plancode, age, "year", couponrate, benefittype, benefitrate, premiumrate) VALUES('EN60', 24, 30, 8, 'A',800, 1.01);</v>
      </c>
      <c r="I886" s="6" t="str">
        <f t="shared" si="107"/>
        <v>{"age":"24", "year":"30", "couponrate":"8", "benefittype":"A", "benefitrate":"800", "premiumrate":"1.01"}</v>
      </c>
      <c r="J886" s="6" t="str">
        <f t="shared" si="108"/>
        <v>,</v>
      </c>
    </row>
    <row r="887" spans="1:10">
      <c r="A887" s="4" t="str">
        <f>'EN60'!A$3</f>
        <v>EN60</v>
      </c>
      <c r="B887" s="4">
        <f t="shared" si="109"/>
        <v>24</v>
      </c>
      <c r="C887" s="4">
        <f t="shared" si="110"/>
        <v>31</v>
      </c>
      <c r="D887" s="4">
        <f t="shared" si="104"/>
        <v>8</v>
      </c>
      <c r="E887" s="4" t="s">
        <v>27</v>
      </c>
      <c r="F887" s="4">
        <f t="shared" si="105"/>
        <v>800</v>
      </c>
      <c r="G887" s="5">
        <f t="shared" si="111"/>
        <v>1.01</v>
      </c>
      <c r="H887" s="6" t="str">
        <f t="shared" si="106"/>
        <v>INSERT INTO public.coupon (plancode, age, "year", couponrate, benefittype, benefitrate, premiumrate) VALUES('EN60', 24, 31, 8, 'A',800, 1.01);</v>
      </c>
      <c r="I887" s="6" t="str">
        <f t="shared" si="107"/>
        <v>{"age":"24", "year":"31", "couponrate":"8", "benefittype":"A", "benefitrate":"800", "premiumrate":"1.01"}</v>
      </c>
      <c r="J887" s="6" t="str">
        <f t="shared" si="108"/>
        <v>,</v>
      </c>
    </row>
    <row r="888" spans="1:10">
      <c r="A888" s="4" t="str">
        <f>'EN60'!A$3</f>
        <v>EN60</v>
      </c>
      <c r="B888" s="4">
        <f t="shared" si="109"/>
        <v>24</v>
      </c>
      <c r="C888" s="4">
        <f t="shared" si="110"/>
        <v>32</v>
      </c>
      <c r="D888" s="4">
        <f t="shared" si="104"/>
        <v>8</v>
      </c>
      <c r="E888" s="4" t="s">
        <v>27</v>
      </c>
      <c r="F888" s="4">
        <f t="shared" si="105"/>
        <v>800</v>
      </c>
      <c r="G888" s="5">
        <f t="shared" si="111"/>
        <v>1.01</v>
      </c>
      <c r="H888" s="6" t="str">
        <f t="shared" si="106"/>
        <v>INSERT INTO public.coupon (plancode, age, "year", couponrate, benefittype, benefitrate, premiumrate) VALUES('EN60', 24, 32, 8, 'A',800, 1.01);</v>
      </c>
      <c r="I888" s="6" t="str">
        <f t="shared" si="107"/>
        <v>{"age":"24", "year":"32", "couponrate":"8", "benefittype":"A", "benefitrate":"800", "premiumrate":"1.01"}</v>
      </c>
      <c r="J888" s="6" t="str">
        <f t="shared" si="108"/>
        <v>,</v>
      </c>
    </row>
    <row r="889" spans="1:10">
      <c r="A889" s="4" t="str">
        <f>'EN60'!A$3</f>
        <v>EN60</v>
      </c>
      <c r="B889" s="4">
        <f t="shared" si="109"/>
        <v>24</v>
      </c>
      <c r="C889" s="4">
        <f t="shared" si="110"/>
        <v>33</v>
      </c>
      <c r="D889" s="4">
        <f t="shared" si="104"/>
        <v>8</v>
      </c>
      <c r="E889" s="4" t="s">
        <v>27</v>
      </c>
      <c r="F889" s="4">
        <f t="shared" si="105"/>
        <v>800</v>
      </c>
      <c r="G889" s="5">
        <f t="shared" si="111"/>
        <v>1.01</v>
      </c>
      <c r="H889" s="6" t="str">
        <f t="shared" si="106"/>
        <v>INSERT INTO public.coupon (plancode, age, "year", couponrate, benefittype, benefitrate, premiumrate) VALUES('EN60', 24, 33, 8, 'A',800, 1.01);</v>
      </c>
      <c r="I889" s="6" t="str">
        <f t="shared" si="107"/>
        <v>{"age":"24", "year":"33", "couponrate":"8", "benefittype":"A", "benefitrate":"800", "premiumrate":"1.01"}</v>
      </c>
      <c r="J889" s="6" t="str">
        <f t="shared" si="108"/>
        <v>,</v>
      </c>
    </row>
    <row r="890" spans="1:10">
      <c r="A890" s="4" t="str">
        <f>'EN60'!A$3</f>
        <v>EN60</v>
      </c>
      <c r="B890" s="4">
        <f t="shared" si="109"/>
        <v>24</v>
      </c>
      <c r="C890" s="4">
        <f t="shared" si="110"/>
        <v>34</v>
      </c>
      <c r="D890" s="4">
        <f t="shared" si="104"/>
        <v>8</v>
      </c>
      <c r="E890" s="4" t="s">
        <v>27</v>
      </c>
      <c r="F890" s="4">
        <f t="shared" si="105"/>
        <v>800</v>
      </c>
      <c r="G890" s="5">
        <f t="shared" si="111"/>
        <v>1.01</v>
      </c>
      <c r="H890" s="6" t="str">
        <f t="shared" si="106"/>
        <v>INSERT INTO public.coupon (plancode, age, "year", couponrate, benefittype, benefitrate, premiumrate) VALUES('EN60', 24, 34, 8, 'A',800, 1.01);</v>
      </c>
      <c r="I890" s="6" t="str">
        <f t="shared" si="107"/>
        <v>{"age":"24", "year":"34", "couponrate":"8", "benefittype":"A", "benefitrate":"800", "premiumrate":"1.01"}</v>
      </c>
      <c r="J890" s="6" t="str">
        <f t="shared" si="108"/>
        <v>,</v>
      </c>
    </row>
    <row r="891" spans="1:10">
      <c r="A891" s="4" t="str">
        <f>'EN60'!A$3</f>
        <v>EN60</v>
      </c>
      <c r="B891" s="4">
        <f t="shared" si="109"/>
        <v>24</v>
      </c>
      <c r="C891" s="4">
        <f t="shared" si="110"/>
        <v>35</v>
      </c>
      <c r="D891" s="4">
        <f t="shared" si="104"/>
        <v>8</v>
      </c>
      <c r="E891" s="4" t="s">
        <v>27</v>
      </c>
      <c r="F891" s="4">
        <f t="shared" si="105"/>
        <v>800</v>
      </c>
      <c r="G891" s="5">
        <f t="shared" si="111"/>
        <v>1.01</v>
      </c>
      <c r="H891" s="6" t="str">
        <f t="shared" si="106"/>
        <v>INSERT INTO public.coupon (plancode, age, "year", couponrate, benefittype, benefitrate, premiumrate) VALUES('EN60', 24, 35, 8, 'A',800, 1.01);</v>
      </c>
      <c r="I891" s="6" t="str">
        <f t="shared" si="107"/>
        <v>{"age":"24", "year":"35", "couponrate":"8", "benefittype":"A", "benefitrate":"800", "premiumrate":"1.01"}</v>
      </c>
      <c r="J891" s="6" t="str">
        <f t="shared" si="108"/>
        <v>,</v>
      </c>
    </row>
    <row r="892" spans="1:10">
      <c r="A892" s="4" t="str">
        <f>'EN60'!A$3</f>
        <v>EN60</v>
      </c>
      <c r="B892" s="4">
        <f t="shared" si="109"/>
        <v>24</v>
      </c>
      <c r="C892" s="4">
        <f t="shared" si="110"/>
        <v>36</v>
      </c>
      <c r="D892" s="4">
        <f t="shared" si="104"/>
        <v>8</v>
      </c>
      <c r="E892" s="4" t="s">
        <v>27</v>
      </c>
      <c r="F892" s="4">
        <f t="shared" si="105"/>
        <v>800</v>
      </c>
      <c r="G892" s="5">
        <f t="shared" si="111"/>
        <v>1.01</v>
      </c>
      <c r="H892" s="6" t="str">
        <f t="shared" si="106"/>
        <v>INSERT INTO public.coupon (plancode, age, "year", couponrate, benefittype, benefitrate, premiumrate) VALUES('EN60', 24, 36, 8, 'A',800, 1.01);</v>
      </c>
      <c r="I892" s="6" t="str">
        <f t="shared" si="107"/>
        <v>{"age":"24", "year":"36", "couponrate":"8", "benefittype":"A", "benefitrate":"800", "premiumrate":"1.01"}</v>
      </c>
      <c r="J892" s="6" t="str">
        <f t="shared" si="108"/>
        <v>,</v>
      </c>
    </row>
    <row r="893" spans="1:10">
      <c r="A893" s="4" t="str">
        <f>'EN60'!A$3</f>
        <v>EN60</v>
      </c>
      <c r="B893" s="4">
        <f t="shared" si="109"/>
        <v>24</v>
      </c>
      <c r="C893" s="4">
        <f t="shared" si="110"/>
        <v>37</v>
      </c>
      <c r="D893" s="4">
        <f t="shared" si="104"/>
        <v>8</v>
      </c>
      <c r="E893" s="4" t="s">
        <v>27</v>
      </c>
      <c r="F893" s="4">
        <f t="shared" si="105"/>
        <v>800</v>
      </c>
      <c r="G893" s="5">
        <f t="shared" si="111"/>
        <v>1.01</v>
      </c>
      <c r="H893" s="6" t="str">
        <f t="shared" si="106"/>
        <v>INSERT INTO public.coupon (plancode, age, "year", couponrate, benefittype, benefitrate, premiumrate) VALUES('EN60', 24, 37, 8, 'A',800, 1.01);</v>
      </c>
      <c r="I893" s="6" t="str">
        <f t="shared" si="107"/>
        <v>{"age":"24", "year":"37", "couponrate":"8", "benefittype":"A", "benefitrate":"800", "premiumrate":"1.01"}</v>
      </c>
      <c r="J893" s="6" t="str">
        <f t="shared" si="108"/>
        <v>,</v>
      </c>
    </row>
    <row r="894" spans="1:10">
      <c r="A894" s="4" t="str">
        <f>'EN60'!A$3</f>
        <v>EN60</v>
      </c>
      <c r="B894" s="4">
        <f t="shared" si="109"/>
        <v>24</v>
      </c>
      <c r="C894" s="4">
        <f t="shared" si="110"/>
        <v>38</v>
      </c>
      <c r="D894" s="4">
        <f t="shared" si="104"/>
        <v>8</v>
      </c>
      <c r="E894" s="4" t="s">
        <v>27</v>
      </c>
      <c r="F894" s="4">
        <f t="shared" si="105"/>
        <v>800</v>
      </c>
      <c r="G894" s="5">
        <f t="shared" si="111"/>
        <v>1.01</v>
      </c>
      <c r="H894" s="6" t="str">
        <f t="shared" si="106"/>
        <v>INSERT INTO public.coupon (plancode, age, "year", couponrate, benefittype, benefitrate, premiumrate) VALUES('EN60', 24, 38, 8, 'A',800, 1.01);</v>
      </c>
      <c r="I894" s="6" t="str">
        <f t="shared" si="107"/>
        <v>{"age":"24", "year":"38", "couponrate":"8", "benefittype":"A", "benefitrate":"800", "premiumrate":"1.01"}</v>
      </c>
      <c r="J894" s="6" t="str">
        <f t="shared" si="108"/>
        <v>,</v>
      </c>
    </row>
    <row r="895" spans="1:10">
      <c r="A895" s="4" t="str">
        <f>'EN60'!A$3</f>
        <v>EN60</v>
      </c>
      <c r="B895" s="4">
        <f t="shared" si="109"/>
        <v>24</v>
      </c>
      <c r="C895" s="4">
        <f t="shared" si="110"/>
        <v>39</v>
      </c>
      <c r="D895" s="4">
        <f t="shared" si="104"/>
        <v>8</v>
      </c>
      <c r="E895" s="4" t="s">
        <v>27</v>
      </c>
      <c r="F895" s="4">
        <f t="shared" si="105"/>
        <v>800</v>
      </c>
      <c r="G895" s="5">
        <f t="shared" si="111"/>
        <v>1.01</v>
      </c>
      <c r="H895" s="6" t="str">
        <f t="shared" si="106"/>
        <v>INSERT INTO public.coupon (plancode, age, "year", couponrate, benefittype, benefitrate, premiumrate) VALUES('EN60', 24, 39, 8, 'A',800, 1.01);</v>
      </c>
      <c r="I895" s="6" t="str">
        <f t="shared" si="107"/>
        <v>{"age":"24", "year":"39", "couponrate":"8", "benefittype":"A", "benefitrate":"800", "premiumrate":"1.01"}</v>
      </c>
      <c r="J895" s="6" t="str">
        <f t="shared" si="108"/>
        <v>,</v>
      </c>
    </row>
    <row r="896" spans="1:10">
      <c r="A896" s="4" t="str">
        <f>'EN60'!A$3</f>
        <v>EN60</v>
      </c>
      <c r="B896" s="4">
        <f t="shared" si="109"/>
        <v>24</v>
      </c>
      <c r="C896" s="4">
        <f t="shared" si="110"/>
        <v>40</v>
      </c>
      <c r="D896" s="4">
        <f t="shared" si="104"/>
        <v>8</v>
      </c>
      <c r="E896" s="4" t="s">
        <v>27</v>
      </c>
      <c r="F896" s="4">
        <f t="shared" si="105"/>
        <v>800</v>
      </c>
      <c r="G896" s="5">
        <f t="shared" si="111"/>
        <v>1.01</v>
      </c>
      <c r="H896" s="6" t="str">
        <f t="shared" si="106"/>
        <v>INSERT INTO public.coupon (plancode, age, "year", couponrate, benefittype, benefitrate, premiumrate) VALUES('EN60', 24, 40, 8, 'A',800, 1.01);</v>
      </c>
      <c r="I896" s="6" t="str">
        <f t="shared" si="107"/>
        <v>{"age":"24", "year":"40", "couponrate":"8", "benefittype":"A", "benefitrate":"800", "premiumrate":"1.01"}</v>
      </c>
      <c r="J896" s="6" t="str">
        <f t="shared" si="108"/>
        <v>,</v>
      </c>
    </row>
    <row r="897" spans="1:10">
      <c r="A897" s="4" t="str">
        <f>'EN60'!A$3</f>
        <v>EN60</v>
      </c>
      <c r="B897" s="4">
        <f t="shared" si="109"/>
        <v>24</v>
      </c>
      <c r="C897" s="4">
        <f t="shared" si="110"/>
        <v>41</v>
      </c>
      <c r="D897" s="4">
        <f t="shared" si="104"/>
        <v>8</v>
      </c>
      <c r="E897" s="4" t="s">
        <v>27</v>
      </c>
      <c r="F897" s="4">
        <f t="shared" si="105"/>
        <v>800</v>
      </c>
      <c r="G897" s="5">
        <f t="shared" si="111"/>
        <v>1.01</v>
      </c>
      <c r="H897" s="6" t="str">
        <f t="shared" si="106"/>
        <v>INSERT INTO public.coupon (plancode, age, "year", couponrate, benefittype, benefitrate, premiumrate) VALUES('EN60', 24, 41, 8, 'A',800, 1.01);</v>
      </c>
      <c r="I897" s="6" t="str">
        <f t="shared" si="107"/>
        <v>{"age":"24", "year":"41", "couponrate":"8", "benefittype":"A", "benefitrate":"800", "premiumrate":"1.01"}</v>
      </c>
      <c r="J897" s="6" t="str">
        <f t="shared" si="108"/>
        <v>,</v>
      </c>
    </row>
    <row r="898" spans="1:10">
      <c r="A898" s="4" t="str">
        <f>'EN60'!A$3</f>
        <v>EN60</v>
      </c>
      <c r="B898" s="4">
        <f t="shared" si="109"/>
        <v>24</v>
      </c>
      <c r="C898" s="4">
        <f t="shared" si="110"/>
        <v>42</v>
      </c>
      <c r="D898" s="4">
        <f t="shared" si="104"/>
        <v>8</v>
      </c>
      <c r="E898" s="4" t="s">
        <v>27</v>
      </c>
      <c r="F898" s="4">
        <f t="shared" si="105"/>
        <v>800</v>
      </c>
      <c r="G898" s="5">
        <f t="shared" si="111"/>
        <v>1.01</v>
      </c>
      <c r="H898" s="6" t="str">
        <f t="shared" si="106"/>
        <v>INSERT INTO public.coupon (plancode, age, "year", couponrate, benefittype, benefitrate, premiumrate) VALUES('EN60', 24, 42, 8, 'A',800, 1.01);</v>
      </c>
      <c r="I898" s="6" t="str">
        <f t="shared" si="107"/>
        <v>{"age":"24", "year":"42", "couponrate":"8", "benefittype":"A", "benefitrate":"800", "premiumrate":"1.01"}</v>
      </c>
      <c r="J898" s="6" t="str">
        <f t="shared" si="108"/>
        <v>,</v>
      </c>
    </row>
    <row r="899" spans="1:10">
      <c r="A899" s="4" t="str">
        <f>'EN60'!A$3</f>
        <v>EN60</v>
      </c>
      <c r="B899" s="4">
        <f t="shared" si="109"/>
        <v>24</v>
      </c>
      <c r="C899" s="4">
        <f t="shared" si="110"/>
        <v>43</v>
      </c>
      <c r="D899" s="4">
        <f t="shared" si="104"/>
        <v>8</v>
      </c>
      <c r="E899" s="4" t="s">
        <v>27</v>
      </c>
      <c r="F899" s="4">
        <f t="shared" si="105"/>
        <v>800</v>
      </c>
      <c r="G899" s="5">
        <f t="shared" si="111"/>
        <v>1.01</v>
      </c>
      <c r="H899" s="6" t="str">
        <f t="shared" si="106"/>
        <v>INSERT INTO public.coupon (plancode, age, "year", couponrate, benefittype, benefitrate, premiumrate) VALUES('EN60', 24, 43, 8, 'A',800, 1.01);</v>
      </c>
      <c r="I899" s="6" t="str">
        <f t="shared" si="107"/>
        <v>{"age":"24", "year":"43", "couponrate":"8", "benefittype":"A", "benefitrate":"800", "premiumrate":"1.01"}</v>
      </c>
      <c r="J899" s="6" t="str">
        <f t="shared" si="108"/>
        <v>,</v>
      </c>
    </row>
    <row r="900" spans="1:10">
      <c r="A900" s="4" t="str">
        <f>'EN60'!A$3</f>
        <v>EN60</v>
      </c>
      <c r="B900" s="4">
        <f t="shared" si="109"/>
        <v>24</v>
      </c>
      <c r="C900" s="4">
        <f t="shared" si="110"/>
        <v>44</v>
      </c>
      <c r="D900" s="4">
        <f t="shared" si="104"/>
        <v>8</v>
      </c>
      <c r="E900" s="4" t="s">
        <v>27</v>
      </c>
      <c r="F900" s="4">
        <f t="shared" si="105"/>
        <v>800</v>
      </c>
      <c r="G900" s="5">
        <f t="shared" si="111"/>
        <v>1.01</v>
      </c>
      <c r="H900" s="6" t="str">
        <f t="shared" si="106"/>
        <v>INSERT INTO public.coupon (plancode, age, "year", couponrate, benefittype, benefitrate, premiumrate) VALUES('EN60', 24, 44, 8, 'A',800, 1.01);</v>
      </c>
      <c r="I900" s="6" t="str">
        <f t="shared" si="107"/>
        <v>{"age":"24", "year":"44", "couponrate":"8", "benefittype":"A", "benefitrate":"800", "premiumrate":"1.01"}</v>
      </c>
      <c r="J900" s="6" t="str">
        <f t="shared" si="108"/>
        <v>,</v>
      </c>
    </row>
    <row r="901" spans="1:10">
      <c r="A901" s="4" t="str">
        <f>'EN60'!A$3</f>
        <v>EN60</v>
      </c>
      <c r="B901" s="4">
        <f t="shared" si="109"/>
        <v>24</v>
      </c>
      <c r="C901" s="4">
        <f t="shared" si="110"/>
        <v>45</v>
      </c>
      <c r="D901" s="4">
        <f t="shared" si="104"/>
        <v>8</v>
      </c>
      <c r="E901" s="4" t="s">
        <v>27</v>
      </c>
      <c r="F901" s="4">
        <f t="shared" si="105"/>
        <v>800</v>
      </c>
      <c r="G901" s="5">
        <f t="shared" si="111"/>
        <v>1.01</v>
      </c>
      <c r="H901" s="6" t="str">
        <f t="shared" si="106"/>
        <v>INSERT INTO public.coupon (plancode, age, "year", couponrate, benefittype, benefitrate, premiumrate) VALUES('EN60', 24, 45, 8, 'A',800, 1.01);</v>
      </c>
      <c r="I901" s="6" t="str">
        <f t="shared" si="107"/>
        <v>{"age":"24", "year":"45", "couponrate":"8", "benefittype":"A", "benefitrate":"800", "premiumrate":"1.01"}</v>
      </c>
      <c r="J901" s="6" t="str">
        <f t="shared" si="108"/>
        <v>,</v>
      </c>
    </row>
    <row r="902" spans="1:10">
      <c r="A902" s="4" t="str">
        <f>'EN60'!A$3</f>
        <v>EN60</v>
      </c>
      <c r="B902" s="4">
        <f t="shared" si="109"/>
        <v>24</v>
      </c>
      <c r="C902" s="4">
        <f t="shared" si="110"/>
        <v>46</v>
      </c>
      <c r="D902" s="4">
        <f t="shared" si="104"/>
        <v>8</v>
      </c>
      <c r="E902" s="4" t="s">
        <v>27</v>
      </c>
      <c r="F902" s="4">
        <f t="shared" si="105"/>
        <v>800</v>
      </c>
      <c r="G902" s="5">
        <f t="shared" si="111"/>
        <v>1.01</v>
      </c>
      <c r="H902" s="6" t="str">
        <f t="shared" si="106"/>
        <v>INSERT INTO public.coupon (plancode, age, "year", couponrate, benefittype, benefitrate, premiumrate) VALUES('EN60', 24, 46, 8, 'A',800, 1.01);</v>
      </c>
      <c r="I902" s="6" t="str">
        <f t="shared" si="107"/>
        <v>{"age":"24", "year":"46", "couponrate":"8", "benefittype":"A", "benefitrate":"800", "premiumrate":"1.01"}</v>
      </c>
      <c r="J902" s="6" t="str">
        <f t="shared" si="108"/>
        <v>,</v>
      </c>
    </row>
    <row r="903" spans="1:10">
      <c r="A903" s="4" t="str">
        <f>'EN60'!A$3</f>
        <v>EN60</v>
      </c>
      <c r="B903" s="4">
        <f t="shared" si="109"/>
        <v>24</v>
      </c>
      <c r="C903" s="4">
        <f t="shared" si="110"/>
        <v>47</v>
      </c>
      <c r="D903" s="4">
        <f t="shared" si="104"/>
        <v>8</v>
      </c>
      <c r="E903" s="4" t="s">
        <v>27</v>
      </c>
      <c r="F903" s="4">
        <f t="shared" si="105"/>
        <v>800</v>
      </c>
      <c r="G903" s="5">
        <f t="shared" si="111"/>
        <v>1.01</v>
      </c>
      <c r="H903" s="6" t="str">
        <f t="shared" si="106"/>
        <v>INSERT INTO public.coupon (plancode, age, "year", couponrate, benefittype, benefitrate, premiumrate) VALUES('EN60', 24, 47, 8, 'A',800, 1.01);</v>
      </c>
      <c r="I903" s="6" t="str">
        <f t="shared" si="107"/>
        <v>{"age":"24", "year":"47", "couponrate":"8", "benefittype":"A", "benefitrate":"800", "premiumrate":"1.01"}</v>
      </c>
      <c r="J903" s="6" t="str">
        <f t="shared" si="108"/>
        <v>,</v>
      </c>
    </row>
    <row r="904" spans="1:10">
      <c r="A904" s="4" t="str">
        <f>'EN60'!A$3</f>
        <v>EN60</v>
      </c>
      <c r="B904" s="4">
        <f t="shared" si="109"/>
        <v>24</v>
      </c>
      <c r="C904" s="4">
        <f t="shared" si="110"/>
        <v>48</v>
      </c>
      <c r="D904" s="4">
        <f t="shared" si="104"/>
        <v>8</v>
      </c>
      <c r="E904" s="4" t="s">
        <v>27</v>
      </c>
      <c r="F904" s="4">
        <f t="shared" si="105"/>
        <v>800</v>
      </c>
      <c r="G904" s="5">
        <f t="shared" si="111"/>
        <v>1.01</v>
      </c>
      <c r="H904" s="6" t="str">
        <f t="shared" si="106"/>
        <v>INSERT INTO public.coupon (plancode, age, "year", couponrate, benefittype, benefitrate, premiumrate) VALUES('EN60', 24, 48, 8, 'A',800, 1.01);</v>
      </c>
      <c r="I904" s="6" t="str">
        <f t="shared" si="107"/>
        <v>{"age":"24", "year":"48", "couponrate":"8", "benefittype":"A", "benefitrate":"800", "premiumrate":"1.01"}</v>
      </c>
      <c r="J904" s="6" t="str">
        <f t="shared" si="108"/>
        <v>,</v>
      </c>
    </row>
    <row r="905" spans="1:10">
      <c r="A905" s="4" t="str">
        <f>'EN60'!A$3</f>
        <v>EN60</v>
      </c>
      <c r="B905" s="4">
        <f t="shared" si="109"/>
        <v>24</v>
      </c>
      <c r="C905" s="4">
        <f t="shared" si="110"/>
        <v>49</v>
      </c>
      <c r="D905" s="4">
        <f t="shared" si="104"/>
        <v>8</v>
      </c>
      <c r="E905" s="4" t="s">
        <v>27</v>
      </c>
      <c r="F905" s="4">
        <f t="shared" si="105"/>
        <v>800</v>
      </c>
      <c r="G905" s="5">
        <f t="shared" si="111"/>
        <v>1.01</v>
      </c>
      <c r="H905" s="6" t="str">
        <f t="shared" si="106"/>
        <v>INSERT INTO public.coupon (plancode, age, "year", couponrate, benefittype, benefitrate, premiumrate) VALUES('EN60', 24, 49, 8, 'A',800, 1.01);</v>
      </c>
      <c r="I905" s="6" t="str">
        <f t="shared" si="107"/>
        <v>{"age":"24", "year":"49", "couponrate":"8", "benefittype":"A", "benefitrate":"800", "premiumrate":"1.01"}</v>
      </c>
      <c r="J905" s="6" t="str">
        <f t="shared" si="108"/>
        <v>,</v>
      </c>
    </row>
    <row r="906" spans="1:10">
      <c r="A906" s="4" t="str">
        <f>'EN60'!A$3</f>
        <v>EN60</v>
      </c>
      <c r="B906" s="4">
        <f t="shared" si="109"/>
        <v>24</v>
      </c>
      <c r="C906" s="4">
        <f t="shared" si="110"/>
        <v>50</v>
      </c>
      <c r="D906" s="4">
        <f t="shared" si="104"/>
        <v>8</v>
      </c>
      <c r="E906" s="4" t="s">
        <v>27</v>
      </c>
      <c r="F906" s="4">
        <f t="shared" si="105"/>
        <v>800</v>
      </c>
      <c r="G906" s="5">
        <f t="shared" si="111"/>
        <v>1.01</v>
      </c>
      <c r="H906" s="6" t="str">
        <f t="shared" si="106"/>
        <v>INSERT INTO public.coupon (plancode, age, "year", couponrate, benefittype, benefitrate, premiumrate) VALUES('EN60', 24, 50, 8, 'A',800, 1.01);</v>
      </c>
      <c r="I906" s="6" t="str">
        <f t="shared" si="107"/>
        <v>{"age":"24", "year":"50", "couponrate":"8", "benefittype":"A", "benefitrate":"800", "premiumrate":"1.01"}</v>
      </c>
      <c r="J906" s="6" t="str">
        <f t="shared" si="108"/>
        <v>,</v>
      </c>
    </row>
    <row r="907" spans="1:10">
      <c r="A907" s="4" t="str">
        <f>'EN60'!A$3</f>
        <v>EN60</v>
      </c>
      <c r="B907" s="4">
        <f t="shared" si="109"/>
        <v>24</v>
      </c>
      <c r="C907" s="4">
        <f t="shared" si="110"/>
        <v>51</v>
      </c>
      <c r="D907" s="4">
        <f t="shared" si="104"/>
        <v>8</v>
      </c>
      <c r="E907" s="4" t="s">
        <v>27</v>
      </c>
      <c r="F907" s="4">
        <f t="shared" si="105"/>
        <v>800</v>
      </c>
      <c r="G907" s="5">
        <f t="shared" si="111"/>
        <v>1.01</v>
      </c>
      <c r="H907" s="6" t="str">
        <f t="shared" si="106"/>
        <v>INSERT INTO public.coupon (plancode, age, "year", couponrate, benefittype, benefitrate, premiumrate) VALUES('EN60', 24, 51, 8, 'A',800, 1.01);</v>
      </c>
      <c r="I907" s="6" t="str">
        <f t="shared" si="107"/>
        <v>{"age":"24", "year":"51", "couponrate":"8", "benefittype":"A", "benefitrate":"800", "premiumrate":"1.01"}</v>
      </c>
      <c r="J907" s="6" t="str">
        <f t="shared" si="108"/>
        <v>,</v>
      </c>
    </row>
    <row r="908" spans="1:10">
      <c r="A908" s="4" t="str">
        <f>'EN60'!A$3</f>
        <v>EN60</v>
      </c>
      <c r="B908" s="4">
        <f t="shared" si="109"/>
        <v>24</v>
      </c>
      <c r="C908" s="4">
        <f t="shared" si="110"/>
        <v>52</v>
      </c>
      <c r="D908" s="4">
        <f t="shared" si="104"/>
        <v>8</v>
      </c>
      <c r="E908" s="4" t="s">
        <v>27</v>
      </c>
      <c r="F908" s="4">
        <f t="shared" si="105"/>
        <v>800</v>
      </c>
      <c r="G908" s="5">
        <f t="shared" si="111"/>
        <v>1.01</v>
      </c>
      <c r="H908" s="6" t="str">
        <f t="shared" si="106"/>
        <v>INSERT INTO public.coupon (plancode, age, "year", couponrate, benefittype, benefitrate, premiumrate) VALUES('EN60', 24, 52, 8, 'A',800, 1.01);</v>
      </c>
      <c r="I908" s="6" t="str">
        <f t="shared" si="107"/>
        <v>{"age":"24", "year":"52", "couponrate":"8", "benefittype":"A", "benefitrate":"800", "premiumrate":"1.01"}</v>
      </c>
      <c r="J908" s="6" t="str">
        <f t="shared" si="108"/>
        <v>,</v>
      </c>
    </row>
    <row r="909" spans="1:10">
      <c r="A909" s="4" t="str">
        <f>'EN60'!A$3</f>
        <v>EN60</v>
      </c>
      <c r="B909" s="4">
        <f t="shared" si="109"/>
        <v>24</v>
      </c>
      <c r="C909" s="4">
        <f t="shared" si="110"/>
        <v>53</v>
      </c>
      <c r="D909" s="4">
        <f t="shared" si="104"/>
        <v>8</v>
      </c>
      <c r="E909" s="4" t="s">
        <v>27</v>
      </c>
      <c r="F909" s="4">
        <f t="shared" si="105"/>
        <v>800</v>
      </c>
      <c r="G909" s="5">
        <f t="shared" si="111"/>
        <v>1.01</v>
      </c>
      <c r="H909" s="6" t="str">
        <f t="shared" si="106"/>
        <v>INSERT INTO public.coupon (plancode, age, "year", couponrate, benefittype, benefitrate, premiumrate) VALUES('EN60', 24, 53, 8, 'A',800, 1.01);</v>
      </c>
      <c r="I909" s="6" t="str">
        <f t="shared" si="107"/>
        <v>{"age":"24", "year":"53", "couponrate":"8", "benefittype":"A", "benefitrate":"800", "premiumrate":"1.01"}</v>
      </c>
      <c r="J909" s="6" t="str">
        <f t="shared" si="108"/>
        <v>,</v>
      </c>
    </row>
    <row r="910" spans="1:10">
      <c r="A910" s="4" t="str">
        <f>'EN60'!A$3</f>
        <v>EN60</v>
      </c>
      <c r="B910" s="4">
        <f t="shared" si="109"/>
        <v>24</v>
      </c>
      <c r="C910" s="4">
        <f t="shared" si="110"/>
        <v>54</v>
      </c>
      <c r="D910" s="4">
        <f t="shared" si="104"/>
        <v>8</v>
      </c>
      <c r="E910" s="4" t="s">
        <v>27</v>
      </c>
      <c r="F910" s="4">
        <f t="shared" si="105"/>
        <v>800</v>
      </c>
      <c r="G910" s="5">
        <f t="shared" si="111"/>
        <v>1.01</v>
      </c>
      <c r="H910" s="6" t="str">
        <f t="shared" si="106"/>
        <v>INSERT INTO public.coupon (plancode, age, "year", couponrate, benefittype, benefitrate, premiumrate) VALUES('EN60', 24, 54, 8, 'A',800, 1.01);</v>
      </c>
      <c r="I910" s="6" t="str">
        <f t="shared" si="107"/>
        <v>{"age":"24", "year":"54", "couponrate":"8", "benefittype":"A", "benefitrate":"800", "premiumrate":"1.01"}</v>
      </c>
      <c r="J910" s="6" t="str">
        <f t="shared" si="108"/>
        <v>,</v>
      </c>
    </row>
    <row r="911" spans="1:10">
      <c r="A911" s="4" t="str">
        <f>'EN60'!A$3</f>
        <v>EN60</v>
      </c>
      <c r="B911" s="4">
        <f t="shared" si="109"/>
        <v>24</v>
      </c>
      <c r="C911" s="4">
        <f t="shared" si="110"/>
        <v>55</v>
      </c>
      <c r="D911" s="4">
        <f t="shared" si="104"/>
        <v>8</v>
      </c>
      <c r="E911" s="4" t="s">
        <v>27</v>
      </c>
      <c r="F911" s="4">
        <f t="shared" si="105"/>
        <v>800</v>
      </c>
      <c r="G911" s="5">
        <f t="shared" si="111"/>
        <v>1.01</v>
      </c>
      <c r="H911" s="6" t="str">
        <f t="shared" si="106"/>
        <v>INSERT INTO public.coupon (plancode, age, "year", couponrate, benefittype, benefitrate, premiumrate) VALUES('EN60', 24, 55, 8, 'A',800, 1.01);</v>
      </c>
      <c r="I911" s="6" t="str">
        <f t="shared" si="107"/>
        <v>{"age":"24", "year":"55", "couponrate":"8", "benefittype":"A", "benefitrate":"800", "premiumrate":"1.01"}</v>
      </c>
      <c r="J911" s="6" t="str">
        <f t="shared" si="108"/>
        <v>,</v>
      </c>
    </row>
    <row r="912" spans="1:10">
      <c r="A912" s="4" t="str">
        <f>'EN60'!A$3</f>
        <v>EN60</v>
      </c>
      <c r="B912" s="4">
        <f t="shared" si="109"/>
        <v>24</v>
      </c>
      <c r="C912" s="4">
        <f t="shared" si="110"/>
        <v>56</v>
      </c>
      <c r="D912" s="4">
        <f t="shared" si="104"/>
        <v>0</v>
      </c>
      <c r="E912" s="4" t="s">
        <v>27</v>
      </c>
      <c r="F912" s="4">
        <f t="shared" si="105"/>
        <v>800</v>
      </c>
      <c r="G912" s="5">
        <f t="shared" si="111"/>
        <v>1.01</v>
      </c>
      <c r="H912" s="6" t="str">
        <f t="shared" si="106"/>
        <v>INSERT INTO public.coupon (plancode, age, "year", couponrate, benefittype, benefitrate, premiumrate) VALUES('EN60', 24, 56, 0, 'A',800, 1.01);</v>
      </c>
      <c r="I912" s="6" t="str">
        <f t="shared" si="107"/>
        <v>{"age":"24", "year":"56", "couponrate":"0", "benefittype":"A", "benefitrate":"800", "premiumrate":"1.01"}</v>
      </c>
    </row>
    <row r="913" spans="1:10">
      <c r="C913" s="6"/>
      <c r="I913" s="6" t="s">
        <v>28</v>
      </c>
    </row>
    <row r="914" spans="1:10">
      <c r="A914" s="3" t="s">
        <v>2</v>
      </c>
      <c r="B914" s="3" t="s">
        <v>23</v>
      </c>
      <c r="C914" s="3" t="s">
        <v>24</v>
      </c>
      <c r="D914" s="3" t="s">
        <v>25</v>
      </c>
      <c r="E914" s="3" t="s">
        <v>8</v>
      </c>
      <c r="F914" s="3" t="s">
        <v>26</v>
      </c>
      <c r="G914" s="3" t="s">
        <v>4</v>
      </c>
      <c r="I914" s="6" t="str">
        <f>"[{""plancode"":"""&amp;A915&amp;""",""returncash"":"""&amp;B$7&amp;""",""ytable"":"""&amp;C$7&amp;""",""maturerate"":"""&amp;B$3&amp;""",""maturepmrate"":"""&amp;C$3&amp;""",""coupon"":["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915" spans="1:10">
      <c r="A915" s="4" t="str">
        <f>'EN60'!A$3</f>
        <v>EN60</v>
      </c>
      <c r="B915" s="8">
        <v>25</v>
      </c>
      <c r="C915" s="4">
        <v>1</v>
      </c>
      <c r="D915" s="4">
        <f t="shared" ref="D915:D969" si="112">IF(C915+B915=80,0,8)</f>
        <v>8</v>
      </c>
      <c r="E915" s="4" t="s">
        <v>27</v>
      </c>
      <c r="F915" s="4">
        <f t="shared" ref="F915:F969" si="113">IF(C915&gt;7, 800, C915*100)</f>
        <v>100</v>
      </c>
      <c r="G915" s="5">
        <f>'EN60'!C$3</f>
        <v>1.01</v>
      </c>
      <c r="H915" s="6" t="str">
        <f t="shared" ref="H915:H969" si="114">"INSERT INTO public.coupon ("&amp;A$11&amp;", "&amp;B$11&amp;", """&amp;C$11&amp;""", "&amp;D$11&amp;", "&amp;E$11&amp;", "&amp;F$11&amp;", "&amp;G$11&amp;") VALUES('"&amp;A915&amp;"', "&amp;B915&amp;", "&amp;C915&amp;", "&amp;D915&amp;", '"&amp;E915&amp;"',"&amp;F915&amp;", "&amp;G915&amp;");"</f>
        <v>INSERT INTO public.coupon (plancode, age, "year", couponrate, benefittype, benefitrate, premiumrate) VALUES('EN60', 25, 1, 8, 'A',100, 1.01);</v>
      </c>
      <c r="I915" s="6" t="str">
        <f t="shared" ref="I915:I969" si="115">"{""age"":"""&amp;B915&amp;""", ""year"":"""&amp;C915&amp;""", ""couponrate"":"""&amp;D915&amp;""", ""benefittype"":"""&amp;E915&amp;""", ""benefitrate"":"""&amp;F915&amp;""", """&amp;G$11&amp;""":"""&amp;G915&amp;"""}"</f>
        <v>{"age":"25", "year":"1", "couponrate":"8", "benefittype":"A", "benefitrate":"100", "premiumrate":"1.01"}</v>
      </c>
      <c r="J915" s="6" t="str">
        <f t="shared" ref="J915:J968" si="116">IF(OR(I916="]", I915="[", I915="]"), "", ",")</f>
        <v>,</v>
      </c>
    </row>
    <row r="916" spans="1:10">
      <c r="A916" s="4" t="str">
        <f>'EN60'!A$3</f>
        <v>EN60</v>
      </c>
      <c r="B916" s="4">
        <f t="shared" ref="B916:B969" si="117">B915</f>
        <v>25</v>
      </c>
      <c r="C916" s="4">
        <f t="shared" ref="C916:C969" si="118">C915+1</f>
        <v>2</v>
      </c>
      <c r="D916" s="4">
        <f t="shared" si="112"/>
        <v>8</v>
      </c>
      <c r="E916" s="4" t="s">
        <v>27</v>
      </c>
      <c r="F916" s="4">
        <f t="shared" si="113"/>
        <v>200</v>
      </c>
      <c r="G916" s="5">
        <f t="shared" ref="G916:G969" si="119">G915</f>
        <v>1.01</v>
      </c>
      <c r="H916" s="6" t="str">
        <f t="shared" si="114"/>
        <v>INSERT INTO public.coupon (plancode, age, "year", couponrate, benefittype, benefitrate, premiumrate) VALUES('EN60', 25, 2, 8, 'A',200, 1.01);</v>
      </c>
      <c r="I916" s="6" t="str">
        <f t="shared" si="115"/>
        <v>{"age":"25", "year":"2", "couponrate":"8", "benefittype":"A", "benefitrate":"200", "premiumrate":"1.01"}</v>
      </c>
      <c r="J916" s="6" t="str">
        <f t="shared" si="116"/>
        <v>,</v>
      </c>
    </row>
    <row r="917" spans="1:10">
      <c r="A917" s="4" t="str">
        <f>'EN60'!A$3</f>
        <v>EN60</v>
      </c>
      <c r="B917" s="4">
        <f t="shared" si="117"/>
        <v>25</v>
      </c>
      <c r="C917" s="4">
        <f t="shared" si="118"/>
        <v>3</v>
      </c>
      <c r="D917" s="4">
        <f t="shared" si="112"/>
        <v>8</v>
      </c>
      <c r="E917" s="4" t="s">
        <v>27</v>
      </c>
      <c r="F917" s="4">
        <f t="shared" si="113"/>
        <v>300</v>
      </c>
      <c r="G917" s="5">
        <f t="shared" si="119"/>
        <v>1.01</v>
      </c>
      <c r="H917" s="6" t="str">
        <f t="shared" si="114"/>
        <v>INSERT INTO public.coupon (plancode, age, "year", couponrate, benefittype, benefitrate, premiumrate) VALUES('EN60', 25, 3, 8, 'A',300, 1.01);</v>
      </c>
      <c r="I917" s="6" t="str">
        <f t="shared" si="115"/>
        <v>{"age":"25", "year":"3", "couponrate":"8", "benefittype":"A", "benefitrate":"300", "premiumrate":"1.01"}</v>
      </c>
      <c r="J917" s="6" t="str">
        <f t="shared" si="116"/>
        <v>,</v>
      </c>
    </row>
    <row r="918" spans="1:10">
      <c r="A918" s="4" t="str">
        <f>'EN60'!A$3</f>
        <v>EN60</v>
      </c>
      <c r="B918" s="4">
        <f t="shared" si="117"/>
        <v>25</v>
      </c>
      <c r="C918" s="4">
        <f t="shared" si="118"/>
        <v>4</v>
      </c>
      <c r="D918" s="4">
        <f t="shared" si="112"/>
        <v>8</v>
      </c>
      <c r="E918" s="4" t="s">
        <v>27</v>
      </c>
      <c r="F918" s="4">
        <f t="shared" si="113"/>
        <v>400</v>
      </c>
      <c r="G918" s="5">
        <f t="shared" si="119"/>
        <v>1.01</v>
      </c>
      <c r="H918" s="6" t="str">
        <f t="shared" si="114"/>
        <v>INSERT INTO public.coupon (plancode, age, "year", couponrate, benefittype, benefitrate, premiumrate) VALUES('EN60', 25, 4, 8, 'A',400, 1.01);</v>
      </c>
      <c r="I918" s="6" t="str">
        <f t="shared" si="115"/>
        <v>{"age":"25", "year":"4", "couponrate":"8", "benefittype":"A", "benefitrate":"400", "premiumrate":"1.01"}</v>
      </c>
      <c r="J918" s="6" t="str">
        <f t="shared" si="116"/>
        <v>,</v>
      </c>
    </row>
    <row r="919" spans="1:10">
      <c r="A919" s="4" t="str">
        <f>'EN60'!A$3</f>
        <v>EN60</v>
      </c>
      <c r="B919" s="4">
        <f t="shared" si="117"/>
        <v>25</v>
      </c>
      <c r="C919" s="4">
        <f t="shared" si="118"/>
        <v>5</v>
      </c>
      <c r="D919" s="4">
        <f t="shared" si="112"/>
        <v>8</v>
      </c>
      <c r="E919" s="4" t="s">
        <v>27</v>
      </c>
      <c r="F919" s="4">
        <f t="shared" si="113"/>
        <v>500</v>
      </c>
      <c r="G919" s="5">
        <f t="shared" si="119"/>
        <v>1.01</v>
      </c>
      <c r="H919" s="6" t="str">
        <f t="shared" si="114"/>
        <v>INSERT INTO public.coupon (plancode, age, "year", couponrate, benefittype, benefitrate, premiumrate) VALUES('EN60', 25, 5, 8, 'A',500, 1.01);</v>
      </c>
      <c r="I919" s="6" t="str">
        <f t="shared" si="115"/>
        <v>{"age":"25", "year":"5", "couponrate":"8", "benefittype":"A", "benefitrate":"500", "premiumrate":"1.01"}</v>
      </c>
      <c r="J919" s="6" t="str">
        <f t="shared" si="116"/>
        <v>,</v>
      </c>
    </row>
    <row r="920" spans="1:10">
      <c r="A920" s="4" t="str">
        <f>'EN60'!A$3</f>
        <v>EN60</v>
      </c>
      <c r="B920" s="4">
        <f t="shared" si="117"/>
        <v>25</v>
      </c>
      <c r="C920" s="4">
        <f t="shared" si="118"/>
        <v>6</v>
      </c>
      <c r="D920" s="4">
        <f t="shared" si="112"/>
        <v>8</v>
      </c>
      <c r="E920" s="4" t="s">
        <v>27</v>
      </c>
      <c r="F920" s="4">
        <f t="shared" si="113"/>
        <v>600</v>
      </c>
      <c r="G920" s="5">
        <f t="shared" si="119"/>
        <v>1.01</v>
      </c>
      <c r="H920" s="6" t="str">
        <f t="shared" si="114"/>
        <v>INSERT INTO public.coupon (plancode, age, "year", couponrate, benefittype, benefitrate, premiumrate) VALUES('EN60', 25, 6, 8, 'A',600, 1.01);</v>
      </c>
      <c r="I920" s="6" t="str">
        <f t="shared" si="115"/>
        <v>{"age":"25", "year":"6", "couponrate":"8", "benefittype":"A", "benefitrate":"600", "premiumrate":"1.01"}</v>
      </c>
      <c r="J920" s="6" t="str">
        <f t="shared" si="116"/>
        <v>,</v>
      </c>
    </row>
    <row r="921" spans="1:10">
      <c r="A921" s="4" t="str">
        <f>'EN60'!A$3</f>
        <v>EN60</v>
      </c>
      <c r="B921" s="4">
        <f t="shared" si="117"/>
        <v>25</v>
      </c>
      <c r="C921" s="4">
        <f t="shared" si="118"/>
        <v>7</v>
      </c>
      <c r="D921" s="4">
        <f t="shared" si="112"/>
        <v>8</v>
      </c>
      <c r="E921" s="4" t="s">
        <v>27</v>
      </c>
      <c r="F921" s="4">
        <f t="shared" si="113"/>
        <v>700</v>
      </c>
      <c r="G921" s="5">
        <f t="shared" si="119"/>
        <v>1.01</v>
      </c>
      <c r="H921" s="6" t="str">
        <f t="shared" si="114"/>
        <v>INSERT INTO public.coupon (plancode, age, "year", couponrate, benefittype, benefitrate, premiumrate) VALUES('EN60', 25, 7, 8, 'A',700, 1.01);</v>
      </c>
      <c r="I921" s="6" t="str">
        <f t="shared" si="115"/>
        <v>{"age":"25", "year":"7", "couponrate":"8", "benefittype":"A", "benefitrate":"700", "premiumrate":"1.01"}</v>
      </c>
      <c r="J921" s="6" t="str">
        <f t="shared" si="116"/>
        <v>,</v>
      </c>
    </row>
    <row r="922" spans="1:10">
      <c r="A922" s="4" t="str">
        <f>'EN60'!A$3</f>
        <v>EN60</v>
      </c>
      <c r="B922" s="4">
        <f t="shared" si="117"/>
        <v>25</v>
      </c>
      <c r="C922" s="4">
        <f t="shared" si="118"/>
        <v>8</v>
      </c>
      <c r="D922" s="4">
        <f t="shared" si="112"/>
        <v>8</v>
      </c>
      <c r="E922" s="4" t="s">
        <v>27</v>
      </c>
      <c r="F922" s="4">
        <f t="shared" si="113"/>
        <v>800</v>
      </c>
      <c r="G922" s="5">
        <f t="shared" si="119"/>
        <v>1.01</v>
      </c>
      <c r="H922" s="6" t="str">
        <f t="shared" si="114"/>
        <v>INSERT INTO public.coupon (plancode, age, "year", couponrate, benefittype, benefitrate, premiumrate) VALUES('EN60', 25, 8, 8, 'A',800, 1.01);</v>
      </c>
      <c r="I922" s="6" t="str">
        <f t="shared" si="115"/>
        <v>{"age":"25", "year":"8", "couponrate":"8", "benefittype":"A", "benefitrate":"800", "premiumrate":"1.01"}</v>
      </c>
      <c r="J922" s="6" t="str">
        <f t="shared" si="116"/>
        <v>,</v>
      </c>
    </row>
    <row r="923" spans="1:10">
      <c r="A923" s="4" t="str">
        <f>'EN60'!A$3</f>
        <v>EN60</v>
      </c>
      <c r="B923" s="4">
        <f t="shared" si="117"/>
        <v>25</v>
      </c>
      <c r="C923" s="4">
        <f t="shared" si="118"/>
        <v>9</v>
      </c>
      <c r="D923" s="4">
        <f t="shared" si="112"/>
        <v>8</v>
      </c>
      <c r="E923" s="4" t="s">
        <v>27</v>
      </c>
      <c r="F923" s="4">
        <f t="shared" si="113"/>
        <v>800</v>
      </c>
      <c r="G923" s="5">
        <f t="shared" si="119"/>
        <v>1.01</v>
      </c>
      <c r="H923" s="6" t="str">
        <f t="shared" si="114"/>
        <v>INSERT INTO public.coupon (plancode, age, "year", couponrate, benefittype, benefitrate, premiumrate) VALUES('EN60', 25, 9, 8, 'A',800, 1.01);</v>
      </c>
      <c r="I923" s="6" t="str">
        <f t="shared" si="115"/>
        <v>{"age":"25", "year":"9", "couponrate":"8", "benefittype":"A", "benefitrate":"800", "premiumrate":"1.01"}</v>
      </c>
      <c r="J923" s="6" t="str">
        <f t="shared" si="116"/>
        <v>,</v>
      </c>
    </row>
    <row r="924" spans="1:10">
      <c r="A924" s="4" t="str">
        <f>'EN60'!A$3</f>
        <v>EN60</v>
      </c>
      <c r="B924" s="4">
        <f t="shared" si="117"/>
        <v>25</v>
      </c>
      <c r="C924" s="4">
        <f t="shared" si="118"/>
        <v>10</v>
      </c>
      <c r="D924" s="4">
        <f t="shared" si="112"/>
        <v>8</v>
      </c>
      <c r="E924" s="4" t="s">
        <v>27</v>
      </c>
      <c r="F924" s="4">
        <f t="shared" si="113"/>
        <v>800</v>
      </c>
      <c r="G924" s="5">
        <f t="shared" si="119"/>
        <v>1.01</v>
      </c>
      <c r="H924" s="6" t="str">
        <f t="shared" si="114"/>
        <v>INSERT INTO public.coupon (plancode, age, "year", couponrate, benefittype, benefitrate, premiumrate) VALUES('EN60', 25, 10, 8, 'A',800, 1.01);</v>
      </c>
      <c r="I924" s="6" t="str">
        <f t="shared" si="115"/>
        <v>{"age":"25", "year":"10", "couponrate":"8", "benefittype":"A", "benefitrate":"800", "premiumrate":"1.01"}</v>
      </c>
      <c r="J924" s="6" t="str">
        <f t="shared" si="116"/>
        <v>,</v>
      </c>
    </row>
    <row r="925" spans="1:10">
      <c r="A925" s="4" t="str">
        <f>'EN60'!A$3</f>
        <v>EN60</v>
      </c>
      <c r="B925" s="4">
        <f t="shared" si="117"/>
        <v>25</v>
      </c>
      <c r="C925" s="4">
        <f t="shared" si="118"/>
        <v>11</v>
      </c>
      <c r="D925" s="4">
        <f t="shared" si="112"/>
        <v>8</v>
      </c>
      <c r="E925" s="4" t="s">
        <v>27</v>
      </c>
      <c r="F925" s="4">
        <f t="shared" si="113"/>
        <v>800</v>
      </c>
      <c r="G925" s="5">
        <f t="shared" si="119"/>
        <v>1.01</v>
      </c>
      <c r="H925" s="6" t="str">
        <f t="shared" si="114"/>
        <v>INSERT INTO public.coupon (plancode, age, "year", couponrate, benefittype, benefitrate, premiumrate) VALUES('EN60', 25, 11, 8, 'A',800, 1.01);</v>
      </c>
      <c r="I925" s="6" t="str">
        <f t="shared" si="115"/>
        <v>{"age":"25", "year":"11", "couponrate":"8", "benefittype":"A", "benefitrate":"800", "premiumrate":"1.01"}</v>
      </c>
      <c r="J925" s="6" t="str">
        <f t="shared" si="116"/>
        <v>,</v>
      </c>
    </row>
    <row r="926" spans="1:10">
      <c r="A926" s="4" t="str">
        <f>'EN60'!A$3</f>
        <v>EN60</v>
      </c>
      <c r="B926" s="4">
        <f t="shared" si="117"/>
        <v>25</v>
      </c>
      <c r="C926" s="4">
        <f t="shared" si="118"/>
        <v>12</v>
      </c>
      <c r="D926" s="4">
        <f t="shared" si="112"/>
        <v>8</v>
      </c>
      <c r="E926" s="4" t="s">
        <v>27</v>
      </c>
      <c r="F926" s="4">
        <f t="shared" si="113"/>
        <v>800</v>
      </c>
      <c r="G926" s="5">
        <f t="shared" si="119"/>
        <v>1.01</v>
      </c>
      <c r="H926" s="6" t="str">
        <f t="shared" si="114"/>
        <v>INSERT INTO public.coupon (plancode, age, "year", couponrate, benefittype, benefitrate, premiumrate) VALUES('EN60', 25, 12, 8, 'A',800, 1.01);</v>
      </c>
      <c r="I926" s="6" t="str">
        <f t="shared" si="115"/>
        <v>{"age":"25", "year":"12", "couponrate":"8", "benefittype":"A", "benefitrate":"800", "premiumrate":"1.01"}</v>
      </c>
      <c r="J926" s="6" t="str">
        <f t="shared" si="116"/>
        <v>,</v>
      </c>
    </row>
    <row r="927" spans="1:10">
      <c r="A927" s="4" t="str">
        <f>'EN60'!A$3</f>
        <v>EN60</v>
      </c>
      <c r="B927" s="4">
        <f t="shared" si="117"/>
        <v>25</v>
      </c>
      <c r="C927" s="4">
        <f t="shared" si="118"/>
        <v>13</v>
      </c>
      <c r="D927" s="4">
        <f t="shared" si="112"/>
        <v>8</v>
      </c>
      <c r="E927" s="4" t="s">
        <v>27</v>
      </c>
      <c r="F927" s="4">
        <f t="shared" si="113"/>
        <v>800</v>
      </c>
      <c r="G927" s="5">
        <f t="shared" si="119"/>
        <v>1.01</v>
      </c>
      <c r="H927" s="6" t="str">
        <f t="shared" si="114"/>
        <v>INSERT INTO public.coupon (plancode, age, "year", couponrate, benefittype, benefitrate, premiumrate) VALUES('EN60', 25, 13, 8, 'A',800, 1.01);</v>
      </c>
      <c r="I927" s="6" t="str">
        <f t="shared" si="115"/>
        <v>{"age":"25", "year":"13", "couponrate":"8", "benefittype":"A", "benefitrate":"800", "premiumrate":"1.01"}</v>
      </c>
      <c r="J927" s="6" t="str">
        <f t="shared" si="116"/>
        <v>,</v>
      </c>
    </row>
    <row r="928" spans="1:10">
      <c r="A928" s="4" t="str">
        <f>'EN60'!A$3</f>
        <v>EN60</v>
      </c>
      <c r="B928" s="4">
        <f t="shared" si="117"/>
        <v>25</v>
      </c>
      <c r="C928" s="4">
        <f t="shared" si="118"/>
        <v>14</v>
      </c>
      <c r="D928" s="4">
        <f t="shared" si="112"/>
        <v>8</v>
      </c>
      <c r="E928" s="4" t="s">
        <v>27</v>
      </c>
      <c r="F928" s="4">
        <f t="shared" si="113"/>
        <v>800</v>
      </c>
      <c r="G928" s="5">
        <f t="shared" si="119"/>
        <v>1.01</v>
      </c>
      <c r="H928" s="6" t="str">
        <f t="shared" si="114"/>
        <v>INSERT INTO public.coupon (plancode, age, "year", couponrate, benefittype, benefitrate, premiumrate) VALUES('EN60', 25, 14, 8, 'A',800, 1.01);</v>
      </c>
      <c r="I928" s="6" t="str">
        <f t="shared" si="115"/>
        <v>{"age":"25", "year":"14", "couponrate":"8", "benefittype":"A", "benefitrate":"800", "premiumrate":"1.01"}</v>
      </c>
      <c r="J928" s="6" t="str">
        <f t="shared" si="116"/>
        <v>,</v>
      </c>
    </row>
    <row r="929" spans="1:10">
      <c r="A929" s="4" t="str">
        <f>'EN60'!A$3</f>
        <v>EN60</v>
      </c>
      <c r="B929" s="4">
        <f t="shared" si="117"/>
        <v>25</v>
      </c>
      <c r="C929" s="4">
        <f t="shared" si="118"/>
        <v>15</v>
      </c>
      <c r="D929" s="4">
        <f t="shared" si="112"/>
        <v>8</v>
      </c>
      <c r="E929" s="4" t="s">
        <v>27</v>
      </c>
      <c r="F929" s="4">
        <f t="shared" si="113"/>
        <v>800</v>
      </c>
      <c r="G929" s="5">
        <f t="shared" si="119"/>
        <v>1.01</v>
      </c>
      <c r="H929" s="6" t="str">
        <f t="shared" si="114"/>
        <v>INSERT INTO public.coupon (plancode, age, "year", couponrate, benefittype, benefitrate, premiumrate) VALUES('EN60', 25, 15, 8, 'A',800, 1.01);</v>
      </c>
      <c r="I929" s="6" t="str">
        <f t="shared" si="115"/>
        <v>{"age":"25", "year":"15", "couponrate":"8", "benefittype":"A", "benefitrate":"800", "premiumrate":"1.01"}</v>
      </c>
      <c r="J929" s="6" t="str">
        <f t="shared" si="116"/>
        <v>,</v>
      </c>
    </row>
    <row r="930" spans="1:10">
      <c r="A930" s="4" t="str">
        <f>'EN60'!A$3</f>
        <v>EN60</v>
      </c>
      <c r="B930" s="4">
        <f t="shared" si="117"/>
        <v>25</v>
      </c>
      <c r="C930" s="4">
        <f t="shared" si="118"/>
        <v>16</v>
      </c>
      <c r="D930" s="4">
        <f t="shared" si="112"/>
        <v>8</v>
      </c>
      <c r="E930" s="4" t="s">
        <v>27</v>
      </c>
      <c r="F930" s="4">
        <f t="shared" si="113"/>
        <v>800</v>
      </c>
      <c r="G930" s="5">
        <f t="shared" si="119"/>
        <v>1.01</v>
      </c>
      <c r="H930" s="6" t="str">
        <f t="shared" si="114"/>
        <v>INSERT INTO public.coupon (plancode, age, "year", couponrate, benefittype, benefitrate, premiumrate) VALUES('EN60', 25, 16, 8, 'A',800, 1.01);</v>
      </c>
      <c r="I930" s="6" t="str">
        <f t="shared" si="115"/>
        <v>{"age":"25", "year":"16", "couponrate":"8", "benefittype":"A", "benefitrate":"800", "premiumrate":"1.01"}</v>
      </c>
      <c r="J930" s="6" t="str">
        <f t="shared" si="116"/>
        <v>,</v>
      </c>
    </row>
    <row r="931" spans="1:10">
      <c r="A931" s="4" t="str">
        <f>'EN60'!A$3</f>
        <v>EN60</v>
      </c>
      <c r="B931" s="4">
        <f t="shared" si="117"/>
        <v>25</v>
      </c>
      <c r="C931" s="4">
        <f t="shared" si="118"/>
        <v>17</v>
      </c>
      <c r="D931" s="4">
        <f t="shared" si="112"/>
        <v>8</v>
      </c>
      <c r="E931" s="4" t="s">
        <v>27</v>
      </c>
      <c r="F931" s="4">
        <f t="shared" si="113"/>
        <v>800</v>
      </c>
      <c r="G931" s="5">
        <f t="shared" si="119"/>
        <v>1.01</v>
      </c>
      <c r="H931" s="6" t="str">
        <f t="shared" si="114"/>
        <v>INSERT INTO public.coupon (plancode, age, "year", couponrate, benefittype, benefitrate, premiumrate) VALUES('EN60', 25, 17, 8, 'A',800, 1.01);</v>
      </c>
      <c r="I931" s="6" t="str">
        <f t="shared" si="115"/>
        <v>{"age":"25", "year":"17", "couponrate":"8", "benefittype":"A", "benefitrate":"800", "premiumrate":"1.01"}</v>
      </c>
      <c r="J931" s="6" t="str">
        <f t="shared" si="116"/>
        <v>,</v>
      </c>
    </row>
    <row r="932" spans="1:10">
      <c r="A932" s="4" t="str">
        <f>'EN60'!A$3</f>
        <v>EN60</v>
      </c>
      <c r="B932" s="4">
        <f t="shared" si="117"/>
        <v>25</v>
      </c>
      <c r="C932" s="4">
        <f t="shared" si="118"/>
        <v>18</v>
      </c>
      <c r="D932" s="4">
        <f t="shared" si="112"/>
        <v>8</v>
      </c>
      <c r="E932" s="4" t="s">
        <v>27</v>
      </c>
      <c r="F932" s="4">
        <f t="shared" si="113"/>
        <v>800</v>
      </c>
      <c r="G932" s="5">
        <f t="shared" si="119"/>
        <v>1.01</v>
      </c>
      <c r="H932" s="6" t="str">
        <f t="shared" si="114"/>
        <v>INSERT INTO public.coupon (plancode, age, "year", couponrate, benefittype, benefitrate, premiumrate) VALUES('EN60', 25, 18, 8, 'A',800, 1.01);</v>
      </c>
      <c r="I932" s="6" t="str">
        <f t="shared" si="115"/>
        <v>{"age":"25", "year":"18", "couponrate":"8", "benefittype":"A", "benefitrate":"800", "premiumrate":"1.01"}</v>
      </c>
      <c r="J932" s="6" t="str">
        <f t="shared" si="116"/>
        <v>,</v>
      </c>
    </row>
    <row r="933" spans="1:10">
      <c r="A933" s="4" t="str">
        <f>'EN60'!A$3</f>
        <v>EN60</v>
      </c>
      <c r="B933" s="4">
        <f t="shared" si="117"/>
        <v>25</v>
      </c>
      <c r="C933" s="4">
        <f t="shared" si="118"/>
        <v>19</v>
      </c>
      <c r="D933" s="4">
        <f t="shared" si="112"/>
        <v>8</v>
      </c>
      <c r="E933" s="4" t="s">
        <v>27</v>
      </c>
      <c r="F933" s="4">
        <f t="shared" si="113"/>
        <v>800</v>
      </c>
      <c r="G933" s="5">
        <f t="shared" si="119"/>
        <v>1.01</v>
      </c>
      <c r="H933" s="6" t="str">
        <f t="shared" si="114"/>
        <v>INSERT INTO public.coupon (plancode, age, "year", couponrate, benefittype, benefitrate, premiumrate) VALUES('EN60', 25, 19, 8, 'A',800, 1.01);</v>
      </c>
      <c r="I933" s="6" t="str">
        <f t="shared" si="115"/>
        <v>{"age":"25", "year":"19", "couponrate":"8", "benefittype":"A", "benefitrate":"800", "premiumrate":"1.01"}</v>
      </c>
      <c r="J933" s="6" t="str">
        <f t="shared" si="116"/>
        <v>,</v>
      </c>
    </row>
    <row r="934" spans="1:10">
      <c r="A934" s="4" t="str">
        <f>'EN60'!A$3</f>
        <v>EN60</v>
      </c>
      <c r="B934" s="4">
        <f t="shared" si="117"/>
        <v>25</v>
      </c>
      <c r="C934" s="4">
        <f t="shared" si="118"/>
        <v>20</v>
      </c>
      <c r="D934" s="4">
        <f t="shared" si="112"/>
        <v>8</v>
      </c>
      <c r="E934" s="4" t="s">
        <v>27</v>
      </c>
      <c r="F934" s="4">
        <f t="shared" si="113"/>
        <v>800</v>
      </c>
      <c r="G934" s="5">
        <f t="shared" si="119"/>
        <v>1.01</v>
      </c>
      <c r="H934" s="6" t="str">
        <f t="shared" si="114"/>
        <v>INSERT INTO public.coupon (plancode, age, "year", couponrate, benefittype, benefitrate, premiumrate) VALUES('EN60', 25, 20, 8, 'A',800, 1.01);</v>
      </c>
      <c r="I934" s="6" t="str">
        <f t="shared" si="115"/>
        <v>{"age":"25", "year":"20", "couponrate":"8", "benefittype":"A", "benefitrate":"800", "premiumrate":"1.01"}</v>
      </c>
      <c r="J934" s="6" t="str">
        <f t="shared" si="116"/>
        <v>,</v>
      </c>
    </row>
    <row r="935" spans="1:10">
      <c r="A935" s="4" t="str">
        <f>'EN60'!A$3</f>
        <v>EN60</v>
      </c>
      <c r="B935" s="4">
        <f t="shared" si="117"/>
        <v>25</v>
      </c>
      <c r="C935" s="4">
        <f t="shared" si="118"/>
        <v>21</v>
      </c>
      <c r="D935" s="4">
        <f t="shared" si="112"/>
        <v>8</v>
      </c>
      <c r="E935" s="4" t="s">
        <v>27</v>
      </c>
      <c r="F935" s="4">
        <f t="shared" si="113"/>
        <v>800</v>
      </c>
      <c r="G935" s="5">
        <f t="shared" si="119"/>
        <v>1.01</v>
      </c>
      <c r="H935" s="6" t="str">
        <f t="shared" si="114"/>
        <v>INSERT INTO public.coupon (plancode, age, "year", couponrate, benefittype, benefitrate, premiumrate) VALUES('EN60', 25, 21, 8, 'A',800, 1.01);</v>
      </c>
      <c r="I935" s="6" t="str">
        <f t="shared" si="115"/>
        <v>{"age":"25", "year":"21", "couponrate":"8", "benefittype":"A", "benefitrate":"800", "premiumrate":"1.01"}</v>
      </c>
      <c r="J935" s="6" t="str">
        <f t="shared" si="116"/>
        <v>,</v>
      </c>
    </row>
    <row r="936" spans="1:10">
      <c r="A936" s="4" t="str">
        <f>'EN60'!A$3</f>
        <v>EN60</v>
      </c>
      <c r="B936" s="4">
        <f t="shared" si="117"/>
        <v>25</v>
      </c>
      <c r="C936" s="4">
        <f t="shared" si="118"/>
        <v>22</v>
      </c>
      <c r="D936" s="4">
        <f t="shared" si="112"/>
        <v>8</v>
      </c>
      <c r="E936" s="4" t="s">
        <v>27</v>
      </c>
      <c r="F936" s="4">
        <f t="shared" si="113"/>
        <v>800</v>
      </c>
      <c r="G936" s="5">
        <f t="shared" si="119"/>
        <v>1.01</v>
      </c>
      <c r="H936" s="6" t="str">
        <f t="shared" si="114"/>
        <v>INSERT INTO public.coupon (plancode, age, "year", couponrate, benefittype, benefitrate, premiumrate) VALUES('EN60', 25, 22, 8, 'A',800, 1.01);</v>
      </c>
      <c r="I936" s="6" t="str">
        <f t="shared" si="115"/>
        <v>{"age":"25", "year":"22", "couponrate":"8", "benefittype":"A", "benefitrate":"800", "premiumrate":"1.01"}</v>
      </c>
      <c r="J936" s="6" t="str">
        <f t="shared" si="116"/>
        <v>,</v>
      </c>
    </row>
    <row r="937" spans="1:10">
      <c r="A937" s="4" t="str">
        <f>'EN60'!A$3</f>
        <v>EN60</v>
      </c>
      <c r="B937" s="4">
        <f t="shared" si="117"/>
        <v>25</v>
      </c>
      <c r="C937" s="4">
        <f t="shared" si="118"/>
        <v>23</v>
      </c>
      <c r="D937" s="4">
        <f t="shared" si="112"/>
        <v>8</v>
      </c>
      <c r="E937" s="4" t="s">
        <v>27</v>
      </c>
      <c r="F937" s="4">
        <f t="shared" si="113"/>
        <v>800</v>
      </c>
      <c r="G937" s="5">
        <f t="shared" si="119"/>
        <v>1.01</v>
      </c>
      <c r="H937" s="6" t="str">
        <f t="shared" si="114"/>
        <v>INSERT INTO public.coupon (plancode, age, "year", couponrate, benefittype, benefitrate, premiumrate) VALUES('EN60', 25, 23, 8, 'A',800, 1.01);</v>
      </c>
      <c r="I937" s="6" t="str">
        <f t="shared" si="115"/>
        <v>{"age":"25", "year":"23", "couponrate":"8", "benefittype":"A", "benefitrate":"800", "premiumrate":"1.01"}</v>
      </c>
      <c r="J937" s="6" t="str">
        <f t="shared" si="116"/>
        <v>,</v>
      </c>
    </row>
    <row r="938" spans="1:10">
      <c r="A938" s="4" t="str">
        <f>'EN60'!A$3</f>
        <v>EN60</v>
      </c>
      <c r="B938" s="4">
        <f t="shared" si="117"/>
        <v>25</v>
      </c>
      <c r="C938" s="4">
        <f t="shared" si="118"/>
        <v>24</v>
      </c>
      <c r="D938" s="4">
        <f t="shared" si="112"/>
        <v>8</v>
      </c>
      <c r="E938" s="4" t="s">
        <v>27</v>
      </c>
      <c r="F938" s="4">
        <f t="shared" si="113"/>
        <v>800</v>
      </c>
      <c r="G938" s="5">
        <f t="shared" si="119"/>
        <v>1.01</v>
      </c>
      <c r="H938" s="6" t="str">
        <f t="shared" si="114"/>
        <v>INSERT INTO public.coupon (plancode, age, "year", couponrate, benefittype, benefitrate, premiumrate) VALUES('EN60', 25, 24, 8, 'A',800, 1.01);</v>
      </c>
      <c r="I938" s="6" t="str">
        <f t="shared" si="115"/>
        <v>{"age":"25", "year":"24", "couponrate":"8", "benefittype":"A", "benefitrate":"800", "premiumrate":"1.01"}</v>
      </c>
      <c r="J938" s="6" t="str">
        <f t="shared" si="116"/>
        <v>,</v>
      </c>
    </row>
    <row r="939" spans="1:10">
      <c r="A939" s="4" t="str">
        <f>'EN60'!A$3</f>
        <v>EN60</v>
      </c>
      <c r="B939" s="4">
        <f t="shared" si="117"/>
        <v>25</v>
      </c>
      <c r="C939" s="4">
        <f t="shared" si="118"/>
        <v>25</v>
      </c>
      <c r="D939" s="4">
        <f t="shared" si="112"/>
        <v>8</v>
      </c>
      <c r="E939" s="4" t="s">
        <v>27</v>
      </c>
      <c r="F939" s="4">
        <f t="shared" si="113"/>
        <v>800</v>
      </c>
      <c r="G939" s="5">
        <f t="shared" si="119"/>
        <v>1.01</v>
      </c>
      <c r="H939" s="6" t="str">
        <f t="shared" si="114"/>
        <v>INSERT INTO public.coupon (plancode, age, "year", couponrate, benefittype, benefitrate, premiumrate) VALUES('EN60', 25, 25, 8, 'A',800, 1.01);</v>
      </c>
      <c r="I939" s="6" t="str">
        <f t="shared" si="115"/>
        <v>{"age":"25", "year":"25", "couponrate":"8", "benefittype":"A", "benefitrate":"800", "premiumrate":"1.01"}</v>
      </c>
      <c r="J939" s="6" t="str">
        <f t="shared" si="116"/>
        <v>,</v>
      </c>
    </row>
    <row r="940" spans="1:10">
      <c r="A940" s="4" t="str">
        <f>'EN60'!A$3</f>
        <v>EN60</v>
      </c>
      <c r="B940" s="4">
        <f t="shared" si="117"/>
        <v>25</v>
      </c>
      <c r="C940" s="4">
        <f t="shared" si="118"/>
        <v>26</v>
      </c>
      <c r="D940" s="4">
        <f t="shared" si="112"/>
        <v>8</v>
      </c>
      <c r="E940" s="4" t="s">
        <v>27</v>
      </c>
      <c r="F940" s="4">
        <f t="shared" si="113"/>
        <v>800</v>
      </c>
      <c r="G940" s="5">
        <f t="shared" si="119"/>
        <v>1.01</v>
      </c>
      <c r="H940" s="6" t="str">
        <f t="shared" si="114"/>
        <v>INSERT INTO public.coupon (plancode, age, "year", couponrate, benefittype, benefitrate, premiumrate) VALUES('EN60', 25, 26, 8, 'A',800, 1.01);</v>
      </c>
      <c r="I940" s="6" t="str">
        <f t="shared" si="115"/>
        <v>{"age":"25", "year":"26", "couponrate":"8", "benefittype":"A", "benefitrate":"800", "premiumrate":"1.01"}</v>
      </c>
      <c r="J940" s="6" t="str">
        <f t="shared" si="116"/>
        <v>,</v>
      </c>
    </row>
    <row r="941" spans="1:10">
      <c r="A941" s="4" t="str">
        <f>'EN60'!A$3</f>
        <v>EN60</v>
      </c>
      <c r="B941" s="4">
        <f t="shared" si="117"/>
        <v>25</v>
      </c>
      <c r="C941" s="4">
        <f t="shared" si="118"/>
        <v>27</v>
      </c>
      <c r="D941" s="4">
        <f t="shared" si="112"/>
        <v>8</v>
      </c>
      <c r="E941" s="4" t="s">
        <v>27</v>
      </c>
      <c r="F941" s="4">
        <f t="shared" si="113"/>
        <v>800</v>
      </c>
      <c r="G941" s="5">
        <f t="shared" si="119"/>
        <v>1.01</v>
      </c>
      <c r="H941" s="6" t="str">
        <f t="shared" si="114"/>
        <v>INSERT INTO public.coupon (plancode, age, "year", couponrate, benefittype, benefitrate, premiumrate) VALUES('EN60', 25, 27, 8, 'A',800, 1.01);</v>
      </c>
      <c r="I941" s="6" t="str">
        <f t="shared" si="115"/>
        <v>{"age":"25", "year":"27", "couponrate":"8", "benefittype":"A", "benefitrate":"800", "premiumrate":"1.01"}</v>
      </c>
      <c r="J941" s="6" t="str">
        <f t="shared" si="116"/>
        <v>,</v>
      </c>
    </row>
    <row r="942" spans="1:10">
      <c r="A942" s="4" t="str">
        <f>'EN60'!A$3</f>
        <v>EN60</v>
      </c>
      <c r="B942" s="4">
        <f t="shared" si="117"/>
        <v>25</v>
      </c>
      <c r="C942" s="4">
        <f t="shared" si="118"/>
        <v>28</v>
      </c>
      <c r="D942" s="4">
        <f t="shared" si="112"/>
        <v>8</v>
      </c>
      <c r="E942" s="4" t="s">
        <v>27</v>
      </c>
      <c r="F942" s="4">
        <f t="shared" si="113"/>
        <v>800</v>
      </c>
      <c r="G942" s="5">
        <f t="shared" si="119"/>
        <v>1.01</v>
      </c>
      <c r="H942" s="6" t="str">
        <f t="shared" si="114"/>
        <v>INSERT INTO public.coupon (plancode, age, "year", couponrate, benefittype, benefitrate, premiumrate) VALUES('EN60', 25, 28, 8, 'A',800, 1.01);</v>
      </c>
      <c r="I942" s="6" t="str">
        <f t="shared" si="115"/>
        <v>{"age":"25", "year":"28", "couponrate":"8", "benefittype":"A", "benefitrate":"800", "premiumrate":"1.01"}</v>
      </c>
      <c r="J942" s="6" t="str">
        <f t="shared" si="116"/>
        <v>,</v>
      </c>
    </row>
    <row r="943" spans="1:10">
      <c r="A943" s="4" t="str">
        <f>'EN60'!A$3</f>
        <v>EN60</v>
      </c>
      <c r="B943" s="4">
        <f t="shared" si="117"/>
        <v>25</v>
      </c>
      <c r="C943" s="4">
        <f t="shared" si="118"/>
        <v>29</v>
      </c>
      <c r="D943" s="4">
        <f t="shared" si="112"/>
        <v>8</v>
      </c>
      <c r="E943" s="4" t="s">
        <v>27</v>
      </c>
      <c r="F943" s="4">
        <f t="shared" si="113"/>
        <v>800</v>
      </c>
      <c r="G943" s="5">
        <f t="shared" si="119"/>
        <v>1.01</v>
      </c>
      <c r="H943" s="6" t="str">
        <f t="shared" si="114"/>
        <v>INSERT INTO public.coupon (plancode, age, "year", couponrate, benefittype, benefitrate, premiumrate) VALUES('EN60', 25, 29, 8, 'A',800, 1.01);</v>
      </c>
      <c r="I943" s="6" t="str">
        <f t="shared" si="115"/>
        <v>{"age":"25", "year":"29", "couponrate":"8", "benefittype":"A", "benefitrate":"800", "premiumrate":"1.01"}</v>
      </c>
      <c r="J943" s="6" t="str">
        <f t="shared" si="116"/>
        <v>,</v>
      </c>
    </row>
    <row r="944" spans="1:10">
      <c r="A944" s="4" t="str">
        <f>'EN60'!A$3</f>
        <v>EN60</v>
      </c>
      <c r="B944" s="4">
        <f t="shared" si="117"/>
        <v>25</v>
      </c>
      <c r="C944" s="4">
        <f t="shared" si="118"/>
        <v>30</v>
      </c>
      <c r="D944" s="4">
        <f t="shared" si="112"/>
        <v>8</v>
      </c>
      <c r="E944" s="4" t="s">
        <v>27</v>
      </c>
      <c r="F944" s="4">
        <f t="shared" si="113"/>
        <v>800</v>
      </c>
      <c r="G944" s="5">
        <f t="shared" si="119"/>
        <v>1.01</v>
      </c>
      <c r="H944" s="6" t="str">
        <f t="shared" si="114"/>
        <v>INSERT INTO public.coupon (plancode, age, "year", couponrate, benefittype, benefitrate, premiumrate) VALUES('EN60', 25, 30, 8, 'A',800, 1.01);</v>
      </c>
      <c r="I944" s="6" t="str">
        <f t="shared" si="115"/>
        <v>{"age":"25", "year":"30", "couponrate":"8", "benefittype":"A", "benefitrate":"800", "premiumrate":"1.01"}</v>
      </c>
      <c r="J944" s="6" t="str">
        <f t="shared" si="116"/>
        <v>,</v>
      </c>
    </row>
    <row r="945" spans="1:10">
      <c r="A945" s="4" t="str">
        <f>'EN60'!A$3</f>
        <v>EN60</v>
      </c>
      <c r="B945" s="4">
        <f t="shared" si="117"/>
        <v>25</v>
      </c>
      <c r="C945" s="4">
        <f t="shared" si="118"/>
        <v>31</v>
      </c>
      <c r="D945" s="4">
        <f t="shared" si="112"/>
        <v>8</v>
      </c>
      <c r="E945" s="4" t="s">
        <v>27</v>
      </c>
      <c r="F945" s="4">
        <f t="shared" si="113"/>
        <v>800</v>
      </c>
      <c r="G945" s="5">
        <f t="shared" si="119"/>
        <v>1.01</v>
      </c>
      <c r="H945" s="6" t="str">
        <f t="shared" si="114"/>
        <v>INSERT INTO public.coupon (plancode, age, "year", couponrate, benefittype, benefitrate, premiumrate) VALUES('EN60', 25, 31, 8, 'A',800, 1.01);</v>
      </c>
      <c r="I945" s="6" t="str">
        <f t="shared" si="115"/>
        <v>{"age":"25", "year":"31", "couponrate":"8", "benefittype":"A", "benefitrate":"800", "premiumrate":"1.01"}</v>
      </c>
      <c r="J945" s="6" t="str">
        <f t="shared" si="116"/>
        <v>,</v>
      </c>
    </row>
    <row r="946" spans="1:10">
      <c r="A946" s="4" t="str">
        <f>'EN60'!A$3</f>
        <v>EN60</v>
      </c>
      <c r="B946" s="4">
        <f t="shared" si="117"/>
        <v>25</v>
      </c>
      <c r="C946" s="4">
        <f t="shared" si="118"/>
        <v>32</v>
      </c>
      <c r="D946" s="4">
        <f t="shared" si="112"/>
        <v>8</v>
      </c>
      <c r="E946" s="4" t="s">
        <v>27</v>
      </c>
      <c r="F946" s="4">
        <f t="shared" si="113"/>
        <v>800</v>
      </c>
      <c r="G946" s="5">
        <f t="shared" si="119"/>
        <v>1.01</v>
      </c>
      <c r="H946" s="6" t="str">
        <f t="shared" si="114"/>
        <v>INSERT INTO public.coupon (plancode, age, "year", couponrate, benefittype, benefitrate, premiumrate) VALUES('EN60', 25, 32, 8, 'A',800, 1.01);</v>
      </c>
      <c r="I946" s="6" t="str">
        <f t="shared" si="115"/>
        <v>{"age":"25", "year":"32", "couponrate":"8", "benefittype":"A", "benefitrate":"800", "premiumrate":"1.01"}</v>
      </c>
      <c r="J946" s="6" t="str">
        <f t="shared" si="116"/>
        <v>,</v>
      </c>
    </row>
    <row r="947" spans="1:10">
      <c r="A947" s="4" t="str">
        <f>'EN60'!A$3</f>
        <v>EN60</v>
      </c>
      <c r="B947" s="4">
        <f t="shared" si="117"/>
        <v>25</v>
      </c>
      <c r="C947" s="4">
        <f t="shared" si="118"/>
        <v>33</v>
      </c>
      <c r="D947" s="4">
        <f t="shared" si="112"/>
        <v>8</v>
      </c>
      <c r="E947" s="4" t="s">
        <v>27</v>
      </c>
      <c r="F947" s="4">
        <f t="shared" si="113"/>
        <v>800</v>
      </c>
      <c r="G947" s="5">
        <f t="shared" si="119"/>
        <v>1.01</v>
      </c>
      <c r="H947" s="6" t="str">
        <f t="shared" si="114"/>
        <v>INSERT INTO public.coupon (plancode, age, "year", couponrate, benefittype, benefitrate, premiumrate) VALUES('EN60', 25, 33, 8, 'A',800, 1.01);</v>
      </c>
      <c r="I947" s="6" t="str">
        <f t="shared" si="115"/>
        <v>{"age":"25", "year":"33", "couponrate":"8", "benefittype":"A", "benefitrate":"800", "premiumrate":"1.01"}</v>
      </c>
      <c r="J947" s="6" t="str">
        <f t="shared" si="116"/>
        <v>,</v>
      </c>
    </row>
    <row r="948" spans="1:10">
      <c r="A948" s="4" t="str">
        <f>'EN60'!A$3</f>
        <v>EN60</v>
      </c>
      <c r="B948" s="4">
        <f t="shared" si="117"/>
        <v>25</v>
      </c>
      <c r="C948" s="4">
        <f t="shared" si="118"/>
        <v>34</v>
      </c>
      <c r="D948" s="4">
        <f t="shared" si="112"/>
        <v>8</v>
      </c>
      <c r="E948" s="4" t="s">
        <v>27</v>
      </c>
      <c r="F948" s="4">
        <f t="shared" si="113"/>
        <v>800</v>
      </c>
      <c r="G948" s="5">
        <f t="shared" si="119"/>
        <v>1.01</v>
      </c>
      <c r="H948" s="6" t="str">
        <f t="shared" si="114"/>
        <v>INSERT INTO public.coupon (plancode, age, "year", couponrate, benefittype, benefitrate, premiumrate) VALUES('EN60', 25, 34, 8, 'A',800, 1.01);</v>
      </c>
      <c r="I948" s="6" t="str">
        <f t="shared" si="115"/>
        <v>{"age":"25", "year":"34", "couponrate":"8", "benefittype":"A", "benefitrate":"800", "premiumrate":"1.01"}</v>
      </c>
      <c r="J948" s="6" t="str">
        <f t="shared" si="116"/>
        <v>,</v>
      </c>
    </row>
    <row r="949" spans="1:10">
      <c r="A949" s="4" t="str">
        <f>'EN60'!A$3</f>
        <v>EN60</v>
      </c>
      <c r="B949" s="4">
        <f t="shared" si="117"/>
        <v>25</v>
      </c>
      <c r="C949" s="4">
        <f t="shared" si="118"/>
        <v>35</v>
      </c>
      <c r="D949" s="4">
        <f t="shared" si="112"/>
        <v>8</v>
      </c>
      <c r="E949" s="4" t="s">
        <v>27</v>
      </c>
      <c r="F949" s="4">
        <f t="shared" si="113"/>
        <v>800</v>
      </c>
      <c r="G949" s="5">
        <f t="shared" si="119"/>
        <v>1.01</v>
      </c>
      <c r="H949" s="6" t="str">
        <f t="shared" si="114"/>
        <v>INSERT INTO public.coupon (plancode, age, "year", couponrate, benefittype, benefitrate, premiumrate) VALUES('EN60', 25, 35, 8, 'A',800, 1.01);</v>
      </c>
      <c r="I949" s="6" t="str">
        <f t="shared" si="115"/>
        <v>{"age":"25", "year":"35", "couponrate":"8", "benefittype":"A", "benefitrate":"800", "premiumrate":"1.01"}</v>
      </c>
      <c r="J949" s="6" t="str">
        <f t="shared" si="116"/>
        <v>,</v>
      </c>
    </row>
    <row r="950" spans="1:10">
      <c r="A950" s="4" t="str">
        <f>'EN60'!A$3</f>
        <v>EN60</v>
      </c>
      <c r="B950" s="4">
        <f t="shared" si="117"/>
        <v>25</v>
      </c>
      <c r="C950" s="4">
        <f t="shared" si="118"/>
        <v>36</v>
      </c>
      <c r="D950" s="4">
        <f t="shared" si="112"/>
        <v>8</v>
      </c>
      <c r="E950" s="4" t="s">
        <v>27</v>
      </c>
      <c r="F950" s="4">
        <f t="shared" si="113"/>
        <v>800</v>
      </c>
      <c r="G950" s="5">
        <f t="shared" si="119"/>
        <v>1.01</v>
      </c>
      <c r="H950" s="6" t="str">
        <f t="shared" si="114"/>
        <v>INSERT INTO public.coupon (plancode, age, "year", couponrate, benefittype, benefitrate, premiumrate) VALUES('EN60', 25, 36, 8, 'A',800, 1.01);</v>
      </c>
      <c r="I950" s="6" t="str">
        <f t="shared" si="115"/>
        <v>{"age":"25", "year":"36", "couponrate":"8", "benefittype":"A", "benefitrate":"800", "premiumrate":"1.01"}</v>
      </c>
      <c r="J950" s="6" t="str">
        <f t="shared" si="116"/>
        <v>,</v>
      </c>
    </row>
    <row r="951" spans="1:10">
      <c r="A951" s="4" t="str">
        <f>'EN60'!A$3</f>
        <v>EN60</v>
      </c>
      <c r="B951" s="4">
        <f t="shared" si="117"/>
        <v>25</v>
      </c>
      <c r="C951" s="4">
        <f t="shared" si="118"/>
        <v>37</v>
      </c>
      <c r="D951" s="4">
        <f t="shared" si="112"/>
        <v>8</v>
      </c>
      <c r="E951" s="4" t="s">
        <v>27</v>
      </c>
      <c r="F951" s="4">
        <f t="shared" si="113"/>
        <v>800</v>
      </c>
      <c r="G951" s="5">
        <f t="shared" si="119"/>
        <v>1.01</v>
      </c>
      <c r="H951" s="6" t="str">
        <f t="shared" si="114"/>
        <v>INSERT INTO public.coupon (plancode, age, "year", couponrate, benefittype, benefitrate, premiumrate) VALUES('EN60', 25, 37, 8, 'A',800, 1.01);</v>
      </c>
      <c r="I951" s="6" t="str">
        <f t="shared" si="115"/>
        <v>{"age":"25", "year":"37", "couponrate":"8", "benefittype":"A", "benefitrate":"800", "premiumrate":"1.01"}</v>
      </c>
      <c r="J951" s="6" t="str">
        <f t="shared" si="116"/>
        <v>,</v>
      </c>
    </row>
    <row r="952" spans="1:10">
      <c r="A952" s="4" t="str">
        <f>'EN60'!A$3</f>
        <v>EN60</v>
      </c>
      <c r="B952" s="4">
        <f t="shared" si="117"/>
        <v>25</v>
      </c>
      <c r="C952" s="4">
        <f t="shared" si="118"/>
        <v>38</v>
      </c>
      <c r="D952" s="4">
        <f t="shared" si="112"/>
        <v>8</v>
      </c>
      <c r="E952" s="4" t="s">
        <v>27</v>
      </c>
      <c r="F952" s="4">
        <f t="shared" si="113"/>
        <v>800</v>
      </c>
      <c r="G952" s="5">
        <f t="shared" si="119"/>
        <v>1.01</v>
      </c>
      <c r="H952" s="6" t="str">
        <f t="shared" si="114"/>
        <v>INSERT INTO public.coupon (plancode, age, "year", couponrate, benefittype, benefitrate, premiumrate) VALUES('EN60', 25, 38, 8, 'A',800, 1.01);</v>
      </c>
      <c r="I952" s="6" t="str">
        <f t="shared" si="115"/>
        <v>{"age":"25", "year":"38", "couponrate":"8", "benefittype":"A", "benefitrate":"800", "premiumrate":"1.01"}</v>
      </c>
      <c r="J952" s="6" t="str">
        <f t="shared" si="116"/>
        <v>,</v>
      </c>
    </row>
    <row r="953" spans="1:10">
      <c r="A953" s="4" t="str">
        <f>'EN60'!A$3</f>
        <v>EN60</v>
      </c>
      <c r="B953" s="4">
        <f t="shared" si="117"/>
        <v>25</v>
      </c>
      <c r="C953" s="4">
        <f t="shared" si="118"/>
        <v>39</v>
      </c>
      <c r="D953" s="4">
        <f t="shared" si="112"/>
        <v>8</v>
      </c>
      <c r="E953" s="4" t="s">
        <v>27</v>
      </c>
      <c r="F953" s="4">
        <f t="shared" si="113"/>
        <v>800</v>
      </c>
      <c r="G953" s="5">
        <f t="shared" si="119"/>
        <v>1.01</v>
      </c>
      <c r="H953" s="6" t="str">
        <f t="shared" si="114"/>
        <v>INSERT INTO public.coupon (plancode, age, "year", couponrate, benefittype, benefitrate, premiumrate) VALUES('EN60', 25, 39, 8, 'A',800, 1.01);</v>
      </c>
      <c r="I953" s="6" t="str">
        <f t="shared" si="115"/>
        <v>{"age":"25", "year":"39", "couponrate":"8", "benefittype":"A", "benefitrate":"800", "premiumrate":"1.01"}</v>
      </c>
      <c r="J953" s="6" t="str">
        <f t="shared" si="116"/>
        <v>,</v>
      </c>
    </row>
    <row r="954" spans="1:10">
      <c r="A954" s="4" t="str">
        <f>'EN60'!A$3</f>
        <v>EN60</v>
      </c>
      <c r="B954" s="4">
        <f t="shared" si="117"/>
        <v>25</v>
      </c>
      <c r="C954" s="4">
        <f t="shared" si="118"/>
        <v>40</v>
      </c>
      <c r="D954" s="4">
        <f t="shared" si="112"/>
        <v>8</v>
      </c>
      <c r="E954" s="4" t="s">
        <v>27</v>
      </c>
      <c r="F954" s="4">
        <f t="shared" si="113"/>
        <v>800</v>
      </c>
      <c r="G954" s="5">
        <f t="shared" si="119"/>
        <v>1.01</v>
      </c>
      <c r="H954" s="6" t="str">
        <f t="shared" si="114"/>
        <v>INSERT INTO public.coupon (plancode, age, "year", couponrate, benefittype, benefitrate, premiumrate) VALUES('EN60', 25, 40, 8, 'A',800, 1.01);</v>
      </c>
      <c r="I954" s="6" t="str">
        <f t="shared" si="115"/>
        <v>{"age":"25", "year":"40", "couponrate":"8", "benefittype":"A", "benefitrate":"800", "premiumrate":"1.01"}</v>
      </c>
      <c r="J954" s="6" t="str">
        <f t="shared" si="116"/>
        <v>,</v>
      </c>
    </row>
    <row r="955" spans="1:10">
      <c r="A955" s="4" t="str">
        <f>'EN60'!A$3</f>
        <v>EN60</v>
      </c>
      <c r="B955" s="4">
        <f t="shared" si="117"/>
        <v>25</v>
      </c>
      <c r="C955" s="4">
        <f t="shared" si="118"/>
        <v>41</v>
      </c>
      <c r="D955" s="4">
        <f t="shared" si="112"/>
        <v>8</v>
      </c>
      <c r="E955" s="4" t="s">
        <v>27</v>
      </c>
      <c r="F955" s="4">
        <f t="shared" si="113"/>
        <v>800</v>
      </c>
      <c r="G955" s="5">
        <f t="shared" si="119"/>
        <v>1.01</v>
      </c>
      <c r="H955" s="6" t="str">
        <f t="shared" si="114"/>
        <v>INSERT INTO public.coupon (plancode, age, "year", couponrate, benefittype, benefitrate, premiumrate) VALUES('EN60', 25, 41, 8, 'A',800, 1.01);</v>
      </c>
      <c r="I955" s="6" t="str">
        <f t="shared" si="115"/>
        <v>{"age":"25", "year":"41", "couponrate":"8", "benefittype":"A", "benefitrate":"800", "premiumrate":"1.01"}</v>
      </c>
      <c r="J955" s="6" t="str">
        <f t="shared" si="116"/>
        <v>,</v>
      </c>
    </row>
    <row r="956" spans="1:10">
      <c r="A956" s="4" t="str">
        <f>'EN60'!A$3</f>
        <v>EN60</v>
      </c>
      <c r="B956" s="4">
        <f t="shared" si="117"/>
        <v>25</v>
      </c>
      <c r="C956" s="4">
        <f t="shared" si="118"/>
        <v>42</v>
      </c>
      <c r="D956" s="4">
        <f t="shared" si="112"/>
        <v>8</v>
      </c>
      <c r="E956" s="4" t="s">
        <v>27</v>
      </c>
      <c r="F956" s="4">
        <f t="shared" si="113"/>
        <v>800</v>
      </c>
      <c r="G956" s="5">
        <f t="shared" si="119"/>
        <v>1.01</v>
      </c>
      <c r="H956" s="6" t="str">
        <f t="shared" si="114"/>
        <v>INSERT INTO public.coupon (plancode, age, "year", couponrate, benefittype, benefitrate, premiumrate) VALUES('EN60', 25, 42, 8, 'A',800, 1.01);</v>
      </c>
      <c r="I956" s="6" t="str">
        <f t="shared" si="115"/>
        <v>{"age":"25", "year":"42", "couponrate":"8", "benefittype":"A", "benefitrate":"800", "premiumrate":"1.01"}</v>
      </c>
      <c r="J956" s="6" t="str">
        <f t="shared" si="116"/>
        <v>,</v>
      </c>
    </row>
    <row r="957" spans="1:10">
      <c r="A957" s="4" t="str">
        <f>'EN60'!A$3</f>
        <v>EN60</v>
      </c>
      <c r="B957" s="4">
        <f t="shared" si="117"/>
        <v>25</v>
      </c>
      <c r="C957" s="4">
        <f t="shared" si="118"/>
        <v>43</v>
      </c>
      <c r="D957" s="4">
        <f t="shared" si="112"/>
        <v>8</v>
      </c>
      <c r="E957" s="4" t="s">
        <v>27</v>
      </c>
      <c r="F957" s="4">
        <f t="shared" si="113"/>
        <v>800</v>
      </c>
      <c r="G957" s="5">
        <f t="shared" si="119"/>
        <v>1.01</v>
      </c>
      <c r="H957" s="6" t="str">
        <f t="shared" si="114"/>
        <v>INSERT INTO public.coupon (plancode, age, "year", couponrate, benefittype, benefitrate, premiumrate) VALUES('EN60', 25, 43, 8, 'A',800, 1.01);</v>
      </c>
      <c r="I957" s="6" t="str">
        <f t="shared" si="115"/>
        <v>{"age":"25", "year":"43", "couponrate":"8", "benefittype":"A", "benefitrate":"800", "premiumrate":"1.01"}</v>
      </c>
      <c r="J957" s="6" t="str">
        <f t="shared" si="116"/>
        <v>,</v>
      </c>
    </row>
    <row r="958" spans="1:10">
      <c r="A958" s="4" t="str">
        <f>'EN60'!A$3</f>
        <v>EN60</v>
      </c>
      <c r="B958" s="4">
        <f t="shared" si="117"/>
        <v>25</v>
      </c>
      <c r="C958" s="4">
        <f t="shared" si="118"/>
        <v>44</v>
      </c>
      <c r="D958" s="4">
        <f t="shared" si="112"/>
        <v>8</v>
      </c>
      <c r="E958" s="4" t="s">
        <v>27</v>
      </c>
      <c r="F958" s="4">
        <f t="shared" si="113"/>
        <v>800</v>
      </c>
      <c r="G958" s="5">
        <f t="shared" si="119"/>
        <v>1.01</v>
      </c>
      <c r="H958" s="6" t="str">
        <f t="shared" si="114"/>
        <v>INSERT INTO public.coupon (plancode, age, "year", couponrate, benefittype, benefitrate, premiumrate) VALUES('EN60', 25, 44, 8, 'A',800, 1.01);</v>
      </c>
      <c r="I958" s="6" t="str">
        <f t="shared" si="115"/>
        <v>{"age":"25", "year":"44", "couponrate":"8", "benefittype":"A", "benefitrate":"800", "premiumrate":"1.01"}</v>
      </c>
      <c r="J958" s="6" t="str">
        <f t="shared" si="116"/>
        <v>,</v>
      </c>
    </row>
    <row r="959" spans="1:10">
      <c r="A959" s="4" t="str">
        <f>'EN60'!A$3</f>
        <v>EN60</v>
      </c>
      <c r="B959" s="4">
        <f t="shared" si="117"/>
        <v>25</v>
      </c>
      <c r="C959" s="4">
        <f t="shared" si="118"/>
        <v>45</v>
      </c>
      <c r="D959" s="4">
        <f t="shared" si="112"/>
        <v>8</v>
      </c>
      <c r="E959" s="4" t="s">
        <v>27</v>
      </c>
      <c r="F959" s="4">
        <f t="shared" si="113"/>
        <v>800</v>
      </c>
      <c r="G959" s="5">
        <f t="shared" si="119"/>
        <v>1.01</v>
      </c>
      <c r="H959" s="6" t="str">
        <f t="shared" si="114"/>
        <v>INSERT INTO public.coupon (plancode, age, "year", couponrate, benefittype, benefitrate, premiumrate) VALUES('EN60', 25, 45, 8, 'A',800, 1.01);</v>
      </c>
      <c r="I959" s="6" t="str">
        <f t="shared" si="115"/>
        <v>{"age":"25", "year":"45", "couponrate":"8", "benefittype":"A", "benefitrate":"800", "premiumrate":"1.01"}</v>
      </c>
      <c r="J959" s="6" t="str">
        <f t="shared" si="116"/>
        <v>,</v>
      </c>
    </row>
    <row r="960" spans="1:10">
      <c r="A960" s="4" t="str">
        <f>'EN60'!A$3</f>
        <v>EN60</v>
      </c>
      <c r="B960" s="4">
        <f t="shared" si="117"/>
        <v>25</v>
      </c>
      <c r="C960" s="4">
        <f t="shared" si="118"/>
        <v>46</v>
      </c>
      <c r="D960" s="4">
        <f t="shared" si="112"/>
        <v>8</v>
      </c>
      <c r="E960" s="4" t="s">
        <v>27</v>
      </c>
      <c r="F960" s="4">
        <f t="shared" si="113"/>
        <v>800</v>
      </c>
      <c r="G960" s="5">
        <f t="shared" si="119"/>
        <v>1.01</v>
      </c>
      <c r="H960" s="6" t="str">
        <f t="shared" si="114"/>
        <v>INSERT INTO public.coupon (plancode, age, "year", couponrate, benefittype, benefitrate, premiumrate) VALUES('EN60', 25, 46, 8, 'A',800, 1.01);</v>
      </c>
      <c r="I960" s="6" t="str">
        <f t="shared" si="115"/>
        <v>{"age":"25", "year":"46", "couponrate":"8", "benefittype":"A", "benefitrate":"800", "premiumrate":"1.01"}</v>
      </c>
      <c r="J960" s="6" t="str">
        <f t="shared" si="116"/>
        <v>,</v>
      </c>
    </row>
    <row r="961" spans="1:10">
      <c r="A961" s="4" t="str">
        <f>'EN60'!A$3</f>
        <v>EN60</v>
      </c>
      <c r="B961" s="4">
        <f t="shared" si="117"/>
        <v>25</v>
      </c>
      <c r="C961" s="4">
        <f t="shared" si="118"/>
        <v>47</v>
      </c>
      <c r="D961" s="4">
        <f t="shared" si="112"/>
        <v>8</v>
      </c>
      <c r="E961" s="4" t="s">
        <v>27</v>
      </c>
      <c r="F961" s="4">
        <f t="shared" si="113"/>
        <v>800</v>
      </c>
      <c r="G961" s="5">
        <f t="shared" si="119"/>
        <v>1.01</v>
      </c>
      <c r="H961" s="6" t="str">
        <f t="shared" si="114"/>
        <v>INSERT INTO public.coupon (plancode, age, "year", couponrate, benefittype, benefitrate, premiumrate) VALUES('EN60', 25, 47, 8, 'A',800, 1.01);</v>
      </c>
      <c r="I961" s="6" t="str">
        <f t="shared" si="115"/>
        <v>{"age":"25", "year":"47", "couponrate":"8", "benefittype":"A", "benefitrate":"800", "premiumrate":"1.01"}</v>
      </c>
      <c r="J961" s="6" t="str">
        <f t="shared" si="116"/>
        <v>,</v>
      </c>
    </row>
    <row r="962" spans="1:10">
      <c r="A962" s="4" t="str">
        <f>'EN60'!A$3</f>
        <v>EN60</v>
      </c>
      <c r="B962" s="4">
        <f t="shared" si="117"/>
        <v>25</v>
      </c>
      <c r="C962" s="4">
        <f t="shared" si="118"/>
        <v>48</v>
      </c>
      <c r="D962" s="4">
        <f t="shared" si="112"/>
        <v>8</v>
      </c>
      <c r="E962" s="4" t="s">
        <v>27</v>
      </c>
      <c r="F962" s="4">
        <f t="shared" si="113"/>
        <v>800</v>
      </c>
      <c r="G962" s="5">
        <f t="shared" si="119"/>
        <v>1.01</v>
      </c>
      <c r="H962" s="6" t="str">
        <f t="shared" si="114"/>
        <v>INSERT INTO public.coupon (plancode, age, "year", couponrate, benefittype, benefitrate, premiumrate) VALUES('EN60', 25, 48, 8, 'A',800, 1.01);</v>
      </c>
      <c r="I962" s="6" t="str">
        <f t="shared" si="115"/>
        <v>{"age":"25", "year":"48", "couponrate":"8", "benefittype":"A", "benefitrate":"800", "premiumrate":"1.01"}</v>
      </c>
      <c r="J962" s="6" t="str">
        <f t="shared" si="116"/>
        <v>,</v>
      </c>
    </row>
    <row r="963" spans="1:10">
      <c r="A963" s="4" t="str">
        <f>'EN60'!A$3</f>
        <v>EN60</v>
      </c>
      <c r="B963" s="4">
        <f t="shared" si="117"/>
        <v>25</v>
      </c>
      <c r="C963" s="4">
        <f t="shared" si="118"/>
        <v>49</v>
      </c>
      <c r="D963" s="4">
        <f t="shared" si="112"/>
        <v>8</v>
      </c>
      <c r="E963" s="4" t="s">
        <v>27</v>
      </c>
      <c r="F963" s="4">
        <f t="shared" si="113"/>
        <v>800</v>
      </c>
      <c r="G963" s="5">
        <f t="shared" si="119"/>
        <v>1.01</v>
      </c>
      <c r="H963" s="6" t="str">
        <f t="shared" si="114"/>
        <v>INSERT INTO public.coupon (plancode, age, "year", couponrate, benefittype, benefitrate, premiumrate) VALUES('EN60', 25, 49, 8, 'A',800, 1.01);</v>
      </c>
      <c r="I963" s="6" t="str">
        <f t="shared" si="115"/>
        <v>{"age":"25", "year":"49", "couponrate":"8", "benefittype":"A", "benefitrate":"800", "premiumrate":"1.01"}</v>
      </c>
      <c r="J963" s="6" t="str">
        <f t="shared" si="116"/>
        <v>,</v>
      </c>
    </row>
    <row r="964" spans="1:10">
      <c r="A964" s="4" t="str">
        <f>'EN60'!A$3</f>
        <v>EN60</v>
      </c>
      <c r="B964" s="4">
        <f t="shared" si="117"/>
        <v>25</v>
      </c>
      <c r="C964" s="4">
        <f t="shared" si="118"/>
        <v>50</v>
      </c>
      <c r="D964" s="4">
        <f t="shared" si="112"/>
        <v>8</v>
      </c>
      <c r="E964" s="4" t="s">
        <v>27</v>
      </c>
      <c r="F964" s="4">
        <f t="shared" si="113"/>
        <v>800</v>
      </c>
      <c r="G964" s="5">
        <f t="shared" si="119"/>
        <v>1.01</v>
      </c>
      <c r="H964" s="6" t="str">
        <f t="shared" si="114"/>
        <v>INSERT INTO public.coupon (plancode, age, "year", couponrate, benefittype, benefitrate, premiumrate) VALUES('EN60', 25, 50, 8, 'A',800, 1.01);</v>
      </c>
      <c r="I964" s="6" t="str">
        <f t="shared" si="115"/>
        <v>{"age":"25", "year":"50", "couponrate":"8", "benefittype":"A", "benefitrate":"800", "premiumrate":"1.01"}</v>
      </c>
      <c r="J964" s="6" t="str">
        <f t="shared" si="116"/>
        <v>,</v>
      </c>
    </row>
    <row r="965" spans="1:10">
      <c r="A965" s="4" t="str">
        <f>'EN60'!A$3</f>
        <v>EN60</v>
      </c>
      <c r="B965" s="4">
        <f t="shared" si="117"/>
        <v>25</v>
      </c>
      <c r="C965" s="4">
        <f t="shared" si="118"/>
        <v>51</v>
      </c>
      <c r="D965" s="4">
        <f t="shared" si="112"/>
        <v>8</v>
      </c>
      <c r="E965" s="4" t="s">
        <v>27</v>
      </c>
      <c r="F965" s="4">
        <f t="shared" si="113"/>
        <v>800</v>
      </c>
      <c r="G965" s="5">
        <f t="shared" si="119"/>
        <v>1.01</v>
      </c>
      <c r="H965" s="6" t="str">
        <f t="shared" si="114"/>
        <v>INSERT INTO public.coupon (plancode, age, "year", couponrate, benefittype, benefitrate, premiumrate) VALUES('EN60', 25, 51, 8, 'A',800, 1.01);</v>
      </c>
      <c r="I965" s="6" t="str">
        <f t="shared" si="115"/>
        <v>{"age":"25", "year":"51", "couponrate":"8", "benefittype":"A", "benefitrate":"800", "premiumrate":"1.01"}</v>
      </c>
      <c r="J965" s="6" t="str">
        <f t="shared" si="116"/>
        <v>,</v>
      </c>
    </row>
    <row r="966" spans="1:10">
      <c r="A966" s="4" t="str">
        <f>'EN60'!A$3</f>
        <v>EN60</v>
      </c>
      <c r="B966" s="4">
        <f t="shared" si="117"/>
        <v>25</v>
      </c>
      <c r="C966" s="4">
        <f t="shared" si="118"/>
        <v>52</v>
      </c>
      <c r="D966" s="4">
        <f t="shared" si="112"/>
        <v>8</v>
      </c>
      <c r="E966" s="4" t="s">
        <v>27</v>
      </c>
      <c r="F966" s="4">
        <f t="shared" si="113"/>
        <v>800</v>
      </c>
      <c r="G966" s="5">
        <f t="shared" si="119"/>
        <v>1.01</v>
      </c>
      <c r="H966" s="6" t="str">
        <f t="shared" si="114"/>
        <v>INSERT INTO public.coupon (plancode, age, "year", couponrate, benefittype, benefitrate, premiumrate) VALUES('EN60', 25, 52, 8, 'A',800, 1.01);</v>
      </c>
      <c r="I966" s="6" t="str">
        <f t="shared" si="115"/>
        <v>{"age":"25", "year":"52", "couponrate":"8", "benefittype":"A", "benefitrate":"800", "premiumrate":"1.01"}</v>
      </c>
      <c r="J966" s="6" t="str">
        <f t="shared" si="116"/>
        <v>,</v>
      </c>
    </row>
    <row r="967" spans="1:10">
      <c r="A967" s="4" t="str">
        <f>'EN60'!A$3</f>
        <v>EN60</v>
      </c>
      <c r="B967" s="4">
        <f t="shared" si="117"/>
        <v>25</v>
      </c>
      <c r="C967" s="4">
        <f t="shared" si="118"/>
        <v>53</v>
      </c>
      <c r="D967" s="4">
        <f t="shared" si="112"/>
        <v>8</v>
      </c>
      <c r="E967" s="4" t="s">
        <v>27</v>
      </c>
      <c r="F967" s="4">
        <f t="shared" si="113"/>
        <v>800</v>
      </c>
      <c r="G967" s="5">
        <f t="shared" si="119"/>
        <v>1.01</v>
      </c>
      <c r="H967" s="6" t="str">
        <f t="shared" si="114"/>
        <v>INSERT INTO public.coupon (plancode, age, "year", couponrate, benefittype, benefitrate, premiumrate) VALUES('EN60', 25, 53, 8, 'A',800, 1.01);</v>
      </c>
      <c r="I967" s="6" t="str">
        <f t="shared" si="115"/>
        <v>{"age":"25", "year":"53", "couponrate":"8", "benefittype":"A", "benefitrate":"800", "premiumrate":"1.01"}</v>
      </c>
      <c r="J967" s="6" t="str">
        <f t="shared" si="116"/>
        <v>,</v>
      </c>
    </row>
    <row r="968" spans="1:10">
      <c r="A968" s="4" t="str">
        <f>'EN60'!A$3</f>
        <v>EN60</v>
      </c>
      <c r="B968" s="4">
        <f t="shared" si="117"/>
        <v>25</v>
      </c>
      <c r="C968" s="4">
        <f t="shared" si="118"/>
        <v>54</v>
      </c>
      <c r="D968" s="4">
        <f t="shared" si="112"/>
        <v>8</v>
      </c>
      <c r="E968" s="4" t="s">
        <v>27</v>
      </c>
      <c r="F968" s="4">
        <f t="shared" si="113"/>
        <v>800</v>
      </c>
      <c r="G968" s="5">
        <f t="shared" si="119"/>
        <v>1.01</v>
      </c>
      <c r="H968" s="6" t="str">
        <f t="shared" si="114"/>
        <v>INSERT INTO public.coupon (plancode, age, "year", couponrate, benefittype, benefitrate, premiumrate) VALUES('EN60', 25, 54, 8, 'A',800, 1.01);</v>
      </c>
      <c r="I968" s="6" t="str">
        <f t="shared" si="115"/>
        <v>{"age":"25", "year":"54", "couponrate":"8", "benefittype":"A", "benefitrate":"800", "premiumrate":"1.01"}</v>
      </c>
      <c r="J968" s="6" t="str">
        <f t="shared" si="116"/>
        <v>,</v>
      </c>
    </row>
    <row r="969" spans="1:10">
      <c r="A969" s="4" t="str">
        <f>'EN60'!A$3</f>
        <v>EN60</v>
      </c>
      <c r="B969" s="4">
        <f t="shared" si="117"/>
        <v>25</v>
      </c>
      <c r="C969" s="4">
        <f t="shared" si="118"/>
        <v>55</v>
      </c>
      <c r="D969" s="4">
        <f t="shared" si="112"/>
        <v>0</v>
      </c>
      <c r="E969" s="4" t="s">
        <v>27</v>
      </c>
      <c r="F969" s="4">
        <f t="shared" si="113"/>
        <v>800</v>
      </c>
      <c r="G969" s="5">
        <f t="shared" si="119"/>
        <v>1.01</v>
      </c>
      <c r="H969" s="6" t="str">
        <f t="shared" si="114"/>
        <v>INSERT INTO public.coupon (plancode, age, "year", couponrate, benefittype, benefitrate, premiumrate) VALUES('EN60', 25, 55, 0, 'A',800, 1.01);</v>
      </c>
      <c r="I969" s="6" t="str">
        <f t="shared" si="115"/>
        <v>{"age":"25", "year":"55", "couponrate":"0", "benefittype":"A", "benefitrate":"800", "premiumrate":"1.01"}</v>
      </c>
    </row>
    <row r="970" spans="1:10">
      <c r="C970" s="6"/>
      <c r="I970" s="6" t="s">
        <v>28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940"/>
  <sheetViews>
    <sheetView workbookViewId="0"/>
  </sheetViews>
  <sheetFormatPr defaultColWidth="12.5703125" defaultRowHeight="15.75" customHeight="1"/>
  <cols>
    <col min="1" max="7" width="10.140625" customWidth="1"/>
    <col min="8" max="8" width="32.5703125" customWidth="1"/>
    <col min="9" max="9" width="77.140625" customWidth="1"/>
  </cols>
  <sheetData>
    <row r="1" spans="1:10">
      <c r="A1" s="1" t="s">
        <v>0</v>
      </c>
      <c r="E1" s="2" t="s">
        <v>1</v>
      </c>
    </row>
    <row r="2" spans="1:10">
      <c r="A2" s="3" t="s">
        <v>2</v>
      </c>
      <c r="B2" s="3" t="s">
        <v>3</v>
      </c>
      <c r="C2" s="3" t="s">
        <v>4</v>
      </c>
      <c r="E2" s="2" t="s">
        <v>5</v>
      </c>
    </row>
    <row r="3" spans="1:10">
      <c r="A3" s="4" t="str">
        <f>'EN60'!A$3</f>
        <v>EN60</v>
      </c>
      <c r="B3" s="4">
        <f>'EN60'!B$3</f>
        <v>808</v>
      </c>
      <c r="C3" s="5">
        <f>'EN60'!C$3</f>
        <v>1.01</v>
      </c>
      <c r="E3" s="6" t="str">
        <f>"INSERT INTO public.maturetable (plancode, maturerate, premiumrate) VALUES('"&amp;A3&amp;"', "&amp;B3&amp;", "&amp;C3&amp;");"</f>
        <v>INSERT INTO public.maturetable (plancode, maturerate, premiumrate) VALUES('EN60', 808, 1.01);</v>
      </c>
    </row>
    <row r="5" spans="1:10">
      <c r="A5" s="1" t="s">
        <v>7</v>
      </c>
      <c r="E5" s="6" t="str">
        <f>"INSERT INTO public.coupontable (id, returncash, ytable) VALUES('"&amp;A7&amp;"', "&amp;B7&amp;", '"&amp;C7&amp;"');"</f>
        <v>INSERT INTO public.coupontable (id, returncash, ytable) VALUES('EN60', 1, 'Y');</v>
      </c>
      <c r="I5" s="6" t="s">
        <v>8</v>
      </c>
    </row>
    <row r="6" spans="1:10">
      <c r="A6" s="3" t="s">
        <v>9</v>
      </c>
      <c r="B6" s="3" t="s">
        <v>10</v>
      </c>
      <c r="C6" s="3" t="s">
        <v>11</v>
      </c>
      <c r="E6" s="1" t="s">
        <v>10</v>
      </c>
      <c r="F6" s="7">
        <v>0</v>
      </c>
      <c r="G6" s="6"/>
      <c r="H6" s="6" t="s">
        <v>12</v>
      </c>
      <c r="I6" s="6" t="s">
        <v>13</v>
      </c>
    </row>
    <row r="7" spans="1:10">
      <c r="A7" s="4" t="str">
        <f>A$3</f>
        <v>EN60</v>
      </c>
      <c r="B7" s="4">
        <f>'EN60'!B$7</f>
        <v>1</v>
      </c>
      <c r="C7" s="4" t="str">
        <f>'EN60'!C$7</f>
        <v>Y</v>
      </c>
      <c r="F7" s="7">
        <v>1</v>
      </c>
      <c r="G7" s="6"/>
      <c r="H7" s="6" t="s">
        <v>15</v>
      </c>
      <c r="I7" s="6" t="s">
        <v>16</v>
      </c>
    </row>
    <row r="8" spans="1:10">
      <c r="E8" s="1" t="s">
        <v>11</v>
      </c>
      <c r="F8" s="6" t="s">
        <v>17</v>
      </c>
      <c r="G8" s="6"/>
      <c r="H8" s="6" t="s">
        <v>18</v>
      </c>
      <c r="I8" s="6" t="s">
        <v>19</v>
      </c>
    </row>
    <row r="9" spans="1:10">
      <c r="F9" s="6" t="s">
        <v>14</v>
      </c>
      <c r="G9" s="6"/>
      <c r="H9" s="6" t="s">
        <v>20</v>
      </c>
      <c r="I9" s="6" t="s">
        <v>21</v>
      </c>
    </row>
    <row r="10" spans="1:10">
      <c r="A10" s="1" t="s">
        <v>22</v>
      </c>
    </row>
    <row r="11" spans="1:10">
      <c r="A11" s="3" t="s">
        <v>2</v>
      </c>
      <c r="B11" s="3" t="s">
        <v>23</v>
      </c>
      <c r="C11" s="3" t="s">
        <v>24</v>
      </c>
      <c r="D11" s="3" t="s">
        <v>25</v>
      </c>
      <c r="E11" s="3" t="s">
        <v>8</v>
      </c>
      <c r="F11" s="3" t="s">
        <v>26</v>
      </c>
      <c r="G11" s="3" t="s">
        <v>4</v>
      </c>
      <c r="I11" s="6" t="str">
        <f>"[{""plancode"":"""&amp;A12&amp;""",""returncash"":"""&amp;B$7&amp;""",""ytable"":"""&amp;C$7&amp;""",""maturerate"":"""&amp;B$3&amp;""",""maturepmrate"":"""&amp;C$3&amp;""",""coupon"":["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12" spans="1:10">
      <c r="A12" s="4" t="str">
        <f>'EN60'!A$3</f>
        <v>EN60</v>
      </c>
      <c r="B12" s="8">
        <v>26</v>
      </c>
      <c r="C12" s="4">
        <v>1</v>
      </c>
      <c r="D12" s="4">
        <f t="shared" ref="D12:D65" si="0">IF(C12+B12=80,0,8)</f>
        <v>8</v>
      </c>
      <c r="E12" s="4" t="s">
        <v>27</v>
      </c>
      <c r="F12" s="4">
        <f t="shared" ref="F12:F65" si="1">IF(C12&gt;7, 800, C12*100)</f>
        <v>100</v>
      </c>
      <c r="G12" s="5">
        <f>'EN60'!C$3</f>
        <v>1.01</v>
      </c>
      <c r="H12" s="6" t="str">
        <f t="shared" ref="H12:H65" si="2">"INSERT INTO public.coupon ("&amp;A$11&amp;", "&amp;B$11&amp;", """&amp;C$11&amp;""", "&amp;D$11&amp;", "&amp;E$11&amp;", "&amp;F$11&amp;", "&amp;G$11&amp;") VALUES('"&amp;A12&amp;"', "&amp;B12&amp;", "&amp;C12&amp;", "&amp;D12&amp;", '"&amp;E12&amp;"',"&amp;F12&amp;", "&amp;G12&amp;");"</f>
        <v>INSERT INTO public.coupon (plancode, age, "year", couponrate, benefittype, benefitrate, premiumrate) VALUES('EN60', 26, 1, 8, 'A',100, 1.01);</v>
      </c>
      <c r="I12" s="6" t="str">
        <f t="shared" ref="I12:I65" si="3">"{""age"":"""&amp;B12&amp;""", ""year"":"""&amp;C12&amp;""", ""couponrate"":"""&amp;D12&amp;""", ""benefittype"":"""&amp;E12&amp;""", ""benefitrate"":"""&amp;F12&amp;""", """&amp;G$11&amp;""":"""&amp;G12&amp;"""}"</f>
        <v>{"age":"26", "year":"1", "couponrate":"8", "benefittype":"A", "benefitrate":"100", "premiumrate":"1.01"}</v>
      </c>
      <c r="J12" s="6" t="str">
        <f t="shared" ref="J12:J64" si="4">IF(OR(I13="]", I12="[", I12="]"), "", ",")</f>
        <v>,</v>
      </c>
    </row>
    <row r="13" spans="1:10">
      <c r="A13" s="4" t="str">
        <f>'EN60'!A$3</f>
        <v>EN60</v>
      </c>
      <c r="B13" s="4">
        <f t="shared" ref="B13:B65" si="5">B12</f>
        <v>26</v>
      </c>
      <c r="C13" s="4">
        <f t="shared" ref="C13:C65" si="6">C12+1</f>
        <v>2</v>
      </c>
      <c r="D13" s="4">
        <f t="shared" si="0"/>
        <v>8</v>
      </c>
      <c r="E13" s="4" t="s">
        <v>27</v>
      </c>
      <c r="F13" s="4">
        <f t="shared" si="1"/>
        <v>200</v>
      </c>
      <c r="G13" s="5">
        <f t="shared" ref="G13:G65" si="7">G12</f>
        <v>1.01</v>
      </c>
      <c r="H13" s="6" t="str">
        <f t="shared" si="2"/>
        <v>INSERT INTO public.coupon (plancode, age, "year", couponrate, benefittype, benefitrate, premiumrate) VALUES('EN60', 26, 2, 8, 'A',200, 1.01);</v>
      </c>
      <c r="I13" s="6" t="str">
        <f t="shared" si="3"/>
        <v>{"age":"26", "year":"2", "couponrate":"8", "benefittype":"A", "benefitrate":"200", "premiumrate":"1.01"}</v>
      </c>
      <c r="J13" s="6" t="str">
        <f t="shared" si="4"/>
        <v>,</v>
      </c>
    </row>
    <row r="14" spans="1:10">
      <c r="A14" s="4" t="str">
        <f>'EN60'!A$3</f>
        <v>EN60</v>
      </c>
      <c r="B14" s="4">
        <f t="shared" si="5"/>
        <v>26</v>
      </c>
      <c r="C14" s="4">
        <f t="shared" si="6"/>
        <v>3</v>
      </c>
      <c r="D14" s="4">
        <f t="shared" si="0"/>
        <v>8</v>
      </c>
      <c r="E14" s="4" t="s">
        <v>27</v>
      </c>
      <c r="F14" s="4">
        <f t="shared" si="1"/>
        <v>300</v>
      </c>
      <c r="G14" s="5">
        <f t="shared" si="7"/>
        <v>1.01</v>
      </c>
      <c r="H14" s="6" t="str">
        <f t="shared" si="2"/>
        <v>INSERT INTO public.coupon (plancode, age, "year", couponrate, benefittype, benefitrate, premiumrate) VALUES('EN60', 26, 3, 8, 'A',300, 1.01);</v>
      </c>
      <c r="I14" s="6" t="str">
        <f t="shared" si="3"/>
        <v>{"age":"26", "year":"3", "couponrate":"8", "benefittype":"A", "benefitrate":"300", "premiumrate":"1.01"}</v>
      </c>
      <c r="J14" s="6" t="str">
        <f t="shared" si="4"/>
        <v>,</v>
      </c>
    </row>
    <row r="15" spans="1:10">
      <c r="A15" s="4" t="str">
        <f>'EN60'!A$3</f>
        <v>EN60</v>
      </c>
      <c r="B15" s="4">
        <f t="shared" si="5"/>
        <v>26</v>
      </c>
      <c r="C15" s="4">
        <f t="shared" si="6"/>
        <v>4</v>
      </c>
      <c r="D15" s="4">
        <f t="shared" si="0"/>
        <v>8</v>
      </c>
      <c r="E15" s="4" t="s">
        <v>27</v>
      </c>
      <c r="F15" s="4">
        <f t="shared" si="1"/>
        <v>400</v>
      </c>
      <c r="G15" s="5">
        <f t="shared" si="7"/>
        <v>1.01</v>
      </c>
      <c r="H15" s="6" t="str">
        <f t="shared" si="2"/>
        <v>INSERT INTO public.coupon (plancode, age, "year", couponrate, benefittype, benefitrate, premiumrate) VALUES('EN60', 26, 4, 8, 'A',400, 1.01);</v>
      </c>
      <c r="I15" s="6" t="str">
        <f t="shared" si="3"/>
        <v>{"age":"26", "year":"4", "couponrate":"8", "benefittype":"A", "benefitrate":"400", "premiumrate":"1.01"}</v>
      </c>
      <c r="J15" s="6" t="str">
        <f t="shared" si="4"/>
        <v>,</v>
      </c>
    </row>
    <row r="16" spans="1:10">
      <c r="A16" s="4" t="str">
        <f>'EN60'!A$3</f>
        <v>EN60</v>
      </c>
      <c r="B16" s="4">
        <f t="shared" si="5"/>
        <v>26</v>
      </c>
      <c r="C16" s="4">
        <f t="shared" si="6"/>
        <v>5</v>
      </c>
      <c r="D16" s="4">
        <f t="shared" si="0"/>
        <v>8</v>
      </c>
      <c r="E16" s="4" t="s">
        <v>27</v>
      </c>
      <c r="F16" s="4">
        <f t="shared" si="1"/>
        <v>500</v>
      </c>
      <c r="G16" s="5">
        <f t="shared" si="7"/>
        <v>1.01</v>
      </c>
      <c r="H16" s="6" t="str">
        <f t="shared" si="2"/>
        <v>INSERT INTO public.coupon (plancode, age, "year", couponrate, benefittype, benefitrate, premiumrate) VALUES('EN60', 26, 5, 8, 'A',500, 1.01);</v>
      </c>
      <c r="I16" s="6" t="str">
        <f t="shared" si="3"/>
        <v>{"age":"26", "year":"5", "couponrate":"8", "benefittype":"A", "benefitrate":"500", "premiumrate":"1.01"}</v>
      </c>
      <c r="J16" s="6" t="str">
        <f t="shared" si="4"/>
        <v>,</v>
      </c>
    </row>
    <row r="17" spans="1:10">
      <c r="A17" s="4" t="str">
        <f>'EN60'!A$3</f>
        <v>EN60</v>
      </c>
      <c r="B17" s="4">
        <f t="shared" si="5"/>
        <v>26</v>
      </c>
      <c r="C17" s="4">
        <f t="shared" si="6"/>
        <v>6</v>
      </c>
      <c r="D17" s="4">
        <f t="shared" si="0"/>
        <v>8</v>
      </c>
      <c r="E17" s="4" t="s">
        <v>27</v>
      </c>
      <c r="F17" s="4">
        <f t="shared" si="1"/>
        <v>600</v>
      </c>
      <c r="G17" s="5">
        <f t="shared" si="7"/>
        <v>1.01</v>
      </c>
      <c r="H17" s="6" t="str">
        <f t="shared" si="2"/>
        <v>INSERT INTO public.coupon (plancode, age, "year", couponrate, benefittype, benefitrate, premiumrate) VALUES('EN60', 26, 6, 8, 'A',600, 1.01);</v>
      </c>
      <c r="I17" s="6" t="str">
        <f t="shared" si="3"/>
        <v>{"age":"26", "year":"6", "couponrate":"8", "benefittype":"A", "benefitrate":"600", "premiumrate":"1.01"}</v>
      </c>
      <c r="J17" s="6" t="str">
        <f t="shared" si="4"/>
        <v>,</v>
      </c>
    </row>
    <row r="18" spans="1:10">
      <c r="A18" s="4" t="str">
        <f>'EN60'!A$3</f>
        <v>EN60</v>
      </c>
      <c r="B18" s="4">
        <f t="shared" si="5"/>
        <v>26</v>
      </c>
      <c r="C18" s="4">
        <f t="shared" si="6"/>
        <v>7</v>
      </c>
      <c r="D18" s="4">
        <f t="shared" si="0"/>
        <v>8</v>
      </c>
      <c r="E18" s="4" t="s">
        <v>27</v>
      </c>
      <c r="F18" s="4">
        <f t="shared" si="1"/>
        <v>700</v>
      </c>
      <c r="G18" s="5">
        <f t="shared" si="7"/>
        <v>1.01</v>
      </c>
      <c r="H18" s="6" t="str">
        <f t="shared" si="2"/>
        <v>INSERT INTO public.coupon (plancode, age, "year", couponrate, benefittype, benefitrate, premiumrate) VALUES('EN60', 26, 7, 8, 'A',700, 1.01);</v>
      </c>
      <c r="I18" s="6" t="str">
        <f t="shared" si="3"/>
        <v>{"age":"26", "year":"7", "couponrate":"8", "benefittype":"A", "benefitrate":"700", "premiumrate":"1.01"}</v>
      </c>
      <c r="J18" s="6" t="str">
        <f t="shared" si="4"/>
        <v>,</v>
      </c>
    </row>
    <row r="19" spans="1:10">
      <c r="A19" s="4" t="str">
        <f>'EN60'!A$3</f>
        <v>EN60</v>
      </c>
      <c r="B19" s="4">
        <f t="shared" si="5"/>
        <v>26</v>
      </c>
      <c r="C19" s="4">
        <f t="shared" si="6"/>
        <v>8</v>
      </c>
      <c r="D19" s="4">
        <f t="shared" si="0"/>
        <v>8</v>
      </c>
      <c r="E19" s="4" t="s">
        <v>27</v>
      </c>
      <c r="F19" s="4">
        <f t="shared" si="1"/>
        <v>800</v>
      </c>
      <c r="G19" s="5">
        <f t="shared" si="7"/>
        <v>1.01</v>
      </c>
      <c r="H19" s="6" t="str">
        <f t="shared" si="2"/>
        <v>INSERT INTO public.coupon (plancode, age, "year", couponrate, benefittype, benefitrate, premiumrate) VALUES('EN60', 26, 8, 8, 'A',800, 1.01);</v>
      </c>
      <c r="I19" s="6" t="str">
        <f t="shared" si="3"/>
        <v>{"age":"26", "year":"8", "couponrate":"8", "benefittype":"A", "benefitrate":"800", "premiumrate":"1.01"}</v>
      </c>
      <c r="J19" s="6" t="str">
        <f t="shared" si="4"/>
        <v>,</v>
      </c>
    </row>
    <row r="20" spans="1:10">
      <c r="A20" s="4" t="str">
        <f>'EN60'!A$3</f>
        <v>EN60</v>
      </c>
      <c r="B20" s="4">
        <f t="shared" si="5"/>
        <v>26</v>
      </c>
      <c r="C20" s="4">
        <f t="shared" si="6"/>
        <v>9</v>
      </c>
      <c r="D20" s="4">
        <f t="shared" si="0"/>
        <v>8</v>
      </c>
      <c r="E20" s="4" t="s">
        <v>27</v>
      </c>
      <c r="F20" s="4">
        <f t="shared" si="1"/>
        <v>800</v>
      </c>
      <c r="G20" s="5">
        <f t="shared" si="7"/>
        <v>1.01</v>
      </c>
      <c r="H20" s="6" t="str">
        <f t="shared" si="2"/>
        <v>INSERT INTO public.coupon (plancode, age, "year", couponrate, benefittype, benefitrate, premiumrate) VALUES('EN60', 26, 9, 8, 'A',800, 1.01);</v>
      </c>
      <c r="I20" s="6" t="str">
        <f t="shared" si="3"/>
        <v>{"age":"26", "year":"9", "couponrate":"8", "benefittype":"A", "benefitrate":"800", "premiumrate":"1.01"}</v>
      </c>
      <c r="J20" s="6" t="str">
        <f t="shared" si="4"/>
        <v>,</v>
      </c>
    </row>
    <row r="21" spans="1:10">
      <c r="A21" s="4" t="str">
        <f>'EN60'!A$3</f>
        <v>EN60</v>
      </c>
      <c r="B21" s="4">
        <f t="shared" si="5"/>
        <v>26</v>
      </c>
      <c r="C21" s="4">
        <f t="shared" si="6"/>
        <v>10</v>
      </c>
      <c r="D21" s="4">
        <f t="shared" si="0"/>
        <v>8</v>
      </c>
      <c r="E21" s="4" t="s">
        <v>27</v>
      </c>
      <c r="F21" s="4">
        <f t="shared" si="1"/>
        <v>800</v>
      </c>
      <c r="G21" s="5">
        <f t="shared" si="7"/>
        <v>1.01</v>
      </c>
      <c r="H21" s="6" t="str">
        <f t="shared" si="2"/>
        <v>INSERT INTO public.coupon (plancode, age, "year", couponrate, benefittype, benefitrate, premiumrate) VALUES('EN60', 26, 10, 8, 'A',800, 1.01);</v>
      </c>
      <c r="I21" s="6" t="str">
        <f t="shared" si="3"/>
        <v>{"age":"26", "year":"10", "couponrate":"8", "benefittype":"A", "benefitrate":"800", "premiumrate":"1.01"}</v>
      </c>
      <c r="J21" s="6" t="str">
        <f t="shared" si="4"/>
        <v>,</v>
      </c>
    </row>
    <row r="22" spans="1:10">
      <c r="A22" s="4" t="str">
        <f>'EN60'!A$3</f>
        <v>EN60</v>
      </c>
      <c r="B22" s="4">
        <f t="shared" si="5"/>
        <v>26</v>
      </c>
      <c r="C22" s="4">
        <f t="shared" si="6"/>
        <v>11</v>
      </c>
      <c r="D22" s="4">
        <f t="shared" si="0"/>
        <v>8</v>
      </c>
      <c r="E22" s="4" t="s">
        <v>27</v>
      </c>
      <c r="F22" s="4">
        <f t="shared" si="1"/>
        <v>800</v>
      </c>
      <c r="G22" s="5">
        <f t="shared" si="7"/>
        <v>1.01</v>
      </c>
      <c r="H22" s="6" t="str">
        <f t="shared" si="2"/>
        <v>INSERT INTO public.coupon (plancode, age, "year", couponrate, benefittype, benefitrate, premiumrate) VALUES('EN60', 26, 11, 8, 'A',800, 1.01);</v>
      </c>
      <c r="I22" s="6" t="str">
        <f t="shared" si="3"/>
        <v>{"age":"26", "year":"11", "couponrate":"8", "benefittype":"A", "benefitrate":"800", "premiumrate":"1.01"}</v>
      </c>
      <c r="J22" s="6" t="str">
        <f t="shared" si="4"/>
        <v>,</v>
      </c>
    </row>
    <row r="23" spans="1:10">
      <c r="A23" s="4" t="str">
        <f>'EN60'!A$3</f>
        <v>EN60</v>
      </c>
      <c r="B23" s="4">
        <f t="shared" si="5"/>
        <v>26</v>
      </c>
      <c r="C23" s="4">
        <f t="shared" si="6"/>
        <v>12</v>
      </c>
      <c r="D23" s="4">
        <f t="shared" si="0"/>
        <v>8</v>
      </c>
      <c r="E23" s="4" t="s">
        <v>27</v>
      </c>
      <c r="F23" s="4">
        <f t="shared" si="1"/>
        <v>800</v>
      </c>
      <c r="G23" s="5">
        <f t="shared" si="7"/>
        <v>1.01</v>
      </c>
      <c r="H23" s="6" t="str">
        <f t="shared" si="2"/>
        <v>INSERT INTO public.coupon (plancode, age, "year", couponrate, benefittype, benefitrate, premiumrate) VALUES('EN60', 26, 12, 8, 'A',800, 1.01);</v>
      </c>
      <c r="I23" s="6" t="str">
        <f t="shared" si="3"/>
        <v>{"age":"26", "year":"12", "couponrate":"8", "benefittype":"A", "benefitrate":"800", "premiumrate":"1.01"}</v>
      </c>
      <c r="J23" s="6" t="str">
        <f t="shared" si="4"/>
        <v>,</v>
      </c>
    </row>
    <row r="24" spans="1:10">
      <c r="A24" s="4" t="str">
        <f>'EN60'!A$3</f>
        <v>EN60</v>
      </c>
      <c r="B24" s="4">
        <f t="shared" si="5"/>
        <v>26</v>
      </c>
      <c r="C24" s="4">
        <f t="shared" si="6"/>
        <v>13</v>
      </c>
      <c r="D24" s="4">
        <f t="shared" si="0"/>
        <v>8</v>
      </c>
      <c r="E24" s="4" t="s">
        <v>27</v>
      </c>
      <c r="F24" s="4">
        <f t="shared" si="1"/>
        <v>800</v>
      </c>
      <c r="G24" s="5">
        <f t="shared" si="7"/>
        <v>1.01</v>
      </c>
      <c r="H24" s="6" t="str">
        <f t="shared" si="2"/>
        <v>INSERT INTO public.coupon (plancode, age, "year", couponrate, benefittype, benefitrate, premiumrate) VALUES('EN60', 26, 13, 8, 'A',800, 1.01);</v>
      </c>
      <c r="I24" s="6" t="str">
        <f t="shared" si="3"/>
        <v>{"age":"26", "year":"13", "couponrate":"8", "benefittype":"A", "benefitrate":"800", "premiumrate":"1.01"}</v>
      </c>
      <c r="J24" s="6" t="str">
        <f t="shared" si="4"/>
        <v>,</v>
      </c>
    </row>
    <row r="25" spans="1:10">
      <c r="A25" s="4" t="str">
        <f>'EN60'!A$3</f>
        <v>EN60</v>
      </c>
      <c r="B25" s="4">
        <f t="shared" si="5"/>
        <v>26</v>
      </c>
      <c r="C25" s="4">
        <f t="shared" si="6"/>
        <v>14</v>
      </c>
      <c r="D25" s="4">
        <f t="shared" si="0"/>
        <v>8</v>
      </c>
      <c r="E25" s="4" t="s">
        <v>27</v>
      </c>
      <c r="F25" s="4">
        <f t="shared" si="1"/>
        <v>800</v>
      </c>
      <c r="G25" s="5">
        <f t="shared" si="7"/>
        <v>1.01</v>
      </c>
      <c r="H25" s="6" t="str">
        <f t="shared" si="2"/>
        <v>INSERT INTO public.coupon (plancode, age, "year", couponrate, benefittype, benefitrate, premiumrate) VALUES('EN60', 26, 14, 8, 'A',800, 1.01);</v>
      </c>
      <c r="I25" s="6" t="str">
        <f t="shared" si="3"/>
        <v>{"age":"26", "year":"14", "couponrate":"8", "benefittype":"A", "benefitrate":"800", "premiumrate":"1.01"}</v>
      </c>
      <c r="J25" s="6" t="str">
        <f t="shared" si="4"/>
        <v>,</v>
      </c>
    </row>
    <row r="26" spans="1:10">
      <c r="A26" s="4" t="str">
        <f>'EN60'!A$3</f>
        <v>EN60</v>
      </c>
      <c r="B26" s="4">
        <f t="shared" si="5"/>
        <v>26</v>
      </c>
      <c r="C26" s="4">
        <f t="shared" si="6"/>
        <v>15</v>
      </c>
      <c r="D26" s="4">
        <f t="shared" si="0"/>
        <v>8</v>
      </c>
      <c r="E26" s="4" t="s">
        <v>27</v>
      </c>
      <c r="F26" s="4">
        <f t="shared" si="1"/>
        <v>800</v>
      </c>
      <c r="G26" s="5">
        <f t="shared" si="7"/>
        <v>1.01</v>
      </c>
      <c r="H26" s="6" t="str">
        <f t="shared" si="2"/>
        <v>INSERT INTO public.coupon (plancode, age, "year", couponrate, benefittype, benefitrate, premiumrate) VALUES('EN60', 26, 15, 8, 'A',800, 1.01);</v>
      </c>
      <c r="I26" s="6" t="str">
        <f t="shared" si="3"/>
        <v>{"age":"26", "year":"15", "couponrate":"8", "benefittype":"A", "benefitrate":"800", "premiumrate":"1.01"}</v>
      </c>
      <c r="J26" s="6" t="str">
        <f t="shared" si="4"/>
        <v>,</v>
      </c>
    </row>
    <row r="27" spans="1:10">
      <c r="A27" s="4" t="str">
        <f>'EN60'!A$3</f>
        <v>EN60</v>
      </c>
      <c r="B27" s="4">
        <f t="shared" si="5"/>
        <v>26</v>
      </c>
      <c r="C27" s="4">
        <f t="shared" si="6"/>
        <v>16</v>
      </c>
      <c r="D27" s="4">
        <f t="shared" si="0"/>
        <v>8</v>
      </c>
      <c r="E27" s="4" t="s">
        <v>27</v>
      </c>
      <c r="F27" s="4">
        <f t="shared" si="1"/>
        <v>800</v>
      </c>
      <c r="G27" s="5">
        <f t="shared" si="7"/>
        <v>1.01</v>
      </c>
      <c r="H27" s="6" t="str">
        <f t="shared" si="2"/>
        <v>INSERT INTO public.coupon (plancode, age, "year", couponrate, benefittype, benefitrate, premiumrate) VALUES('EN60', 26, 16, 8, 'A',800, 1.01);</v>
      </c>
      <c r="I27" s="6" t="str">
        <f t="shared" si="3"/>
        <v>{"age":"26", "year":"16", "couponrate":"8", "benefittype":"A", "benefitrate":"800", "premiumrate":"1.01"}</v>
      </c>
      <c r="J27" s="6" t="str">
        <f t="shared" si="4"/>
        <v>,</v>
      </c>
    </row>
    <row r="28" spans="1:10">
      <c r="A28" s="4" t="str">
        <f>'EN60'!A$3</f>
        <v>EN60</v>
      </c>
      <c r="B28" s="4">
        <f t="shared" si="5"/>
        <v>26</v>
      </c>
      <c r="C28" s="4">
        <f t="shared" si="6"/>
        <v>17</v>
      </c>
      <c r="D28" s="4">
        <f t="shared" si="0"/>
        <v>8</v>
      </c>
      <c r="E28" s="4" t="s">
        <v>27</v>
      </c>
      <c r="F28" s="4">
        <f t="shared" si="1"/>
        <v>800</v>
      </c>
      <c r="G28" s="5">
        <f t="shared" si="7"/>
        <v>1.01</v>
      </c>
      <c r="H28" s="6" t="str">
        <f t="shared" si="2"/>
        <v>INSERT INTO public.coupon (plancode, age, "year", couponrate, benefittype, benefitrate, premiumrate) VALUES('EN60', 26, 17, 8, 'A',800, 1.01);</v>
      </c>
      <c r="I28" s="6" t="str">
        <f t="shared" si="3"/>
        <v>{"age":"26", "year":"17", "couponrate":"8", "benefittype":"A", "benefitrate":"800", "premiumrate":"1.01"}</v>
      </c>
      <c r="J28" s="6" t="str">
        <f t="shared" si="4"/>
        <v>,</v>
      </c>
    </row>
    <row r="29" spans="1:10">
      <c r="A29" s="4" t="str">
        <f>'EN60'!A$3</f>
        <v>EN60</v>
      </c>
      <c r="B29" s="4">
        <f t="shared" si="5"/>
        <v>26</v>
      </c>
      <c r="C29" s="4">
        <f t="shared" si="6"/>
        <v>18</v>
      </c>
      <c r="D29" s="4">
        <f t="shared" si="0"/>
        <v>8</v>
      </c>
      <c r="E29" s="4" t="s">
        <v>27</v>
      </c>
      <c r="F29" s="4">
        <f t="shared" si="1"/>
        <v>800</v>
      </c>
      <c r="G29" s="5">
        <f t="shared" si="7"/>
        <v>1.01</v>
      </c>
      <c r="H29" s="6" t="str">
        <f t="shared" si="2"/>
        <v>INSERT INTO public.coupon (plancode, age, "year", couponrate, benefittype, benefitrate, premiumrate) VALUES('EN60', 26, 18, 8, 'A',800, 1.01);</v>
      </c>
      <c r="I29" s="6" t="str">
        <f t="shared" si="3"/>
        <v>{"age":"26", "year":"18", "couponrate":"8", "benefittype":"A", "benefitrate":"800", "premiumrate":"1.01"}</v>
      </c>
      <c r="J29" s="6" t="str">
        <f t="shared" si="4"/>
        <v>,</v>
      </c>
    </row>
    <row r="30" spans="1:10">
      <c r="A30" s="4" t="str">
        <f>'EN60'!A$3</f>
        <v>EN60</v>
      </c>
      <c r="B30" s="4">
        <f t="shared" si="5"/>
        <v>26</v>
      </c>
      <c r="C30" s="4">
        <f t="shared" si="6"/>
        <v>19</v>
      </c>
      <c r="D30" s="4">
        <f t="shared" si="0"/>
        <v>8</v>
      </c>
      <c r="E30" s="4" t="s">
        <v>27</v>
      </c>
      <c r="F30" s="4">
        <f t="shared" si="1"/>
        <v>800</v>
      </c>
      <c r="G30" s="5">
        <f t="shared" si="7"/>
        <v>1.01</v>
      </c>
      <c r="H30" s="6" t="str">
        <f t="shared" si="2"/>
        <v>INSERT INTO public.coupon (plancode, age, "year", couponrate, benefittype, benefitrate, premiumrate) VALUES('EN60', 26, 19, 8, 'A',800, 1.01);</v>
      </c>
      <c r="I30" s="6" t="str">
        <f t="shared" si="3"/>
        <v>{"age":"26", "year":"19", "couponrate":"8", "benefittype":"A", "benefitrate":"800", "premiumrate":"1.01"}</v>
      </c>
      <c r="J30" s="6" t="str">
        <f t="shared" si="4"/>
        <v>,</v>
      </c>
    </row>
    <row r="31" spans="1:10">
      <c r="A31" s="4" t="str">
        <f>'EN60'!A$3</f>
        <v>EN60</v>
      </c>
      <c r="B31" s="4">
        <f t="shared" si="5"/>
        <v>26</v>
      </c>
      <c r="C31" s="4">
        <f t="shared" si="6"/>
        <v>20</v>
      </c>
      <c r="D31" s="4">
        <f t="shared" si="0"/>
        <v>8</v>
      </c>
      <c r="E31" s="4" t="s">
        <v>27</v>
      </c>
      <c r="F31" s="4">
        <f t="shared" si="1"/>
        <v>800</v>
      </c>
      <c r="G31" s="5">
        <f t="shared" si="7"/>
        <v>1.01</v>
      </c>
      <c r="H31" s="6" t="str">
        <f t="shared" si="2"/>
        <v>INSERT INTO public.coupon (plancode, age, "year", couponrate, benefittype, benefitrate, premiumrate) VALUES('EN60', 26, 20, 8, 'A',800, 1.01);</v>
      </c>
      <c r="I31" s="6" t="str">
        <f t="shared" si="3"/>
        <v>{"age":"26", "year":"20", "couponrate":"8", "benefittype":"A", "benefitrate":"800", "premiumrate":"1.01"}</v>
      </c>
      <c r="J31" s="6" t="str">
        <f t="shared" si="4"/>
        <v>,</v>
      </c>
    </row>
    <row r="32" spans="1:10">
      <c r="A32" s="4" t="str">
        <f>'EN60'!A$3</f>
        <v>EN60</v>
      </c>
      <c r="B32" s="4">
        <f t="shared" si="5"/>
        <v>26</v>
      </c>
      <c r="C32" s="4">
        <f t="shared" si="6"/>
        <v>21</v>
      </c>
      <c r="D32" s="4">
        <f t="shared" si="0"/>
        <v>8</v>
      </c>
      <c r="E32" s="4" t="s">
        <v>27</v>
      </c>
      <c r="F32" s="4">
        <f t="shared" si="1"/>
        <v>800</v>
      </c>
      <c r="G32" s="5">
        <f t="shared" si="7"/>
        <v>1.01</v>
      </c>
      <c r="H32" s="6" t="str">
        <f t="shared" si="2"/>
        <v>INSERT INTO public.coupon (plancode, age, "year", couponrate, benefittype, benefitrate, premiumrate) VALUES('EN60', 26, 21, 8, 'A',800, 1.01);</v>
      </c>
      <c r="I32" s="6" t="str">
        <f t="shared" si="3"/>
        <v>{"age":"26", "year":"21", "couponrate":"8", "benefittype":"A", "benefitrate":"800", "premiumrate":"1.01"}</v>
      </c>
      <c r="J32" s="6" t="str">
        <f t="shared" si="4"/>
        <v>,</v>
      </c>
    </row>
    <row r="33" spans="1:10">
      <c r="A33" s="4" t="str">
        <f>'EN60'!A$3</f>
        <v>EN60</v>
      </c>
      <c r="B33" s="4">
        <f t="shared" si="5"/>
        <v>26</v>
      </c>
      <c r="C33" s="4">
        <f t="shared" si="6"/>
        <v>22</v>
      </c>
      <c r="D33" s="4">
        <f t="shared" si="0"/>
        <v>8</v>
      </c>
      <c r="E33" s="4" t="s">
        <v>27</v>
      </c>
      <c r="F33" s="4">
        <f t="shared" si="1"/>
        <v>800</v>
      </c>
      <c r="G33" s="5">
        <f t="shared" si="7"/>
        <v>1.01</v>
      </c>
      <c r="H33" s="6" t="str">
        <f t="shared" si="2"/>
        <v>INSERT INTO public.coupon (plancode, age, "year", couponrate, benefittype, benefitrate, premiumrate) VALUES('EN60', 26, 22, 8, 'A',800, 1.01);</v>
      </c>
      <c r="I33" s="6" t="str">
        <f t="shared" si="3"/>
        <v>{"age":"26", "year":"22", "couponrate":"8", "benefittype":"A", "benefitrate":"800", "premiumrate":"1.01"}</v>
      </c>
      <c r="J33" s="6" t="str">
        <f t="shared" si="4"/>
        <v>,</v>
      </c>
    </row>
    <row r="34" spans="1:10">
      <c r="A34" s="4" t="str">
        <f>'EN60'!A$3</f>
        <v>EN60</v>
      </c>
      <c r="B34" s="4">
        <f t="shared" si="5"/>
        <v>26</v>
      </c>
      <c r="C34" s="4">
        <f t="shared" si="6"/>
        <v>23</v>
      </c>
      <c r="D34" s="4">
        <f t="shared" si="0"/>
        <v>8</v>
      </c>
      <c r="E34" s="4" t="s">
        <v>27</v>
      </c>
      <c r="F34" s="4">
        <f t="shared" si="1"/>
        <v>800</v>
      </c>
      <c r="G34" s="5">
        <f t="shared" si="7"/>
        <v>1.01</v>
      </c>
      <c r="H34" s="6" t="str">
        <f t="shared" si="2"/>
        <v>INSERT INTO public.coupon (plancode, age, "year", couponrate, benefittype, benefitrate, premiumrate) VALUES('EN60', 26, 23, 8, 'A',800, 1.01);</v>
      </c>
      <c r="I34" s="6" t="str">
        <f t="shared" si="3"/>
        <v>{"age":"26", "year":"23", "couponrate":"8", "benefittype":"A", "benefitrate":"800", "premiumrate":"1.01"}</v>
      </c>
      <c r="J34" s="6" t="str">
        <f t="shared" si="4"/>
        <v>,</v>
      </c>
    </row>
    <row r="35" spans="1:10">
      <c r="A35" s="4" t="str">
        <f>'EN60'!A$3</f>
        <v>EN60</v>
      </c>
      <c r="B35" s="4">
        <f t="shared" si="5"/>
        <v>26</v>
      </c>
      <c r="C35" s="4">
        <f t="shared" si="6"/>
        <v>24</v>
      </c>
      <c r="D35" s="4">
        <f t="shared" si="0"/>
        <v>8</v>
      </c>
      <c r="E35" s="4" t="s">
        <v>27</v>
      </c>
      <c r="F35" s="4">
        <f t="shared" si="1"/>
        <v>800</v>
      </c>
      <c r="G35" s="5">
        <f t="shared" si="7"/>
        <v>1.01</v>
      </c>
      <c r="H35" s="6" t="str">
        <f t="shared" si="2"/>
        <v>INSERT INTO public.coupon (plancode, age, "year", couponrate, benefittype, benefitrate, premiumrate) VALUES('EN60', 26, 24, 8, 'A',800, 1.01);</v>
      </c>
      <c r="I35" s="6" t="str">
        <f t="shared" si="3"/>
        <v>{"age":"26", "year":"24", "couponrate":"8", "benefittype":"A", "benefitrate":"800", "premiumrate":"1.01"}</v>
      </c>
      <c r="J35" s="6" t="str">
        <f t="shared" si="4"/>
        <v>,</v>
      </c>
    </row>
    <row r="36" spans="1:10">
      <c r="A36" s="4" t="str">
        <f>'EN60'!A$3</f>
        <v>EN60</v>
      </c>
      <c r="B36" s="4">
        <f t="shared" si="5"/>
        <v>26</v>
      </c>
      <c r="C36" s="4">
        <f t="shared" si="6"/>
        <v>25</v>
      </c>
      <c r="D36" s="4">
        <f t="shared" si="0"/>
        <v>8</v>
      </c>
      <c r="E36" s="4" t="s">
        <v>27</v>
      </c>
      <c r="F36" s="4">
        <f t="shared" si="1"/>
        <v>800</v>
      </c>
      <c r="G36" s="5">
        <f t="shared" si="7"/>
        <v>1.01</v>
      </c>
      <c r="H36" s="6" t="str">
        <f t="shared" si="2"/>
        <v>INSERT INTO public.coupon (plancode, age, "year", couponrate, benefittype, benefitrate, premiumrate) VALUES('EN60', 26, 25, 8, 'A',800, 1.01);</v>
      </c>
      <c r="I36" s="6" t="str">
        <f t="shared" si="3"/>
        <v>{"age":"26", "year":"25", "couponrate":"8", "benefittype":"A", "benefitrate":"800", "premiumrate":"1.01"}</v>
      </c>
      <c r="J36" s="6" t="str">
        <f t="shared" si="4"/>
        <v>,</v>
      </c>
    </row>
    <row r="37" spans="1:10">
      <c r="A37" s="4" t="str">
        <f>'EN60'!A$3</f>
        <v>EN60</v>
      </c>
      <c r="B37" s="4">
        <f t="shared" si="5"/>
        <v>26</v>
      </c>
      <c r="C37" s="4">
        <f t="shared" si="6"/>
        <v>26</v>
      </c>
      <c r="D37" s="4">
        <f t="shared" si="0"/>
        <v>8</v>
      </c>
      <c r="E37" s="4" t="s">
        <v>27</v>
      </c>
      <c r="F37" s="4">
        <f t="shared" si="1"/>
        <v>800</v>
      </c>
      <c r="G37" s="5">
        <f t="shared" si="7"/>
        <v>1.01</v>
      </c>
      <c r="H37" s="6" t="str">
        <f t="shared" si="2"/>
        <v>INSERT INTO public.coupon (plancode, age, "year", couponrate, benefittype, benefitrate, premiumrate) VALUES('EN60', 26, 26, 8, 'A',800, 1.01);</v>
      </c>
      <c r="I37" s="6" t="str">
        <f t="shared" si="3"/>
        <v>{"age":"26", "year":"26", "couponrate":"8", "benefittype":"A", "benefitrate":"800", "premiumrate":"1.01"}</v>
      </c>
      <c r="J37" s="6" t="str">
        <f t="shared" si="4"/>
        <v>,</v>
      </c>
    </row>
    <row r="38" spans="1:10">
      <c r="A38" s="4" t="str">
        <f>'EN60'!A$3</f>
        <v>EN60</v>
      </c>
      <c r="B38" s="4">
        <f t="shared" si="5"/>
        <v>26</v>
      </c>
      <c r="C38" s="4">
        <f t="shared" si="6"/>
        <v>27</v>
      </c>
      <c r="D38" s="4">
        <f t="shared" si="0"/>
        <v>8</v>
      </c>
      <c r="E38" s="4" t="s">
        <v>27</v>
      </c>
      <c r="F38" s="4">
        <f t="shared" si="1"/>
        <v>800</v>
      </c>
      <c r="G38" s="5">
        <f t="shared" si="7"/>
        <v>1.01</v>
      </c>
      <c r="H38" s="6" t="str">
        <f t="shared" si="2"/>
        <v>INSERT INTO public.coupon (plancode, age, "year", couponrate, benefittype, benefitrate, premiumrate) VALUES('EN60', 26, 27, 8, 'A',800, 1.01);</v>
      </c>
      <c r="I38" s="6" t="str">
        <f t="shared" si="3"/>
        <v>{"age":"26", "year":"27", "couponrate":"8", "benefittype":"A", "benefitrate":"800", "premiumrate":"1.01"}</v>
      </c>
      <c r="J38" s="6" t="str">
        <f t="shared" si="4"/>
        <v>,</v>
      </c>
    </row>
    <row r="39" spans="1:10">
      <c r="A39" s="4" t="str">
        <f>'EN60'!A$3</f>
        <v>EN60</v>
      </c>
      <c r="B39" s="4">
        <f t="shared" si="5"/>
        <v>26</v>
      </c>
      <c r="C39" s="4">
        <f t="shared" si="6"/>
        <v>28</v>
      </c>
      <c r="D39" s="4">
        <f t="shared" si="0"/>
        <v>8</v>
      </c>
      <c r="E39" s="4" t="s">
        <v>27</v>
      </c>
      <c r="F39" s="4">
        <f t="shared" si="1"/>
        <v>800</v>
      </c>
      <c r="G39" s="5">
        <f t="shared" si="7"/>
        <v>1.01</v>
      </c>
      <c r="H39" s="6" t="str">
        <f t="shared" si="2"/>
        <v>INSERT INTO public.coupon (plancode, age, "year", couponrate, benefittype, benefitrate, premiumrate) VALUES('EN60', 26, 28, 8, 'A',800, 1.01);</v>
      </c>
      <c r="I39" s="6" t="str">
        <f t="shared" si="3"/>
        <v>{"age":"26", "year":"28", "couponrate":"8", "benefittype":"A", "benefitrate":"800", "premiumrate":"1.01"}</v>
      </c>
      <c r="J39" s="6" t="str">
        <f t="shared" si="4"/>
        <v>,</v>
      </c>
    </row>
    <row r="40" spans="1:10">
      <c r="A40" s="4" t="str">
        <f>'EN60'!A$3</f>
        <v>EN60</v>
      </c>
      <c r="B40" s="4">
        <f t="shared" si="5"/>
        <v>26</v>
      </c>
      <c r="C40" s="4">
        <f t="shared" si="6"/>
        <v>29</v>
      </c>
      <c r="D40" s="4">
        <f t="shared" si="0"/>
        <v>8</v>
      </c>
      <c r="E40" s="4" t="s">
        <v>27</v>
      </c>
      <c r="F40" s="4">
        <f t="shared" si="1"/>
        <v>800</v>
      </c>
      <c r="G40" s="5">
        <f t="shared" si="7"/>
        <v>1.01</v>
      </c>
      <c r="H40" s="6" t="str">
        <f t="shared" si="2"/>
        <v>INSERT INTO public.coupon (plancode, age, "year", couponrate, benefittype, benefitrate, premiumrate) VALUES('EN60', 26, 29, 8, 'A',800, 1.01);</v>
      </c>
      <c r="I40" s="6" t="str">
        <f t="shared" si="3"/>
        <v>{"age":"26", "year":"29", "couponrate":"8", "benefittype":"A", "benefitrate":"800", "premiumrate":"1.01"}</v>
      </c>
      <c r="J40" s="6" t="str">
        <f t="shared" si="4"/>
        <v>,</v>
      </c>
    </row>
    <row r="41" spans="1:10">
      <c r="A41" s="4" t="str">
        <f>'EN60'!A$3</f>
        <v>EN60</v>
      </c>
      <c r="B41" s="4">
        <f t="shared" si="5"/>
        <v>26</v>
      </c>
      <c r="C41" s="4">
        <f t="shared" si="6"/>
        <v>30</v>
      </c>
      <c r="D41" s="4">
        <f t="shared" si="0"/>
        <v>8</v>
      </c>
      <c r="E41" s="4" t="s">
        <v>27</v>
      </c>
      <c r="F41" s="4">
        <f t="shared" si="1"/>
        <v>800</v>
      </c>
      <c r="G41" s="5">
        <f t="shared" si="7"/>
        <v>1.01</v>
      </c>
      <c r="H41" s="6" t="str">
        <f t="shared" si="2"/>
        <v>INSERT INTO public.coupon (plancode, age, "year", couponrate, benefittype, benefitrate, premiumrate) VALUES('EN60', 26, 30, 8, 'A',800, 1.01);</v>
      </c>
      <c r="I41" s="6" t="str">
        <f t="shared" si="3"/>
        <v>{"age":"26", "year":"30", "couponrate":"8", "benefittype":"A", "benefitrate":"800", "premiumrate":"1.01"}</v>
      </c>
      <c r="J41" s="6" t="str">
        <f t="shared" si="4"/>
        <v>,</v>
      </c>
    </row>
    <row r="42" spans="1:10">
      <c r="A42" s="4" t="str">
        <f>'EN60'!A$3</f>
        <v>EN60</v>
      </c>
      <c r="B42" s="4">
        <f t="shared" si="5"/>
        <v>26</v>
      </c>
      <c r="C42" s="4">
        <f t="shared" si="6"/>
        <v>31</v>
      </c>
      <c r="D42" s="4">
        <f t="shared" si="0"/>
        <v>8</v>
      </c>
      <c r="E42" s="4" t="s">
        <v>27</v>
      </c>
      <c r="F42" s="4">
        <f t="shared" si="1"/>
        <v>800</v>
      </c>
      <c r="G42" s="5">
        <f t="shared" si="7"/>
        <v>1.01</v>
      </c>
      <c r="H42" s="6" t="str">
        <f t="shared" si="2"/>
        <v>INSERT INTO public.coupon (plancode, age, "year", couponrate, benefittype, benefitrate, premiumrate) VALUES('EN60', 26, 31, 8, 'A',800, 1.01);</v>
      </c>
      <c r="I42" s="6" t="str">
        <f t="shared" si="3"/>
        <v>{"age":"26", "year":"31", "couponrate":"8", "benefittype":"A", "benefitrate":"800", "premiumrate":"1.01"}</v>
      </c>
      <c r="J42" s="6" t="str">
        <f t="shared" si="4"/>
        <v>,</v>
      </c>
    </row>
    <row r="43" spans="1:10">
      <c r="A43" s="4" t="str">
        <f>'EN60'!A$3</f>
        <v>EN60</v>
      </c>
      <c r="B43" s="4">
        <f t="shared" si="5"/>
        <v>26</v>
      </c>
      <c r="C43" s="4">
        <f t="shared" si="6"/>
        <v>32</v>
      </c>
      <c r="D43" s="4">
        <f t="shared" si="0"/>
        <v>8</v>
      </c>
      <c r="E43" s="4" t="s">
        <v>27</v>
      </c>
      <c r="F43" s="4">
        <f t="shared" si="1"/>
        <v>800</v>
      </c>
      <c r="G43" s="5">
        <f t="shared" si="7"/>
        <v>1.01</v>
      </c>
      <c r="H43" s="6" t="str">
        <f t="shared" si="2"/>
        <v>INSERT INTO public.coupon (plancode, age, "year", couponrate, benefittype, benefitrate, premiumrate) VALUES('EN60', 26, 32, 8, 'A',800, 1.01);</v>
      </c>
      <c r="I43" s="6" t="str">
        <f t="shared" si="3"/>
        <v>{"age":"26", "year":"32", "couponrate":"8", "benefittype":"A", "benefitrate":"800", "premiumrate":"1.01"}</v>
      </c>
      <c r="J43" s="6" t="str">
        <f t="shared" si="4"/>
        <v>,</v>
      </c>
    </row>
    <row r="44" spans="1:10">
      <c r="A44" s="4" t="str">
        <f>'EN60'!A$3</f>
        <v>EN60</v>
      </c>
      <c r="B44" s="4">
        <f t="shared" si="5"/>
        <v>26</v>
      </c>
      <c r="C44" s="4">
        <f t="shared" si="6"/>
        <v>33</v>
      </c>
      <c r="D44" s="4">
        <f t="shared" si="0"/>
        <v>8</v>
      </c>
      <c r="E44" s="4" t="s">
        <v>27</v>
      </c>
      <c r="F44" s="4">
        <f t="shared" si="1"/>
        <v>800</v>
      </c>
      <c r="G44" s="5">
        <f t="shared" si="7"/>
        <v>1.01</v>
      </c>
      <c r="H44" s="6" t="str">
        <f t="shared" si="2"/>
        <v>INSERT INTO public.coupon (plancode, age, "year", couponrate, benefittype, benefitrate, premiumrate) VALUES('EN60', 26, 33, 8, 'A',800, 1.01);</v>
      </c>
      <c r="I44" s="6" t="str">
        <f t="shared" si="3"/>
        <v>{"age":"26", "year":"33", "couponrate":"8", "benefittype":"A", "benefitrate":"800", "premiumrate":"1.01"}</v>
      </c>
      <c r="J44" s="6" t="str">
        <f t="shared" si="4"/>
        <v>,</v>
      </c>
    </row>
    <row r="45" spans="1:10">
      <c r="A45" s="4" t="str">
        <f>'EN60'!A$3</f>
        <v>EN60</v>
      </c>
      <c r="B45" s="4">
        <f t="shared" si="5"/>
        <v>26</v>
      </c>
      <c r="C45" s="4">
        <f t="shared" si="6"/>
        <v>34</v>
      </c>
      <c r="D45" s="4">
        <f t="shared" si="0"/>
        <v>8</v>
      </c>
      <c r="E45" s="4" t="s">
        <v>27</v>
      </c>
      <c r="F45" s="4">
        <f t="shared" si="1"/>
        <v>800</v>
      </c>
      <c r="G45" s="5">
        <f t="shared" si="7"/>
        <v>1.01</v>
      </c>
      <c r="H45" s="6" t="str">
        <f t="shared" si="2"/>
        <v>INSERT INTO public.coupon (plancode, age, "year", couponrate, benefittype, benefitrate, premiumrate) VALUES('EN60', 26, 34, 8, 'A',800, 1.01);</v>
      </c>
      <c r="I45" s="6" t="str">
        <f t="shared" si="3"/>
        <v>{"age":"26", "year":"34", "couponrate":"8", "benefittype":"A", "benefitrate":"800", "premiumrate":"1.01"}</v>
      </c>
      <c r="J45" s="6" t="str">
        <f t="shared" si="4"/>
        <v>,</v>
      </c>
    </row>
    <row r="46" spans="1:10">
      <c r="A46" s="4" t="str">
        <f>'EN60'!A$3</f>
        <v>EN60</v>
      </c>
      <c r="B46" s="4">
        <f t="shared" si="5"/>
        <v>26</v>
      </c>
      <c r="C46" s="4">
        <f t="shared" si="6"/>
        <v>35</v>
      </c>
      <c r="D46" s="4">
        <f t="shared" si="0"/>
        <v>8</v>
      </c>
      <c r="E46" s="4" t="s">
        <v>27</v>
      </c>
      <c r="F46" s="4">
        <f t="shared" si="1"/>
        <v>800</v>
      </c>
      <c r="G46" s="5">
        <f t="shared" si="7"/>
        <v>1.01</v>
      </c>
      <c r="H46" s="6" t="str">
        <f t="shared" si="2"/>
        <v>INSERT INTO public.coupon (plancode, age, "year", couponrate, benefittype, benefitrate, premiumrate) VALUES('EN60', 26, 35, 8, 'A',800, 1.01);</v>
      </c>
      <c r="I46" s="6" t="str">
        <f t="shared" si="3"/>
        <v>{"age":"26", "year":"35", "couponrate":"8", "benefittype":"A", "benefitrate":"800", "premiumrate":"1.01"}</v>
      </c>
      <c r="J46" s="6" t="str">
        <f t="shared" si="4"/>
        <v>,</v>
      </c>
    </row>
    <row r="47" spans="1:10">
      <c r="A47" s="4" t="str">
        <f>'EN60'!A$3</f>
        <v>EN60</v>
      </c>
      <c r="B47" s="4">
        <f t="shared" si="5"/>
        <v>26</v>
      </c>
      <c r="C47" s="4">
        <f t="shared" si="6"/>
        <v>36</v>
      </c>
      <c r="D47" s="4">
        <f t="shared" si="0"/>
        <v>8</v>
      </c>
      <c r="E47" s="4" t="s">
        <v>27</v>
      </c>
      <c r="F47" s="4">
        <f t="shared" si="1"/>
        <v>800</v>
      </c>
      <c r="G47" s="5">
        <f t="shared" si="7"/>
        <v>1.01</v>
      </c>
      <c r="H47" s="6" t="str">
        <f t="shared" si="2"/>
        <v>INSERT INTO public.coupon (plancode, age, "year", couponrate, benefittype, benefitrate, premiumrate) VALUES('EN60', 26, 36, 8, 'A',800, 1.01);</v>
      </c>
      <c r="I47" s="6" t="str">
        <f t="shared" si="3"/>
        <v>{"age":"26", "year":"36", "couponrate":"8", "benefittype":"A", "benefitrate":"800", "premiumrate":"1.01"}</v>
      </c>
      <c r="J47" s="6" t="str">
        <f t="shared" si="4"/>
        <v>,</v>
      </c>
    </row>
    <row r="48" spans="1:10">
      <c r="A48" s="4" t="str">
        <f>'EN60'!A$3</f>
        <v>EN60</v>
      </c>
      <c r="B48" s="4">
        <f t="shared" si="5"/>
        <v>26</v>
      </c>
      <c r="C48" s="4">
        <f t="shared" si="6"/>
        <v>37</v>
      </c>
      <c r="D48" s="4">
        <f t="shared" si="0"/>
        <v>8</v>
      </c>
      <c r="E48" s="4" t="s">
        <v>27</v>
      </c>
      <c r="F48" s="4">
        <f t="shared" si="1"/>
        <v>800</v>
      </c>
      <c r="G48" s="5">
        <f t="shared" si="7"/>
        <v>1.01</v>
      </c>
      <c r="H48" s="6" t="str">
        <f t="shared" si="2"/>
        <v>INSERT INTO public.coupon (plancode, age, "year", couponrate, benefittype, benefitrate, premiumrate) VALUES('EN60', 26, 37, 8, 'A',800, 1.01);</v>
      </c>
      <c r="I48" s="6" t="str">
        <f t="shared" si="3"/>
        <v>{"age":"26", "year":"37", "couponrate":"8", "benefittype":"A", "benefitrate":"800", "premiumrate":"1.01"}</v>
      </c>
      <c r="J48" s="6" t="str">
        <f t="shared" si="4"/>
        <v>,</v>
      </c>
    </row>
    <row r="49" spans="1:10">
      <c r="A49" s="4" t="str">
        <f>'EN60'!A$3</f>
        <v>EN60</v>
      </c>
      <c r="B49" s="4">
        <f t="shared" si="5"/>
        <v>26</v>
      </c>
      <c r="C49" s="4">
        <f t="shared" si="6"/>
        <v>38</v>
      </c>
      <c r="D49" s="4">
        <f t="shared" si="0"/>
        <v>8</v>
      </c>
      <c r="E49" s="4" t="s">
        <v>27</v>
      </c>
      <c r="F49" s="4">
        <f t="shared" si="1"/>
        <v>800</v>
      </c>
      <c r="G49" s="5">
        <f t="shared" si="7"/>
        <v>1.01</v>
      </c>
      <c r="H49" s="6" t="str">
        <f t="shared" si="2"/>
        <v>INSERT INTO public.coupon (plancode, age, "year", couponrate, benefittype, benefitrate, premiumrate) VALUES('EN60', 26, 38, 8, 'A',800, 1.01);</v>
      </c>
      <c r="I49" s="6" t="str">
        <f t="shared" si="3"/>
        <v>{"age":"26", "year":"38", "couponrate":"8", "benefittype":"A", "benefitrate":"800", "premiumrate":"1.01"}</v>
      </c>
      <c r="J49" s="6" t="str">
        <f t="shared" si="4"/>
        <v>,</v>
      </c>
    </row>
    <row r="50" spans="1:10">
      <c r="A50" s="4" t="str">
        <f>'EN60'!A$3</f>
        <v>EN60</v>
      </c>
      <c r="B50" s="4">
        <f t="shared" si="5"/>
        <v>26</v>
      </c>
      <c r="C50" s="4">
        <f t="shared" si="6"/>
        <v>39</v>
      </c>
      <c r="D50" s="4">
        <f t="shared" si="0"/>
        <v>8</v>
      </c>
      <c r="E50" s="4" t="s">
        <v>27</v>
      </c>
      <c r="F50" s="4">
        <f t="shared" si="1"/>
        <v>800</v>
      </c>
      <c r="G50" s="5">
        <f t="shared" si="7"/>
        <v>1.01</v>
      </c>
      <c r="H50" s="6" t="str">
        <f t="shared" si="2"/>
        <v>INSERT INTO public.coupon (plancode, age, "year", couponrate, benefittype, benefitrate, premiumrate) VALUES('EN60', 26, 39, 8, 'A',800, 1.01);</v>
      </c>
      <c r="I50" s="6" t="str">
        <f t="shared" si="3"/>
        <v>{"age":"26", "year":"39", "couponrate":"8", "benefittype":"A", "benefitrate":"800", "premiumrate":"1.01"}</v>
      </c>
      <c r="J50" s="6" t="str">
        <f t="shared" si="4"/>
        <v>,</v>
      </c>
    </row>
    <row r="51" spans="1:10">
      <c r="A51" s="4" t="str">
        <f>'EN60'!A$3</f>
        <v>EN60</v>
      </c>
      <c r="B51" s="4">
        <f t="shared" si="5"/>
        <v>26</v>
      </c>
      <c r="C51" s="4">
        <f t="shared" si="6"/>
        <v>40</v>
      </c>
      <c r="D51" s="4">
        <f t="shared" si="0"/>
        <v>8</v>
      </c>
      <c r="E51" s="4" t="s">
        <v>27</v>
      </c>
      <c r="F51" s="4">
        <f t="shared" si="1"/>
        <v>800</v>
      </c>
      <c r="G51" s="5">
        <f t="shared" si="7"/>
        <v>1.01</v>
      </c>
      <c r="H51" s="6" t="str">
        <f t="shared" si="2"/>
        <v>INSERT INTO public.coupon (plancode, age, "year", couponrate, benefittype, benefitrate, premiumrate) VALUES('EN60', 26, 40, 8, 'A',800, 1.01);</v>
      </c>
      <c r="I51" s="6" t="str">
        <f t="shared" si="3"/>
        <v>{"age":"26", "year":"40", "couponrate":"8", "benefittype":"A", "benefitrate":"800", "premiumrate":"1.01"}</v>
      </c>
      <c r="J51" s="6" t="str">
        <f t="shared" si="4"/>
        <v>,</v>
      </c>
    </row>
    <row r="52" spans="1:10">
      <c r="A52" s="4" t="str">
        <f>'EN60'!A$3</f>
        <v>EN60</v>
      </c>
      <c r="B52" s="4">
        <f t="shared" si="5"/>
        <v>26</v>
      </c>
      <c r="C52" s="4">
        <f t="shared" si="6"/>
        <v>41</v>
      </c>
      <c r="D52" s="4">
        <f t="shared" si="0"/>
        <v>8</v>
      </c>
      <c r="E52" s="4" t="s">
        <v>27</v>
      </c>
      <c r="F52" s="4">
        <f t="shared" si="1"/>
        <v>800</v>
      </c>
      <c r="G52" s="5">
        <f t="shared" si="7"/>
        <v>1.01</v>
      </c>
      <c r="H52" s="6" t="str">
        <f t="shared" si="2"/>
        <v>INSERT INTO public.coupon (plancode, age, "year", couponrate, benefittype, benefitrate, premiumrate) VALUES('EN60', 26, 41, 8, 'A',800, 1.01);</v>
      </c>
      <c r="I52" s="6" t="str">
        <f t="shared" si="3"/>
        <v>{"age":"26", "year":"41", "couponrate":"8", "benefittype":"A", "benefitrate":"800", "premiumrate":"1.01"}</v>
      </c>
      <c r="J52" s="6" t="str">
        <f t="shared" si="4"/>
        <v>,</v>
      </c>
    </row>
    <row r="53" spans="1:10">
      <c r="A53" s="4" t="str">
        <f>'EN60'!A$3</f>
        <v>EN60</v>
      </c>
      <c r="B53" s="4">
        <f t="shared" si="5"/>
        <v>26</v>
      </c>
      <c r="C53" s="4">
        <f t="shared" si="6"/>
        <v>42</v>
      </c>
      <c r="D53" s="4">
        <f t="shared" si="0"/>
        <v>8</v>
      </c>
      <c r="E53" s="4" t="s">
        <v>27</v>
      </c>
      <c r="F53" s="4">
        <f t="shared" si="1"/>
        <v>800</v>
      </c>
      <c r="G53" s="5">
        <f t="shared" si="7"/>
        <v>1.01</v>
      </c>
      <c r="H53" s="6" t="str">
        <f t="shared" si="2"/>
        <v>INSERT INTO public.coupon (plancode, age, "year", couponrate, benefittype, benefitrate, premiumrate) VALUES('EN60', 26, 42, 8, 'A',800, 1.01);</v>
      </c>
      <c r="I53" s="6" t="str">
        <f t="shared" si="3"/>
        <v>{"age":"26", "year":"42", "couponrate":"8", "benefittype":"A", "benefitrate":"800", "premiumrate":"1.01"}</v>
      </c>
      <c r="J53" s="6" t="str">
        <f t="shared" si="4"/>
        <v>,</v>
      </c>
    </row>
    <row r="54" spans="1:10">
      <c r="A54" s="4" t="str">
        <f>'EN60'!A$3</f>
        <v>EN60</v>
      </c>
      <c r="B54" s="4">
        <f t="shared" si="5"/>
        <v>26</v>
      </c>
      <c r="C54" s="4">
        <f t="shared" si="6"/>
        <v>43</v>
      </c>
      <c r="D54" s="4">
        <f t="shared" si="0"/>
        <v>8</v>
      </c>
      <c r="E54" s="4" t="s">
        <v>27</v>
      </c>
      <c r="F54" s="4">
        <f t="shared" si="1"/>
        <v>800</v>
      </c>
      <c r="G54" s="5">
        <f t="shared" si="7"/>
        <v>1.01</v>
      </c>
      <c r="H54" s="6" t="str">
        <f t="shared" si="2"/>
        <v>INSERT INTO public.coupon (plancode, age, "year", couponrate, benefittype, benefitrate, premiumrate) VALUES('EN60', 26, 43, 8, 'A',800, 1.01);</v>
      </c>
      <c r="I54" s="6" t="str">
        <f t="shared" si="3"/>
        <v>{"age":"26", "year":"43", "couponrate":"8", "benefittype":"A", "benefitrate":"800", "premiumrate":"1.01"}</v>
      </c>
      <c r="J54" s="6" t="str">
        <f t="shared" si="4"/>
        <v>,</v>
      </c>
    </row>
    <row r="55" spans="1:10">
      <c r="A55" s="4" t="str">
        <f>'EN60'!A$3</f>
        <v>EN60</v>
      </c>
      <c r="B55" s="4">
        <f t="shared" si="5"/>
        <v>26</v>
      </c>
      <c r="C55" s="4">
        <f t="shared" si="6"/>
        <v>44</v>
      </c>
      <c r="D55" s="4">
        <f t="shared" si="0"/>
        <v>8</v>
      </c>
      <c r="E55" s="4" t="s">
        <v>27</v>
      </c>
      <c r="F55" s="4">
        <f t="shared" si="1"/>
        <v>800</v>
      </c>
      <c r="G55" s="5">
        <f t="shared" si="7"/>
        <v>1.01</v>
      </c>
      <c r="H55" s="6" t="str">
        <f t="shared" si="2"/>
        <v>INSERT INTO public.coupon (plancode, age, "year", couponrate, benefittype, benefitrate, premiumrate) VALUES('EN60', 26, 44, 8, 'A',800, 1.01);</v>
      </c>
      <c r="I55" s="6" t="str">
        <f t="shared" si="3"/>
        <v>{"age":"26", "year":"44", "couponrate":"8", "benefittype":"A", "benefitrate":"800", "premiumrate":"1.01"}</v>
      </c>
      <c r="J55" s="6" t="str">
        <f t="shared" si="4"/>
        <v>,</v>
      </c>
    </row>
    <row r="56" spans="1:10">
      <c r="A56" s="4" t="str">
        <f>'EN60'!A$3</f>
        <v>EN60</v>
      </c>
      <c r="B56" s="4">
        <f t="shared" si="5"/>
        <v>26</v>
      </c>
      <c r="C56" s="4">
        <f t="shared" si="6"/>
        <v>45</v>
      </c>
      <c r="D56" s="4">
        <f t="shared" si="0"/>
        <v>8</v>
      </c>
      <c r="E56" s="4" t="s">
        <v>27</v>
      </c>
      <c r="F56" s="4">
        <f t="shared" si="1"/>
        <v>800</v>
      </c>
      <c r="G56" s="5">
        <f t="shared" si="7"/>
        <v>1.01</v>
      </c>
      <c r="H56" s="6" t="str">
        <f t="shared" si="2"/>
        <v>INSERT INTO public.coupon (plancode, age, "year", couponrate, benefittype, benefitrate, premiumrate) VALUES('EN60', 26, 45, 8, 'A',800, 1.01);</v>
      </c>
      <c r="I56" s="6" t="str">
        <f t="shared" si="3"/>
        <v>{"age":"26", "year":"45", "couponrate":"8", "benefittype":"A", "benefitrate":"800", "premiumrate":"1.01"}</v>
      </c>
      <c r="J56" s="6" t="str">
        <f t="shared" si="4"/>
        <v>,</v>
      </c>
    </row>
    <row r="57" spans="1:10">
      <c r="A57" s="4" t="str">
        <f>'EN60'!A$3</f>
        <v>EN60</v>
      </c>
      <c r="B57" s="4">
        <f t="shared" si="5"/>
        <v>26</v>
      </c>
      <c r="C57" s="4">
        <f t="shared" si="6"/>
        <v>46</v>
      </c>
      <c r="D57" s="4">
        <f t="shared" si="0"/>
        <v>8</v>
      </c>
      <c r="E57" s="4" t="s">
        <v>27</v>
      </c>
      <c r="F57" s="4">
        <f t="shared" si="1"/>
        <v>800</v>
      </c>
      <c r="G57" s="5">
        <f t="shared" si="7"/>
        <v>1.01</v>
      </c>
      <c r="H57" s="6" t="str">
        <f t="shared" si="2"/>
        <v>INSERT INTO public.coupon (plancode, age, "year", couponrate, benefittype, benefitrate, premiumrate) VALUES('EN60', 26, 46, 8, 'A',800, 1.01);</v>
      </c>
      <c r="I57" s="6" t="str">
        <f t="shared" si="3"/>
        <v>{"age":"26", "year":"46", "couponrate":"8", "benefittype":"A", "benefitrate":"800", "premiumrate":"1.01"}</v>
      </c>
      <c r="J57" s="6" t="str">
        <f t="shared" si="4"/>
        <v>,</v>
      </c>
    </row>
    <row r="58" spans="1:10">
      <c r="A58" s="4" t="str">
        <f>'EN60'!A$3</f>
        <v>EN60</v>
      </c>
      <c r="B58" s="4">
        <f t="shared" si="5"/>
        <v>26</v>
      </c>
      <c r="C58" s="4">
        <f t="shared" si="6"/>
        <v>47</v>
      </c>
      <c r="D58" s="4">
        <f t="shared" si="0"/>
        <v>8</v>
      </c>
      <c r="E58" s="4" t="s">
        <v>27</v>
      </c>
      <c r="F58" s="4">
        <f t="shared" si="1"/>
        <v>800</v>
      </c>
      <c r="G58" s="5">
        <f t="shared" si="7"/>
        <v>1.01</v>
      </c>
      <c r="H58" s="6" t="str">
        <f t="shared" si="2"/>
        <v>INSERT INTO public.coupon (plancode, age, "year", couponrate, benefittype, benefitrate, premiumrate) VALUES('EN60', 26, 47, 8, 'A',800, 1.01);</v>
      </c>
      <c r="I58" s="6" t="str">
        <f t="shared" si="3"/>
        <v>{"age":"26", "year":"47", "couponrate":"8", "benefittype":"A", "benefitrate":"800", "premiumrate":"1.01"}</v>
      </c>
      <c r="J58" s="6" t="str">
        <f t="shared" si="4"/>
        <v>,</v>
      </c>
    </row>
    <row r="59" spans="1:10">
      <c r="A59" s="4" t="str">
        <f>'EN60'!A$3</f>
        <v>EN60</v>
      </c>
      <c r="B59" s="4">
        <f t="shared" si="5"/>
        <v>26</v>
      </c>
      <c r="C59" s="4">
        <f t="shared" si="6"/>
        <v>48</v>
      </c>
      <c r="D59" s="4">
        <f t="shared" si="0"/>
        <v>8</v>
      </c>
      <c r="E59" s="4" t="s">
        <v>27</v>
      </c>
      <c r="F59" s="4">
        <f t="shared" si="1"/>
        <v>800</v>
      </c>
      <c r="G59" s="5">
        <f t="shared" si="7"/>
        <v>1.01</v>
      </c>
      <c r="H59" s="6" t="str">
        <f t="shared" si="2"/>
        <v>INSERT INTO public.coupon (plancode, age, "year", couponrate, benefittype, benefitrate, premiumrate) VALUES('EN60', 26, 48, 8, 'A',800, 1.01);</v>
      </c>
      <c r="I59" s="6" t="str">
        <f t="shared" si="3"/>
        <v>{"age":"26", "year":"48", "couponrate":"8", "benefittype":"A", "benefitrate":"800", "premiumrate":"1.01"}</v>
      </c>
      <c r="J59" s="6" t="str">
        <f t="shared" si="4"/>
        <v>,</v>
      </c>
    </row>
    <row r="60" spans="1:10">
      <c r="A60" s="4" t="str">
        <f>'EN60'!A$3</f>
        <v>EN60</v>
      </c>
      <c r="B60" s="4">
        <f t="shared" si="5"/>
        <v>26</v>
      </c>
      <c r="C60" s="4">
        <f t="shared" si="6"/>
        <v>49</v>
      </c>
      <c r="D60" s="4">
        <f t="shared" si="0"/>
        <v>8</v>
      </c>
      <c r="E60" s="4" t="s">
        <v>27</v>
      </c>
      <c r="F60" s="4">
        <f t="shared" si="1"/>
        <v>800</v>
      </c>
      <c r="G60" s="5">
        <f t="shared" si="7"/>
        <v>1.01</v>
      </c>
      <c r="H60" s="6" t="str">
        <f t="shared" si="2"/>
        <v>INSERT INTO public.coupon (plancode, age, "year", couponrate, benefittype, benefitrate, premiumrate) VALUES('EN60', 26, 49, 8, 'A',800, 1.01);</v>
      </c>
      <c r="I60" s="6" t="str">
        <f t="shared" si="3"/>
        <v>{"age":"26", "year":"49", "couponrate":"8", "benefittype":"A", "benefitrate":"800", "premiumrate":"1.01"}</v>
      </c>
      <c r="J60" s="6" t="str">
        <f t="shared" si="4"/>
        <v>,</v>
      </c>
    </row>
    <row r="61" spans="1:10">
      <c r="A61" s="4" t="str">
        <f>'EN60'!A$3</f>
        <v>EN60</v>
      </c>
      <c r="B61" s="4">
        <f t="shared" si="5"/>
        <v>26</v>
      </c>
      <c r="C61" s="4">
        <f t="shared" si="6"/>
        <v>50</v>
      </c>
      <c r="D61" s="4">
        <f t="shared" si="0"/>
        <v>8</v>
      </c>
      <c r="E61" s="4" t="s">
        <v>27</v>
      </c>
      <c r="F61" s="4">
        <f t="shared" si="1"/>
        <v>800</v>
      </c>
      <c r="G61" s="5">
        <f t="shared" si="7"/>
        <v>1.01</v>
      </c>
      <c r="H61" s="6" t="str">
        <f t="shared" si="2"/>
        <v>INSERT INTO public.coupon (plancode, age, "year", couponrate, benefittype, benefitrate, premiumrate) VALUES('EN60', 26, 50, 8, 'A',800, 1.01);</v>
      </c>
      <c r="I61" s="6" t="str">
        <f t="shared" si="3"/>
        <v>{"age":"26", "year":"50", "couponrate":"8", "benefittype":"A", "benefitrate":"800", "premiumrate":"1.01"}</v>
      </c>
      <c r="J61" s="6" t="str">
        <f t="shared" si="4"/>
        <v>,</v>
      </c>
    </row>
    <row r="62" spans="1:10">
      <c r="A62" s="4" t="str">
        <f>'EN60'!A$3</f>
        <v>EN60</v>
      </c>
      <c r="B62" s="4">
        <f t="shared" si="5"/>
        <v>26</v>
      </c>
      <c r="C62" s="4">
        <f t="shared" si="6"/>
        <v>51</v>
      </c>
      <c r="D62" s="4">
        <f t="shared" si="0"/>
        <v>8</v>
      </c>
      <c r="E62" s="4" t="s">
        <v>27</v>
      </c>
      <c r="F62" s="4">
        <f t="shared" si="1"/>
        <v>800</v>
      </c>
      <c r="G62" s="5">
        <f t="shared" si="7"/>
        <v>1.01</v>
      </c>
      <c r="H62" s="6" t="str">
        <f t="shared" si="2"/>
        <v>INSERT INTO public.coupon (plancode, age, "year", couponrate, benefittype, benefitrate, premiumrate) VALUES('EN60', 26, 51, 8, 'A',800, 1.01);</v>
      </c>
      <c r="I62" s="6" t="str">
        <f t="shared" si="3"/>
        <v>{"age":"26", "year":"51", "couponrate":"8", "benefittype":"A", "benefitrate":"800", "premiumrate":"1.01"}</v>
      </c>
      <c r="J62" s="6" t="str">
        <f t="shared" si="4"/>
        <v>,</v>
      </c>
    </row>
    <row r="63" spans="1:10">
      <c r="A63" s="4" t="str">
        <f>'EN60'!A$3</f>
        <v>EN60</v>
      </c>
      <c r="B63" s="4">
        <f t="shared" si="5"/>
        <v>26</v>
      </c>
      <c r="C63" s="4">
        <f t="shared" si="6"/>
        <v>52</v>
      </c>
      <c r="D63" s="4">
        <f t="shared" si="0"/>
        <v>8</v>
      </c>
      <c r="E63" s="4" t="s">
        <v>27</v>
      </c>
      <c r="F63" s="4">
        <f t="shared" si="1"/>
        <v>800</v>
      </c>
      <c r="G63" s="5">
        <f t="shared" si="7"/>
        <v>1.01</v>
      </c>
      <c r="H63" s="6" t="str">
        <f t="shared" si="2"/>
        <v>INSERT INTO public.coupon (plancode, age, "year", couponrate, benefittype, benefitrate, premiumrate) VALUES('EN60', 26, 52, 8, 'A',800, 1.01);</v>
      </c>
      <c r="I63" s="6" t="str">
        <f t="shared" si="3"/>
        <v>{"age":"26", "year":"52", "couponrate":"8", "benefittype":"A", "benefitrate":"800", "premiumrate":"1.01"}</v>
      </c>
      <c r="J63" s="6" t="str">
        <f t="shared" si="4"/>
        <v>,</v>
      </c>
    </row>
    <row r="64" spans="1:10">
      <c r="A64" s="4" t="str">
        <f>'EN60'!A$3</f>
        <v>EN60</v>
      </c>
      <c r="B64" s="4">
        <f t="shared" si="5"/>
        <v>26</v>
      </c>
      <c r="C64" s="4">
        <f t="shared" si="6"/>
        <v>53</v>
      </c>
      <c r="D64" s="4">
        <f t="shared" si="0"/>
        <v>8</v>
      </c>
      <c r="E64" s="4" t="s">
        <v>27</v>
      </c>
      <c r="F64" s="4">
        <f t="shared" si="1"/>
        <v>800</v>
      </c>
      <c r="G64" s="5">
        <f t="shared" si="7"/>
        <v>1.01</v>
      </c>
      <c r="H64" s="6" t="str">
        <f t="shared" si="2"/>
        <v>INSERT INTO public.coupon (plancode, age, "year", couponrate, benefittype, benefitrate, premiumrate) VALUES('EN60', 26, 53, 8, 'A',800, 1.01);</v>
      </c>
      <c r="I64" s="6" t="str">
        <f t="shared" si="3"/>
        <v>{"age":"26", "year":"53", "couponrate":"8", "benefittype":"A", "benefitrate":"800", "premiumrate":"1.01"}</v>
      </c>
      <c r="J64" s="6" t="str">
        <f t="shared" si="4"/>
        <v>,</v>
      </c>
    </row>
    <row r="65" spans="1:10">
      <c r="A65" s="4" t="str">
        <f>'EN60'!A$3</f>
        <v>EN60</v>
      </c>
      <c r="B65" s="4">
        <f t="shared" si="5"/>
        <v>26</v>
      </c>
      <c r="C65" s="4">
        <f t="shared" si="6"/>
        <v>54</v>
      </c>
      <c r="D65" s="4">
        <f t="shared" si="0"/>
        <v>0</v>
      </c>
      <c r="E65" s="4" t="s">
        <v>27</v>
      </c>
      <c r="F65" s="4">
        <f t="shared" si="1"/>
        <v>800</v>
      </c>
      <c r="G65" s="5">
        <f t="shared" si="7"/>
        <v>1.01</v>
      </c>
      <c r="H65" s="6" t="str">
        <f t="shared" si="2"/>
        <v>INSERT INTO public.coupon (plancode, age, "year", couponrate, benefittype, benefitrate, premiumrate) VALUES('EN60', 26, 54, 0, 'A',800, 1.01);</v>
      </c>
      <c r="I65" s="6" t="str">
        <f t="shared" si="3"/>
        <v>{"age":"26", "year":"54", "couponrate":"0", "benefittype":"A", "benefitrate":"800", "premiumrate":"1.01"}</v>
      </c>
    </row>
    <row r="66" spans="1:10">
      <c r="C66" s="6"/>
      <c r="I66" s="6" t="s">
        <v>28</v>
      </c>
    </row>
    <row r="67" spans="1:10">
      <c r="A67" s="3" t="s">
        <v>2</v>
      </c>
      <c r="B67" s="3" t="s">
        <v>23</v>
      </c>
      <c r="C67" s="3" t="s">
        <v>24</v>
      </c>
      <c r="D67" s="3" t="s">
        <v>25</v>
      </c>
      <c r="E67" s="3" t="s">
        <v>8</v>
      </c>
      <c r="F67" s="3" t="s">
        <v>26</v>
      </c>
      <c r="G67" s="3" t="s">
        <v>4</v>
      </c>
      <c r="I67" s="6" t="str">
        <f>"[{""plancode"":"""&amp;A68&amp;""",""returncash"":"""&amp;B$7&amp;""",""ytable"":"""&amp;C$7&amp;""",""maturerate"":"""&amp;B$3&amp;""",""maturepmrate"":"""&amp;C$3&amp;""",""coupon"":["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68" spans="1:10">
      <c r="A68" s="4" t="str">
        <f>'EN60'!A$3</f>
        <v>EN60</v>
      </c>
      <c r="B68" s="8">
        <v>27</v>
      </c>
      <c r="C68" s="4">
        <v>1</v>
      </c>
      <c r="D68" s="4">
        <f t="shared" ref="D68:D120" si="8">IF(C68+B68=80,0,8)</f>
        <v>8</v>
      </c>
      <c r="E68" s="4" t="s">
        <v>27</v>
      </c>
      <c r="F68" s="4">
        <f t="shared" ref="F68:F120" si="9">IF(C68&gt;7, 800, C68*100)</f>
        <v>100</v>
      </c>
      <c r="G68" s="5">
        <f>'EN60'!C$3</f>
        <v>1.01</v>
      </c>
      <c r="H68" s="6" t="str">
        <f t="shared" ref="H68:H120" si="10">"INSERT INTO public.coupon ("&amp;A$11&amp;", "&amp;B$11&amp;", """&amp;C$11&amp;""", "&amp;D$11&amp;", "&amp;E$11&amp;", "&amp;F$11&amp;", "&amp;G$11&amp;") VALUES('"&amp;A68&amp;"', "&amp;B68&amp;", "&amp;C68&amp;", "&amp;D68&amp;", '"&amp;E68&amp;"',"&amp;F68&amp;", "&amp;G68&amp;");"</f>
        <v>INSERT INTO public.coupon (plancode, age, "year", couponrate, benefittype, benefitrate, premiumrate) VALUES('EN60', 27, 1, 8, 'A',100, 1.01);</v>
      </c>
      <c r="I68" s="6" t="str">
        <f t="shared" ref="I68:I120" si="11">"{""age"":"""&amp;B68&amp;""", ""year"":"""&amp;C68&amp;""", ""couponrate"":"""&amp;D68&amp;""", ""benefittype"":"""&amp;E68&amp;""", ""benefitrate"":"""&amp;F68&amp;""", """&amp;G$11&amp;""":"""&amp;G68&amp;"""}"</f>
        <v>{"age":"27", "year":"1", "couponrate":"8", "benefittype":"A", "benefitrate":"100", "premiumrate":"1.01"}</v>
      </c>
      <c r="J68" s="6" t="str">
        <f t="shared" ref="J68:J119" si="12">IF(OR(I69="]", I68="[", I68="]"), "", ",")</f>
        <v>,</v>
      </c>
    </row>
    <row r="69" spans="1:10">
      <c r="A69" s="4" t="str">
        <f>'EN60'!A$3</f>
        <v>EN60</v>
      </c>
      <c r="B69" s="4">
        <f t="shared" ref="B69:B120" si="13">B68</f>
        <v>27</v>
      </c>
      <c r="C69" s="4">
        <f t="shared" ref="C69:C120" si="14">C68+1</f>
        <v>2</v>
      </c>
      <c r="D69" s="4">
        <f t="shared" si="8"/>
        <v>8</v>
      </c>
      <c r="E69" s="4" t="s">
        <v>27</v>
      </c>
      <c r="F69" s="4">
        <f t="shared" si="9"/>
        <v>200</v>
      </c>
      <c r="G69" s="5">
        <f t="shared" ref="G69:G120" si="15">G68</f>
        <v>1.01</v>
      </c>
      <c r="H69" s="6" t="str">
        <f t="shared" si="10"/>
        <v>INSERT INTO public.coupon (plancode, age, "year", couponrate, benefittype, benefitrate, premiumrate) VALUES('EN60', 27, 2, 8, 'A',200, 1.01);</v>
      </c>
      <c r="I69" s="6" t="str">
        <f t="shared" si="11"/>
        <v>{"age":"27", "year":"2", "couponrate":"8", "benefittype":"A", "benefitrate":"200", "premiumrate":"1.01"}</v>
      </c>
      <c r="J69" s="6" t="str">
        <f t="shared" si="12"/>
        <v>,</v>
      </c>
    </row>
    <row r="70" spans="1:10">
      <c r="A70" s="4" t="str">
        <f>'EN60'!A$3</f>
        <v>EN60</v>
      </c>
      <c r="B70" s="4">
        <f t="shared" si="13"/>
        <v>27</v>
      </c>
      <c r="C70" s="4">
        <f t="shared" si="14"/>
        <v>3</v>
      </c>
      <c r="D70" s="4">
        <f t="shared" si="8"/>
        <v>8</v>
      </c>
      <c r="E70" s="4" t="s">
        <v>27</v>
      </c>
      <c r="F70" s="4">
        <f t="shared" si="9"/>
        <v>300</v>
      </c>
      <c r="G70" s="5">
        <f t="shared" si="15"/>
        <v>1.01</v>
      </c>
      <c r="H70" s="6" t="str">
        <f t="shared" si="10"/>
        <v>INSERT INTO public.coupon (plancode, age, "year", couponrate, benefittype, benefitrate, premiumrate) VALUES('EN60', 27, 3, 8, 'A',300, 1.01);</v>
      </c>
      <c r="I70" s="6" t="str">
        <f t="shared" si="11"/>
        <v>{"age":"27", "year":"3", "couponrate":"8", "benefittype":"A", "benefitrate":"300", "premiumrate":"1.01"}</v>
      </c>
      <c r="J70" s="6" t="str">
        <f t="shared" si="12"/>
        <v>,</v>
      </c>
    </row>
    <row r="71" spans="1:10">
      <c r="A71" s="4" t="str">
        <f>'EN60'!A$3</f>
        <v>EN60</v>
      </c>
      <c r="B71" s="4">
        <f t="shared" si="13"/>
        <v>27</v>
      </c>
      <c r="C71" s="4">
        <f t="shared" si="14"/>
        <v>4</v>
      </c>
      <c r="D71" s="4">
        <f t="shared" si="8"/>
        <v>8</v>
      </c>
      <c r="E71" s="4" t="s">
        <v>27</v>
      </c>
      <c r="F71" s="4">
        <f t="shared" si="9"/>
        <v>400</v>
      </c>
      <c r="G71" s="5">
        <f t="shared" si="15"/>
        <v>1.01</v>
      </c>
      <c r="H71" s="6" t="str">
        <f t="shared" si="10"/>
        <v>INSERT INTO public.coupon (plancode, age, "year", couponrate, benefittype, benefitrate, premiumrate) VALUES('EN60', 27, 4, 8, 'A',400, 1.01);</v>
      </c>
      <c r="I71" s="6" t="str">
        <f t="shared" si="11"/>
        <v>{"age":"27", "year":"4", "couponrate":"8", "benefittype":"A", "benefitrate":"400", "premiumrate":"1.01"}</v>
      </c>
      <c r="J71" s="6" t="str">
        <f t="shared" si="12"/>
        <v>,</v>
      </c>
    </row>
    <row r="72" spans="1:10">
      <c r="A72" s="4" t="str">
        <f>'EN60'!A$3</f>
        <v>EN60</v>
      </c>
      <c r="B72" s="4">
        <f t="shared" si="13"/>
        <v>27</v>
      </c>
      <c r="C72" s="4">
        <f t="shared" si="14"/>
        <v>5</v>
      </c>
      <c r="D72" s="4">
        <f t="shared" si="8"/>
        <v>8</v>
      </c>
      <c r="E72" s="4" t="s">
        <v>27</v>
      </c>
      <c r="F72" s="4">
        <f t="shared" si="9"/>
        <v>500</v>
      </c>
      <c r="G72" s="5">
        <f t="shared" si="15"/>
        <v>1.01</v>
      </c>
      <c r="H72" s="6" t="str">
        <f t="shared" si="10"/>
        <v>INSERT INTO public.coupon (plancode, age, "year", couponrate, benefittype, benefitrate, premiumrate) VALUES('EN60', 27, 5, 8, 'A',500, 1.01);</v>
      </c>
      <c r="I72" s="6" t="str">
        <f t="shared" si="11"/>
        <v>{"age":"27", "year":"5", "couponrate":"8", "benefittype":"A", "benefitrate":"500", "premiumrate":"1.01"}</v>
      </c>
      <c r="J72" s="6" t="str">
        <f t="shared" si="12"/>
        <v>,</v>
      </c>
    </row>
    <row r="73" spans="1:10">
      <c r="A73" s="4" t="str">
        <f>'EN60'!A$3</f>
        <v>EN60</v>
      </c>
      <c r="B73" s="4">
        <f t="shared" si="13"/>
        <v>27</v>
      </c>
      <c r="C73" s="4">
        <f t="shared" si="14"/>
        <v>6</v>
      </c>
      <c r="D73" s="4">
        <f t="shared" si="8"/>
        <v>8</v>
      </c>
      <c r="E73" s="4" t="s">
        <v>27</v>
      </c>
      <c r="F73" s="4">
        <f t="shared" si="9"/>
        <v>600</v>
      </c>
      <c r="G73" s="5">
        <f t="shared" si="15"/>
        <v>1.01</v>
      </c>
      <c r="H73" s="6" t="str">
        <f t="shared" si="10"/>
        <v>INSERT INTO public.coupon (plancode, age, "year", couponrate, benefittype, benefitrate, premiumrate) VALUES('EN60', 27, 6, 8, 'A',600, 1.01);</v>
      </c>
      <c r="I73" s="6" t="str">
        <f t="shared" si="11"/>
        <v>{"age":"27", "year":"6", "couponrate":"8", "benefittype":"A", "benefitrate":"600", "premiumrate":"1.01"}</v>
      </c>
      <c r="J73" s="6" t="str">
        <f t="shared" si="12"/>
        <v>,</v>
      </c>
    </row>
    <row r="74" spans="1:10">
      <c r="A74" s="4" t="str">
        <f>'EN60'!A$3</f>
        <v>EN60</v>
      </c>
      <c r="B74" s="4">
        <f t="shared" si="13"/>
        <v>27</v>
      </c>
      <c r="C74" s="4">
        <f t="shared" si="14"/>
        <v>7</v>
      </c>
      <c r="D74" s="4">
        <f t="shared" si="8"/>
        <v>8</v>
      </c>
      <c r="E74" s="4" t="s">
        <v>27</v>
      </c>
      <c r="F74" s="4">
        <f t="shared" si="9"/>
        <v>700</v>
      </c>
      <c r="G74" s="5">
        <f t="shared" si="15"/>
        <v>1.01</v>
      </c>
      <c r="H74" s="6" t="str">
        <f t="shared" si="10"/>
        <v>INSERT INTO public.coupon (plancode, age, "year", couponrate, benefittype, benefitrate, premiumrate) VALUES('EN60', 27, 7, 8, 'A',700, 1.01);</v>
      </c>
      <c r="I74" s="6" t="str">
        <f t="shared" si="11"/>
        <v>{"age":"27", "year":"7", "couponrate":"8", "benefittype":"A", "benefitrate":"700", "premiumrate":"1.01"}</v>
      </c>
      <c r="J74" s="6" t="str">
        <f t="shared" si="12"/>
        <v>,</v>
      </c>
    </row>
    <row r="75" spans="1:10">
      <c r="A75" s="4" t="str">
        <f>'EN60'!A$3</f>
        <v>EN60</v>
      </c>
      <c r="B75" s="4">
        <f t="shared" si="13"/>
        <v>27</v>
      </c>
      <c r="C75" s="4">
        <f t="shared" si="14"/>
        <v>8</v>
      </c>
      <c r="D75" s="4">
        <f t="shared" si="8"/>
        <v>8</v>
      </c>
      <c r="E75" s="4" t="s">
        <v>27</v>
      </c>
      <c r="F75" s="4">
        <f t="shared" si="9"/>
        <v>800</v>
      </c>
      <c r="G75" s="5">
        <f t="shared" si="15"/>
        <v>1.01</v>
      </c>
      <c r="H75" s="6" t="str">
        <f t="shared" si="10"/>
        <v>INSERT INTO public.coupon (plancode, age, "year", couponrate, benefittype, benefitrate, premiumrate) VALUES('EN60', 27, 8, 8, 'A',800, 1.01);</v>
      </c>
      <c r="I75" s="6" t="str">
        <f t="shared" si="11"/>
        <v>{"age":"27", "year":"8", "couponrate":"8", "benefittype":"A", "benefitrate":"800", "premiumrate":"1.01"}</v>
      </c>
      <c r="J75" s="6" t="str">
        <f t="shared" si="12"/>
        <v>,</v>
      </c>
    </row>
    <row r="76" spans="1:10">
      <c r="A76" s="4" t="str">
        <f>'EN60'!A$3</f>
        <v>EN60</v>
      </c>
      <c r="B76" s="4">
        <f t="shared" si="13"/>
        <v>27</v>
      </c>
      <c r="C76" s="4">
        <f t="shared" si="14"/>
        <v>9</v>
      </c>
      <c r="D76" s="4">
        <f t="shared" si="8"/>
        <v>8</v>
      </c>
      <c r="E76" s="4" t="s">
        <v>27</v>
      </c>
      <c r="F76" s="4">
        <f t="shared" si="9"/>
        <v>800</v>
      </c>
      <c r="G76" s="5">
        <f t="shared" si="15"/>
        <v>1.01</v>
      </c>
      <c r="H76" s="6" t="str">
        <f t="shared" si="10"/>
        <v>INSERT INTO public.coupon (plancode, age, "year", couponrate, benefittype, benefitrate, premiumrate) VALUES('EN60', 27, 9, 8, 'A',800, 1.01);</v>
      </c>
      <c r="I76" s="6" t="str">
        <f t="shared" si="11"/>
        <v>{"age":"27", "year":"9", "couponrate":"8", "benefittype":"A", "benefitrate":"800", "premiumrate":"1.01"}</v>
      </c>
      <c r="J76" s="6" t="str">
        <f t="shared" si="12"/>
        <v>,</v>
      </c>
    </row>
    <row r="77" spans="1:10">
      <c r="A77" s="4" t="str">
        <f>'EN60'!A$3</f>
        <v>EN60</v>
      </c>
      <c r="B77" s="4">
        <f t="shared" si="13"/>
        <v>27</v>
      </c>
      <c r="C77" s="4">
        <f t="shared" si="14"/>
        <v>10</v>
      </c>
      <c r="D77" s="4">
        <f t="shared" si="8"/>
        <v>8</v>
      </c>
      <c r="E77" s="4" t="s">
        <v>27</v>
      </c>
      <c r="F77" s="4">
        <f t="shared" si="9"/>
        <v>800</v>
      </c>
      <c r="G77" s="5">
        <f t="shared" si="15"/>
        <v>1.01</v>
      </c>
      <c r="H77" s="6" t="str">
        <f t="shared" si="10"/>
        <v>INSERT INTO public.coupon (plancode, age, "year", couponrate, benefittype, benefitrate, premiumrate) VALUES('EN60', 27, 10, 8, 'A',800, 1.01);</v>
      </c>
      <c r="I77" s="6" t="str">
        <f t="shared" si="11"/>
        <v>{"age":"27", "year":"10", "couponrate":"8", "benefittype":"A", "benefitrate":"800", "premiumrate":"1.01"}</v>
      </c>
      <c r="J77" s="6" t="str">
        <f t="shared" si="12"/>
        <v>,</v>
      </c>
    </row>
    <row r="78" spans="1:10">
      <c r="A78" s="4" t="str">
        <f>'EN60'!A$3</f>
        <v>EN60</v>
      </c>
      <c r="B78" s="4">
        <f t="shared" si="13"/>
        <v>27</v>
      </c>
      <c r="C78" s="4">
        <f t="shared" si="14"/>
        <v>11</v>
      </c>
      <c r="D78" s="4">
        <f t="shared" si="8"/>
        <v>8</v>
      </c>
      <c r="E78" s="4" t="s">
        <v>27</v>
      </c>
      <c r="F78" s="4">
        <f t="shared" si="9"/>
        <v>800</v>
      </c>
      <c r="G78" s="5">
        <f t="shared" si="15"/>
        <v>1.01</v>
      </c>
      <c r="H78" s="6" t="str">
        <f t="shared" si="10"/>
        <v>INSERT INTO public.coupon (plancode, age, "year", couponrate, benefittype, benefitrate, premiumrate) VALUES('EN60', 27, 11, 8, 'A',800, 1.01);</v>
      </c>
      <c r="I78" s="6" t="str">
        <f t="shared" si="11"/>
        <v>{"age":"27", "year":"11", "couponrate":"8", "benefittype":"A", "benefitrate":"800", "premiumrate":"1.01"}</v>
      </c>
      <c r="J78" s="6" t="str">
        <f t="shared" si="12"/>
        <v>,</v>
      </c>
    </row>
    <row r="79" spans="1:10">
      <c r="A79" s="4" t="str">
        <f>'EN60'!A$3</f>
        <v>EN60</v>
      </c>
      <c r="B79" s="4">
        <f t="shared" si="13"/>
        <v>27</v>
      </c>
      <c r="C79" s="4">
        <f t="shared" si="14"/>
        <v>12</v>
      </c>
      <c r="D79" s="4">
        <f t="shared" si="8"/>
        <v>8</v>
      </c>
      <c r="E79" s="4" t="s">
        <v>27</v>
      </c>
      <c r="F79" s="4">
        <f t="shared" si="9"/>
        <v>800</v>
      </c>
      <c r="G79" s="5">
        <f t="shared" si="15"/>
        <v>1.01</v>
      </c>
      <c r="H79" s="6" t="str">
        <f t="shared" si="10"/>
        <v>INSERT INTO public.coupon (plancode, age, "year", couponrate, benefittype, benefitrate, premiumrate) VALUES('EN60', 27, 12, 8, 'A',800, 1.01);</v>
      </c>
      <c r="I79" s="6" t="str">
        <f t="shared" si="11"/>
        <v>{"age":"27", "year":"12", "couponrate":"8", "benefittype":"A", "benefitrate":"800", "premiumrate":"1.01"}</v>
      </c>
      <c r="J79" s="6" t="str">
        <f t="shared" si="12"/>
        <v>,</v>
      </c>
    </row>
    <row r="80" spans="1:10">
      <c r="A80" s="4" t="str">
        <f>'EN60'!A$3</f>
        <v>EN60</v>
      </c>
      <c r="B80" s="4">
        <f t="shared" si="13"/>
        <v>27</v>
      </c>
      <c r="C80" s="4">
        <f t="shared" si="14"/>
        <v>13</v>
      </c>
      <c r="D80" s="4">
        <f t="shared" si="8"/>
        <v>8</v>
      </c>
      <c r="E80" s="4" t="s">
        <v>27</v>
      </c>
      <c r="F80" s="4">
        <f t="shared" si="9"/>
        <v>800</v>
      </c>
      <c r="G80" s="5">
        <f t="shared" si="15"/>
        <v>1.01</v>
      </c>
      <c r="H80" s="6" t="str">
        <f t="shared" si="10"/>
        <v>INSERT INTO public.coupon (plancode, age, "year", couponrate, benefittype, benefitrate, premiumrate) VALUES('EN60', 27, 13, 8, 'A',800, 1.01);</v>
      </c>
      <c r="I80" s="6" t="str">
        <f t="shared" si="11"/>
        <v>{"age":"27", "year":"13", "couponrate":"8", "benefittype":"A", "benefitrate":"800", "premiumrate":"1.01"}</v>
      </c>
      <c r="J80" s="6" t="str">
        <f t="shared" si="12"/>
        <v>,</v>
      </c>
    </row>
    <row r="81" spans="1:10">
      <c r="A81" s="4" t="str">
        <f>'EN60'!A$3</f>
        <v>EN60</v>
      </c>
      <c r="B81" s="4">
        <f t="shared" si="13"/>
        <v>27</v>
      </c>
      <c r="C81" s="4">
        <f t="shared" si="14"/>
        <v>14</v>
      </c>
      <c r="D81" s="4">
        <f t="shared" si="8"/>
        <v>8</v>
      </c>
      <c r="E81" s="4" t="s">
        <v>27</v>
      </c>
      <c r="F81" s="4">
        <f t="shared" si="9"/>
        <v>800</v>
      </c>
      <c r="G81" s="5">
        <f t="shared" si="15"/>
        <v>1.01</v>
      </c>
      <c r="H81" s="6" t="str">
        <f t="shared" si="10"/>
        <v>INSERT INTO public.coupon (plancode, age, "year", couponrate, benefittype, benefitrate, premiumrate) VALUES('EN60', 27, 14, 8, 'A',800, 1.01);</v>
      </c>
      <c r="I81" s="6" t="str">
        <f t="shared" si="11"/>
        <v>{"age":"27", "year":"14", "couponrate":"8", "benefittype":"A", "benefitrate":"800", "premiumrate":"1.01"}</v>
      </c>
      <c r="J81" s="6" t="str">
        <f t="shared" si="12"/>
        <v>,</v>
      </c>
    </row>
    <row r="82" spans="1:10">
      <c r="A82" s="4" t="str">
        <f>'EN60'!A$3</f>
        <v>EN60</v>
      </c>
      <c r="B82" s="4">
        <f t="shared" si="13"/>
        <v>27</v>
      </c>
      <c r="C82" s="4">
        <f t="shared" si="14"/>
        <v>15</v>
      </c>
      <c r="D82" s="4">
        <f t="shared" si="8"/>
        <v>8</v>
      </c>
      <c r="E82" s="4" t="s">
        <v>27</v>
      </c>
      <c r="F82" s="4">
        <f t="shared" si="9"/>
        <v>800</v>
      </c>
      <c r="G82" s="5">
        <f t="shared" si="15"/>
        <v>1.01</v>
      </c>
      <c r="H82" s="6" t="str">
        <f t="shared" si="10"/>
        <v>INSERT INTO public.coupon (plancode, age, "year", couponrate, benefittype, benefitrate, premiumrate) VALUES('EN60', 27, 15, 8, 'A',800, 1.01);</v>
      </c>
      <c r="I82" s="6" t="str">
        <f t="shared" si="11"/>
        <v>{"age":"27", "year":"15", "couponrate":"8", "benefittype":"A", "benefitrate":"800", "premiumrate":"1.01"}</v>
      </c>
      <c r="J82" s="6" t="str">
        <f t="shared" si="12"/>
        <v>,</v>
      </c>
    </row>
    <row r="83" spans="1:10">
      <c r="A83" s="4" t="str">
        <f>'EN60'!A$3</f>
        <v>EN60</v>
      </c>
      <c r="B83" s="4">
        <f t="shared" si="13"/>
        <v>27</v>
      </c>
      <c r="C83" s="4">
        <f t="shared" si="14"/>
        <v>16</v>
      </c>
      <c r="D83" s="4">
        <f t="shared" si="8"/>
        <v>8</v>
      </c>
      <c r="E83" s="4" t="s">
        <v>27</v>
      </c>
      <c r="F83" s="4">
        <f t="shared" si="9"/>
        <v>800</v>
      </c>
      <c r="G83" s="5">
        <f t="shared" si="15"/>
        <v>1.01</v>
      </c>
      <c r="H83" s="6" t="str">
        <f t="shared" si="10"/>
        <v>INSERT INTO public.coupon (plancode, age, "year", couponrate, benefittype, benefitrate, premiumrate) VALUES('EN60', 27, 16, 8, 'A',800, 1.01);</v>
      </c>
      <c r="I83" s="6" t="str">
        <f t="shared" si="11"/>
        <v>{"age":"27", "year":"16", "couponrate":"8", "benefittype":"A", "benefitrate":"800", "premiumrate":"1.01"}</v>
      </c>
      <c r="J83" s="6" t="str">
        <f t="shared" si="12"/>
        <v>,</v>
      </c>
    </row>
    <row r="84" spans="1:10">
      <c r="A84" s="4" t="str">
        <f>'EN60'!A$3</f>
        <v>EN60</v>
      </c>
      <c r="B84" s="4">
        <f t="shared" si="13"/>
        <v>27</v>
      </c>
      <c r="C84" s="4">
        <f t="shared" si="14"/>
        <v>17</v>
      </c>
      <c r="D84" s="4">
        <f t="shared" si="8"/>
        <v>8</v>
      </c>
      <c r="E84" s="4" t="s">
        <v>27</v>
      </c>
      <c r="F84" s="4">
        <f t="shared" si="9"/>
        <v>800</v>
      </c>
      <c r="G84" s="5">
        <f t="shared" si="15"/>
        <v>1.01</v>
      </c>
      <c r="H84" s="6" t="str">
        <f t="shared" si="10"/>
        <v>INSERT INTO public.coupon (plancode, age, "year", couponrate, benefittype, benefitrate, premiumrate) VALUES('EN60', 27, 17, 8, 'A',800, 1.01);</v>
      </c>
      <c r="I84" s="6" t="str">
        <f t="shared" si="11"/>
        <v>{"age":"27", "year":"17", "couponrate":"8", "benefittype":"A", "benefitrate":"800", "premiumrate":"1.01"}</v>
      </c>
      <c r="J84" s="6" t="str">
        <f t="shared" si="12"/>
        <v>,</v>
      </c>
    </row>
    <row r="85" spans="1:10">
      <c r="A85" s="4" t="str">
        <f>'EN60'!A$3</f>
        <v>EN60</v>
      </c>
      <c r="B85" s="4">
        <f t="shared" si="13"/>
        <v>27</v>
      </c>
      <c r="C85" s="4">
        <f t="shared" si="14"/>
        <v>18</v>
      </c>
      <c r="D85" s="4">
        <f t="shared" si="8"/>
        <v>8</v>
      </c>
      <c r="E85" s="4" t="s">
        <v>27</v>
      </c>
      <c r="F85" s="4">
        <f t="shared" si="9"/>
        <v>800</v>
      </c>
      <c r="G85" s="5">
        <f t="shared" si="15"/>
        <v>1.01</v>
      </c>
      <c r="H85" s="6" t="str">
        <f t="shared" si="10"/>
        <v>INSERT INTO public.coupon (plancode, age, "year", couponrate, benefittype, benefitrate, premiumrate) VALUES('EN60', 27, 18, 8, 'A',800, 1.01);</v>
      </c>
      <c r="I85" s="6" t="str">
        <f t="shared" si="11"/>
        <v>{"age":"27", "year":"18", "couponrate":"8", "benefittype":"A", "benefitrate":"800", "premiumrate":"1.01"}</v>
      </c>
      <c r="J85" s="6" t="str">
        <f t="shared" si="12"/>
        <v>,</v>
      </c>
    </row>
    <row r="86" spans="1:10">
      <c r="A86" s="4" t="str">
        <f>'EN60'!A$3</f>
        <v>EN60</v>
      </c>
      <c r="B86" s="4">
        <f t="shared" si="13"/>
        <v>27</v>
      </c>
      <c r="C86" s="4">
        <f t="shared" si="14"/>
        <v>19</v>
      </c>
      <c r="D86" s="4">
        <f t="shared" si="8"/>
        <v>8</v>
      </c>
      <c r="E86" s="4" t="s">
        <v>27</v>
      </c>
      <c r="F86" s="4">
        <f t="shared" si="9"/>
        <v>800</v>
      </c>
      <c r="G86" s="5">
        <f t="shared" si="15"/>
        <v>1.01</v>
      </c>
      <c r="H86" s="6" t="str">
        <f t="shared" si="10"/>
        <v>INSERT INTO public.coupon (plancode, age, "year", couponrate, benefittype, benefitrate, premiumrate) VALUES('EN60', 27, 19, 8, 'A',800, 1.01);</v>
      </c>
      <c r="I86" s="6" t="str">
        <f t="shared" si="11"/>
        <v>{"age":"27", "year":"19", "couponrate":"8", "benefittype":"A", "benefitrate":"800", "premiumrate":"1.01"}</v>
      </c>
      <c r="J86" s="6" t="str">
        <f t="shared" si="12"/>
        <v>,</v>
      </c>
    </row>
    <row r="87" spans="1:10">
      <c r="A87" s="4" t="str">
        <f>'EN60'!A$3</f>
        <v>EN60</v>
      </c>
      <c r="B87" s="4">
        <f t="shared" si="13"/>
        <v>27</v>
      </c>
      <c r="C87" s="4">
        <f t="shared" si="14"/>
        <v>20</v>
      </c>
      <c r="D87" s="4">
        <f t="shared" si="8"/>
        <v>8</v>
      </c>
      <c r="E87" s="4" t="s">
        <v>27</v>
      </c>
      <c r="F87" s="4">
        <f t="shared" si="9"/>
        <v>800</v>
      </c>
      <c r="G87" s="5">
        <f t="shared" si="15"/>
        <v>1.01</v>
      </c>
      <c r="H87" s="6" t="str">
        <f t="shared" si="10"/>
        <v>INSERT INTO public.coupon (plancode, age, "year", couponrate, benefittype, benefitrate, premiumrate) VALUES('EN60', 27, 20, 8, 'A',800, 1.01);</v>
      </c>
      <c r="I87" s="6" t="str">
        <f t="shared" si="11"/>
        <v>{"age":"27", "year":"20", "couponrate":"8", "benefittype":"A", "benefitrate":"800", "premiumrate":"1.01"}</v>
      </c>
      <c r="J87" s="6" t="str">
        <f t="shared" si="12"/>
        <v>,</v>
      </c>
    </row>
    <row r="88" spans="1:10">
      <c r="A88" s="4" t="str">
        <f>'EN60'!A$3</f>
        <v>EN60</v>
      </c>
      <c r="B88" s="4">
        <f t="shared" si="13"/>
        <v>27</v>
      </c>
      <c r="C88" s="4">
        <f t="shared" si="14"/>
        <v>21</v>
      </c>
      <c r="D88" s="4">
        <f t="shared" si="8"/>
        <v>8</v>
      </c>
      <c r="E88" s="4" t="s">
        <v>27</v>
      </c>
      <c r="F88" s="4">
        <f t="shared" si="9"/>
        <v>800</v>
      </c>
      <c r="G88" s="5">
        <f t="shared" si="15"/>
        <v>1.01</v>
      </c>
      <c r="H88" s="6" t="str">
        <f t="shared" si="10"/>
        <v>INSERT INTO public.coupon (plancode, age, "year", couponrate, benefittype, benefitrate, premiumrate) VALUES('EN60', 27, 21, 8, 'A',800, 1.01);</v>
      </c>
      <c r="I88" s="6" t="str">
        <f t="shared" si="11"/>
        <v>{"age":"27", "year":"21", "couponrate":"8", "benefittype":"A", "benefitrate":"800", "premiumrate":"1.01"}</v>
      </c>
      <c r="J88" s="6" t="str">
        <f t="shared" si="12"/>
        <v>,</v>
      </c>
    </row>
    <row r="89" spans="1:10">
      <c r="A89" s="4" t="str">
        <f>'EN60'!A$3</f>
        <v>EN60</v>
      </c>
      <c r="B89" s="4">
        <f t="shared" si="13"/>
        <v>27</v>
      </c>
      <c r="C89" s="4">
        <f t="shared" si="14"/>
        <v>22</v>
      </c>
      <c r="D89" s="4">
        <f t="shared" si="8"/>
        <v>8</v>
      </c>
      <c r="E89" s="4" t="s">
        <v>27</v>
      </c>
      <c r="F89" s="4">
        <f t="shared" si="9"/>
        <v>800</v>
      </c>
      <c r="G89" s="5">
        <f t="shared" si="15"/>
        <v>1.01</v>
      </c>
      <c r="H89" s="6" t="str">
        <f t="shared" si="10"/>
        <v>INSERT INTO public.coupon (plancode, age, "year", couponrate, benefittype, benefitrate, premiumrate) VALUES('EN60', 27, 22, 8, 'A',800, 1.01);</v>
      </c>
      <c r="I89" s="6" t="str">
        <f t="shared" si="11"/>
        <v>{"age":"27", "year":"22", "couponrate":"8", "benefittype":"A", "benefitrate":"800", "premiumrate":"1.01"}</v>
      </c>
      <c r="J89" s="6" t="str">
        <f t="shared" si="12"/>
        <v>,</v>
      </c>
    </row>
    <row r="90" spans="1:10">
      <c r="A90" s="4" t="str">
        <f>'EN60'!A$3</f>
        <v>EN60</v>
      </c>
      <c r="B90" s="4">
        <f t="shared" si="13"/>
        <v>27</v>
      </c>
      <c r="C90" s="4">
        <f t="shared" si="14"/>
        <v>23</v>
      </c>
      <c r="D90" s="4">
        <f t="shared" si="8"/>
        <v>8</v>
      </c>
      <c r="E90" s="4" t="s">
        <v>27</v>
      </c>
      <c r="F90" s="4">
        <f t="shared" si="9"/>
        <v>800</v>
      </c>
      <c r="G90" s="5">
        <f t="shared" si="15"/>
        <v>1.01</v>
      </c>
      <c r="H90" s="6" t="str">
        <f t="shared" si="10"/>
        <v>INSERT INTO public.coupon (plancode, age, "year", couponrate, benefittype, benefitrate, premiumrate) VALUES('EN60', 27, 23, 8, 'A',800, 1.01);</v>
      </c>
      <c r="I90" s="6" t="str">
        <f t="shared" si="11"/>
        <v>{"age":"27", "year":"23", "couponrate":"8", "benefittype":"A", "benefitrate":"800", "premiumrate":"1.01"}</v>
      </c>
      <c r="J90" s="6" t="str">
        <f t="shared" si="12"/>
        <v>,</v>
      </c>
    </row>
    <row r="91" spans="1:10">
      <c r="A91" s="4" t="str">
        <f>'EN60'!A$3</f>
        <v>EN60</v>
      </c>
      <c r="B91" s="4">
        <f t="shared" si="13"/>
        <v>27</v>
      </c>
      <c r="C91" s="4">
        <f t="shared" si="14"/>
        <v>24</v>
      </c>
      <c r="D91" s="4">
        <f t="shared" si="8"/>
        <v>8</v>
      </c>
      <c r="E91" s="4" t="s">
        <v>27</v>
      </c>
      <c r="F91" s="4">
        <f t="shared" si="9"/>
        <v>800</v>
      </c>
      <c r="G91" s="5">
        <f t="shared" si="15"/>
        <v>1.01</v>
      </c>
      <c r="H91" s="6" t="str">
        <f t="shared" si="10"/>
        <v>INSERT INTO public.coupon (plancode, age, "year", couponrate, benefittype, benefitrate, premiumrate) VALUES('EN60', 27, 24, 8, 'A',800, 1.01);</v>
      </c>
      <c r="I91" s="6" t="str">
        <f t="shared" si="11"/>
        <v>{"age":"27", "year":"24", "couponrate":"8", "benefittype":"A", "benefitrate":"800", "premiumrate":"1.01"}</v>
      </c>
      <c r="J91" s="6" t="str">
        <f t="shared" si="12"/>
        <v>,</v>
      </c>
    </row>
    <row r="92" spans="1:10">
      <c r="A92" s="4" t="str">
        <f>'EN60'!A$3</f>
        <v>EN60</v>
      </c>
      <c r="B92" s="4">
        <f t="shared" si="13"/>
        <v>27</v>
      </c>
      <c r="C92" s="4">
        <f t="shared" si="14"/>
        <v>25</v>
      </c>
      <c r="D92" s="4">
        <f t="shared" si="8"/>
        <v>8</v>
      </c>
      <c r="E92" s="4" t="s">
        <v>27</v>
      </c>
      <c r="F92" s="4">
        <f t="shared" si="9"/>
        <v>800</v>
      </c>
      <c r="G92" s="5">
        <f t="shared" si="15"/>
        <v>1.01</v>
      </c>
      <c r="H92" s="6" t="str">
        <f t="shared" si="10"/>
        <v>INSERT INTO public.coupon (plancode, age, "year", couponrate, benefittype, benefitrate, premiumrate) VALUES('EN60', 27, 25, 8, 'A',800, 1.01);</v>
      </c>
      <c r="I92" s="6" t="str">
        <f t="shared" si="11"/>
        <v>{"age":"27", "year":"25", "couponrate":"8", "benefittype":"A", "benefitrate":"800", "premiumrate":"1.01"}</v>
      </c>
      <c r="J92" s="6" t="str">
        <f t="shared" si="12"/>
        <v>,</v>
      </c>
    </row>
    <row r="93" spans="1:10">
      <c r="A93" s="4" t="str">
        <f>'EN60'!A$3</f>
        <v>EN60</v>
      </c>
      <c r="B93" s="4">
        <f t="shared" si="13"/>
        <v>27</v>
      </c>
      <c r="C93" s="4">
        <f t="shared" si="14"/>
        <v>26</v>
      </c>
      <c r="D93" s="4">
        <f t="shared" si="8"/>
        <v>8</v>
      </c>
      <c r="E93" s="4" t="s">
        <v>27</v>
      </c>
      <c r="F93" s="4">
        <f t="shared" si="9"/>
        <v>800</v>
      </c>
      <c r="G93" s="5">
        <f t="shared" si="15"/>
        <v>1.01</v>
      </c>
      <c r="H93" s="6" t="str">
        <f t="shared" si="10"/>
        <v>INSERT INTO public.coupon (plancode, age, "year", couponrate, benefittype, benefitrate, premiumrate) VALUES('EN60', 27, 26, 8, 'A',800, 1.01);</v>
      </c>
      <c r="I93" s="6" t="str">
        <f t="shared" si="11"/>
        <v>{"age":"27", "year":"26", "couponrate":"8", "benefittype":"A", "benefitrate":"800", "premiumrate":"1.01"}</v>
      </c>
      <c r="J93" s="6" t="str">
        <f t="shared" si="12"/>
        <v>,</v>
      </c>
    </row>
    <row r="94" spans="1:10">
      <c r="A94" s="4" t="str">
        <f>'EN60'!A$3</f>
        <v>EN60</v>
      </c>
      <c r="B94" s="4">
        <f t="shared" si="13"/>
        <v>27</v>
      </c>
      <c r="C94" s="4">
        <f t="shared" si="14"/>
        <v>27</v>
      </c>
      <c r="D94" s="4">
        <f t="shared" si="8"/>
        <v>8</v>
      </c>
      <c r="E94" s="4" t="s">
        <v>27</v>
      </c>
      <c r="F94" s="4">
        <f t="shared" si="9"/>
        <v>800</v>
      </c>
      <c r="G94" s="5">
        <f t="shared" si="15"/>
        <v>1.01</v>
      </c>
      <c r="H94" s="6" t="str">
        <f t="shared" si="10"/>
        <v>INSERT INTO public.coupon (plancode, age, "year", couponrate, benefittype, benefitrate, premiumrate) VALUES('EN60', 27, 27, 8, 'A',800, 1.01);</v>
      </c>
      <c r="I94" s="6" t="str">
        <f t="shared" si="11"/>
        <v>{"age":"27", "year":"27", "couponrate":"8", "benefittype":"A", "benefitrate":"800", "premiumrate":"1.01"}</v>
      </c>
      <c r="J94" s="6" t="str">
        <f t="shared" si="12"/>
        <v>,</v>
      </c>
    </row>
    <row r="95" spans="1:10">
      <c r="A95" s="4" t="str">
        <f>'EN60'!A$3</f>
        <v>EN60</v>
      </c>
      <c r="B95" s="4">
        <f t="shared" si="13"/>
        <v>27</v>
      </c>
      <c r="C95" s="4">
        <f t="shared" si="14"/>
        <v>28</v>
      </c>
      <c r="D95" s="4">
        <f t="shared" si="8"/>
        <v>8</v>
      </c>
      <c r="E95" s="4" t="s">
        <v>27</v>
      </c>
      <c r="F95" s="4">
        <f t="shared" si="9"/>
        <v>800</v>
      </c>
      <c r="G95" s="5">
        <f t="shared" si="15"/>
        <v>1.01</v>
      </c>
      <c r="H95" s="6" t="str">
        <f t="shared" si="10"/>
        <v>INSERT INTO public.coupon (plancode, age, "year", couponrate, benefittype, benefitrate, premiumrate) VALUES('EN60', 27, 28, 8, 'A',800, 1.01);</v>
      </c>
      <c r="I95" s="6" t="str">
        <f t="shared" si="11"/>
        <v>{"age":"27", "year":"28", "couponrate":"8", "benefittype":"A", "benefitrate":"800", "premiumrate":"1.01"}</v>
      </c>
      <c r="J95" s="6" t="str">
        <f t="shared" si="12"/>
        <v>,</v>
      </c>
    </row>
    <row r="96" spans="1:10">
      <c r="A96" s="4" t="str">
        <f>'EN60'!A$3</f>
        <v>EN60</v>
      </c>
      <c r="B96" s="4">
        <f t="shared" si="13"/>
        <v>27</v>
      </c>
      <c r="C96" s="4">
        <f t="shared" si="14"/>
        <v>29</v>
      </c>
      <c r="D96" s="4">
        <f t="shared" si="8"/>
        <v>8</v>
      </c>
      <c r="E96" s="4" t="s">
        <v>27</v>
      </c>
      <c r="F96" s="4">
        <f t="shared" si="9"/>
        <v>800</v>
      </c>
      <c r="G96" s="5">
        <f t="shared" si="15"/>
        <v>1.01</v>
      </c>
      <c r="H96" s="6" t="str">
        <f t="shared" si="10"/>
        <v>INSERT INTO public.coupon (plancode, age, "year", couponrate, benefittype, benefitrate, premiumrate) VALUES('EN60', 27, 29, 8, 'A',800, 1.01);</v>
      </c>
      <c r="I96" s="6" t="str">
        <f t="shared" si="11"/>
        <v>{"age":"27", "year":"29", "couponrate":"8", "benefittype":"A", "benefitrate":"800", "premiumrate":"1.01"}</v>
      </c>
      <c r="J96" s="6" t="str">
        <f t="shared" si="12"/>
        <v>,</v>
      </c>
    </row>
    <row r="97" spans="1:10">
      <c r="A97" s="4" t="str">
        <f>'EN60'!A$3</f>
        <v>EN60</v>
      </c>
      <c r="B97" s="4">
        <f t="shared" si="13"/>
        <v>27</v>
      </c>
      <c r="C97" s="4">
        <f t="shared" si="14"/>
        <v>30</v>
      </c>
      <c r="D97" s="4">
        <f t="shared" si="8"/>
        <v>8</v>
      </c>
      <c r="E97" s="4" t="s">
        <v>27</v>
      </c>
      <c r="F97" s="4">
        <f t="shared" si="9"/>
        <v>800</v>
      </c>
      <c r="G97" s="5">
        <f t="shared" si="15"/>
        <v>1.01</v>
      </c>
      <c r="H97" s="6" t="str">
        <f t="shared" si="10"/>
        <v>INSERT INTO public.coupon (plancode, age, "year", couponrate, benefittype, benefitrate, premiumrate) VALUES('EN60', 27, 30, 8, 'A',800, 1.01);</v>
      </c>
      <c r="I97" s="6" t="str">
        <f t="shared" si="11"/>
        <v>{"age":"27", "year":"30", "couponrate":"8", "benefittype":"A", "benefitrate":"800", "premiumrate":"1.01"}</v>
      </c>
      <c r="J97" s="6" t="str">
        <f t="shared" si="12"/>
        <v>,</v>
      </c>
    </row>
    <row r="98" spans="1:10">
      <c r="A98" s="4" t="str">
        <f>'EN60'!A$3</f>
        <v>EN60</v>
      </c>
      <c r="B98" s="4">
        <f t="shared" si="13"/>
        <v>27</v>
      </c>
      <c r="C98" s="4">
        <f t="shared" si="14"/>
        <v>31</v>
      </c>
      <c r="D98" s="4">
        <f t="shared" si="8"/>
        <v>8</v>
      </c>
      <c r="E98" s="4" t="s">
        <v>27</v>
      </c>
      <c r="F98" s="4">
        <f t="shared" si="9"/>
        <v>800</v>
      </c>
      <c r="G98" s="5">
        <f t="shared" si="15"/>
        <v>1.01</v>
      </c>
      <c r="H98" s="6" t="str">
        <f t="shared" si="10"/>
        <v>INSERT INTO public.coupon (plancode, age, "year", couponrate, benefittype, benefitrate, premiumrate) VALUES('EN60', 27, 31, 8, 'A',800, 1.01);</v>
      </c>
      <c r="I98" s="6" t="str">
        <f t="shared" si="11"/>
        <v>{"age":"27", "year":"31", "couponrate":"8", "benefittype":"A", "benefitrate":"800", "premiumrate":"1.01"}</v>
      </c>
      <c r="J98" s="6" t="str">
        <f t="shared" si="12"/>
        <v>,</v>
      </c>
    </row>
    <row r="99" spans="1:10">
      <c r="A99" s="4" t="str">
        <f>'EN60'!A$3</f>
        <v>EN60</v>
      </c>
      <c r="B99" s="4">
        <f t="shared" si="13"/>
        <v>27</v>
      </c>
      <c r="C99" s="4">
        <f t="shared" si="14"/>
        <v>32</v>
      </c>
      <c r="D99" s="4">
        <f t="shared" si="8"/>
        <v>8</v>
      </c>
      <c r="E99" s="4" t="s">
        <v>27</v>
      </c>
      <c r="F99" s="4">
        <f t="shared" si="9"/>
        <v>800</v>
      </c>
      <c r="G99" s="5">
        <f t="shared" si="15"/>
        <v>1.01</v>
      </c>
      <c r="H99" s="6" t="str">
        <f t="shared" si="10"/>
        <v>INSERT INTO public.coupon (plancode, age, "year", couponrate, benefittype, benefitrate, premiumrate) VALUES('EN60', 27, 32, 8, 'A',800, 1.01);</v>
      </c>
      <c r="I99" s="6" t="str">
        <f t="shared" si="11"/>
        <v>{"age":"27", "year":"32", "couponrate":"8", "benefittype":"A", "benefitrate":"800", "premiumrate":"1.01"}</v>
      </c>
      <c r="J99" s="6" t="str">
        <f t="shared" si="12"/>
        <v>,</v>
      </c>
    </row>
    <row r="100" spans="1:10">
      <c r="A100" s="4" t="str">
        <f>'EN60'!A$3</f>
        <v>EN60</v>
      </c>
      <c r="B100" s="4">
        <f t="shared" si="13"/>
        <v>27</v>
      </c>
      <c r="C100" s="4">
        <f t="shared" si="14"/>
        <v>33</v>
      </c>
      <c r="D100" s="4">
        <f t="shared" si="8"/>
        <v>8</v>
      </c>
      <c r="E100" s="4" t="s">
        <v>27</v>
      </c>
      <c r="F100" s="4">
        <f t="shared" si="9"/>
        <v>800</v>
      </c>
      <c r="G100" s="5">
        <f t="shared" si="15"/>
        <v>1.01</v>
      </c>
      <c r="H100" s="6" t="str">
        <f t="shared" si="10"/>
        <v>INSERT INTO public.coupon (plancode, age, "year", couponrate, benefittype, benefitrate, premiumrate) VALUES('EN60', 27, 33, 8, 'A',800, 1.01);</v>
      </c>
      <c r="I100" s="6" t="str">
        <f t="shared" si="11"/>
        <v>{"age":"27", "year":"33", "couponrate":"8", "benefittype":"A", "benefitrate":"800", "premiumrate":"1.01"}</v>
      </c>
      <c r="J100" s="6" t="str">
        <f t="shared" si="12"/>
        <v>,</v>
      </c>
    </row>
    <row r="101" spans="1:10">
      <c r="A101" s="4" t="str">
        <f>'EN60'!A$3</f>
        <v>EN60</v>
      </c>
      <c r="B101" s="4">
        <f t="shared" si="13"/>
        <v>27</v>
      </c>
      <c r="C101" s="4">
        <f t="shared" si="14"/>
        <v>34</v>
      </c>
      <c r="D101" s="4">
        <f t="shared" si="8"/>
        <v>8</v>
      </c>
      <c r="E101" s="4" t="s">
        <v>27</v>
      </c>
      <c r="F101" s="4">
        <f t="shared" si="9"/>
        <v>800</v>
      </c>
      <c r="G101" s="5">
        <f t="shared" si="15"/>
        <v>1.01</v>
      </c>
      <c r="H101" s="6" t="str">
        <f t="shared" si="10"/>
        <v>INSERT INTO public.coupon (plancode, age, "year", couponrate, benefittype, benefitrate, premiumrate) VALUES('EN60', 27, 34, 8, 'A',800, 1.01);</v>
      </c>
      <c r="I101" s="6" t="str">
        <f t="shared" si="11"/>
        <v>{"age":"27", "year":"34", "couponrate":"8", "benefittype":"A", "benefitrate":"800", "premiumrate":"1.01"}</v>
      </c>
      <c r="J101" s="6" t="str">
        <f t="shared" si="12"/>
        <v>,</v>
      </c>
    </row>
    <row r="102" spans="1:10">
      <c r="A102" s="4" t="str">
        <f>'EN60'!A$3</f>
        <v>EN60</v>
      </c>
      <c r="B102" s="4">
        <f t="shared" si="13"/>
        <v>27</v>
      </c>
      <c r="C102" s="4">
        <f t="shared" si="14"/>
        <v>35</v>
      </c>
      <c r="D102" s="4">
        <f t="shared" si="8"/>
        <v>8</v>
      </c>
      <c r="E102" s="4" t="s">
        <v>27</v>
      </c>
      <c r="F102" s="4">
        <f t="shared" si="9"/>
        <v>800</v>
      </c>
      <c r="G102" s="5">
        <f t="shared" si="15"/>
        <v>1.01</v>
      </c>
      <c r="H102" s="6" t="str">
        <f t="shared" si="10"/>
        <v>INSERT INTO public.coupon (plancode, age, "year", couponrate, benefittype, benefitrate, premiumrate) VALUES('EN60', 27, 35, 8, 'A',800, 1.01);</v>
      </c>
      <c r="I102" s="6" t="str">
        <f t="shared" si="11"/>
        <v>{"age":"27", "year":"35", "couponrate":"8", "benefittype":"A", "benefitrate":"800", "premiumrate":"1.01"}</v>
      </c>
      <c r="J102" s="6" t="str">
        <f t="shared" si="12"/>
        <v>,</v>
      </c>
    </row>
    <row r="103" spans="1:10">
      <c r="A103" s="4" t="str">
        <f>'EN60'!A$3</f>
        <v>EN60</v>
      </c>
      <c r="B103" s="4">
        <f t="shared" si="13"/>
        <v>27</v>
      </c>
      <c r="C103" s="4">
        <f t="shared" si="14"/>
        <v>36</v>
      </c>
      <c r="D103" s="4">
        <f t="shared" si="8"/>
        <v>8</v>
      </c>
      <c r="E103" s="4" t="s">
        <v>27</v>
      </c>
      <c r="F103" s="4">
        <f t="shared" si="9"/>
        <v>800</v>
      </c>
      <c r="G103" s="5">
        <f t="shared" si="15"/>
        <v>1.01</v>
      </c>
      <c r="H103" s="6" t="str">
        <f t="shared" si="10"/>
        <v>INSERT INTO public.coupon (plancode, age, "year", couponrate, benefittype, benefitrate, premiumrate) VALUES('EN60', 27, 36, 8, 'A',800, 1.01);</v>
      </c>
      <c r="I103" s="6" t="str">
        <f t="shared" si="11"/>
        <v>{"age":"27", "year":"36", "couponrate":"8", "benefittype":"A", "benefitrate":"800", "premiumrate":"1.01"}</v>
      </c>
      <c r="J103" s="6" t="str">
        <f t="shared" si="12"/>
        <v>,</v>
      </c>
    </row>
    <row r="104" spans="1:10">
      <c r="A104" s="4" t="str">
        <f>'EN60'!A$3</f>
        <v>EN60</v>
      </c>
      <c r="B104" s="4">
        <f t="shared" si="13"/>
        <v>27</v>
      </c>
      <c r="C104" s="4">
        <f t="shared" si="14"/>
        <v>37</v>
      </c>
      <c r="D104" s="4">
        <f t="shared" si="8"/>
        <v>8</v>
      </c>
      <c r="E104" s="4" t="s">
        <v>27</v>
      </c>
      <c r="F104" s="4">
        <f t="shared" si="9"/>
        <v>800</v>
      </c>
      <c r="G104" s="5">
        <f t="shared" si="15"/>
        <v>1.01</v>
      </c>
      <c r="H104" s="6" t="str">
        <f t="shared" si="10"/>
        <v>INSERT INTO public.coupon (plancode, age, "year", couponrate, benefittype, benefitrate, premiumrate) VALUES('EN60', 27, 37, 8, 'A',800, 1.01);</v>
      </c>
      <c r="I104" s="6" t="str">
        <f t="shared" si="11"/>
        <v>{"age":"27", "year":"37", "couponrate":"8", "benefittype":"A", "benefitrate":"800", "premiumrate":"1.01"}</v>
      </c>
      <c r="J104" s="6" t="str">
        <f t="shared" si="12"/>
        <v>,</v>
      </c>
    </row>
    <row r="105" spans="1:10">
      <c r="A105" s="4" t="str">
        <f>'EN60'!A$3</f>
        <v>EN60</v>
      </c>
      <c r="B105" s="4">
        <f t="shared" si="13"/>
        <v>27</v>
      </c>
      <c r="C105" s="4">
        <f t="shared" si="14"/>
        <v>38</v>
      </c>
      <c r="D105" s="4">
        <f t="shared" si="8"/>
        <v>8</v>
      </c>
      <c r="E105" s="4" t="s">
        <v>27</v>
      </c>
      <c r="F105" s="4">
        <f t="shared" si="9"/>
        <v>800</v>
      </c>
      <c r="G105" s="5">
        <f t="shared" si="15"/>
        <v>1.01</v>
      </c>
      <c r="H105" s="6" t="str">
        <f t="shared" si="10"/>
        <v>INSERT INTO public.coupon (plancode, age, "year", couponrate, benefittype, benefitrate, premiumrate) VALUES('EN60', 27, 38, 8, 'A',800, 1.01);</v>
      </c>
      <c r="I105" s="6" t="str">
        <f t="shared" si="11"/>
        <v>{"age":"27", "year":"38", "couponrate":"8", "benefittype":"A", "benefitrate":"800", "premiumrate":"1.01"}</v>
      </c>
      <c r="J105" s="6" t="str">
        <f t="shared" si="12"/>
        <v>,</v>
      </c>
    </row>
    <row r="106" spans="1:10">
      <c r="A106" s="4" t="str">
        <f>'EN60'!A$3</f>
        <v>EN60</v>
      </c>
      <c r="B106" s="4">
        <f t="shared" si="13"/>
        <v>27</v>
      </c>
      <c r="C106" s="4">
        <f t="shared" si="14"/>
        <v>39</v>
      </c>
      <c r="D106" s="4">
        <f t="shared" si="8"/>
        <v>8</v>
      </c>
      <c r="E106" s="4" t="s">
        <v>27</v>
      </c>
      <c r="F106" s="4">
        <f t="shared" si="9"/>
        <v>800</v>
      </c>
      <c r="G106" s="5">
        <f t="shared" si="15"/>
        <v>1.01</v>
      </c>
      <c r="H106" s="6" t="str">
        <f t="shared" si="10"/>
        <v>INSERT INTO public.coupon (plancode, age, "year", couponrate, benefittype, benefitrate, premiumrate) VALUES('EN60', 27, 39, 8, 'A',800, 1.01);</v>
      </c>
      <c r="I106" s="6" t="str">
        <f t="shared" si="11"/>
        <v>{"age":"27", "year":"39", "couponrate":"8", "benefittype":"A", "benefitrate":"800", "premiumrate":"1.01"}</v>
      </c>
      <c r="J106" s="6" t="str">
        <f t="shared" si="12"/>
        <v>,</v>
      </c>
    </row>
    <row r="107" spans="1:10">
      <c r="A107" s="4" t="str">
        <f>'EN60'!A$3</f>
        <v>EN60</v>
      </c>
      <c r="B107" s="4">
        <f t="shared" si="13"/>
        <v>27</v>
      </c>
      <c r="C107" s="4">
        <f t="shared" si="14"/>
        <v>40</v>
      </c>
      <c r="D107" s="4">
        <f t="shared" si="8"/>
        <v>8</v>
      </c>
      <c r="E107" s="4" t="s">
        <v>27</v>
      </c>
      <c r="F107" s="4">
        <f t="shared" si="9"/>
        <v>800</v>
      </c>
      <c r="G107" s="5">
        <f t="shared" si="15"/>
        <v>1.01</v>
      </c>
      <c r="H107" s="6" t="str">
        <f t="shared" si="10"/>
        <v>INSERT INTO public.coupon (plancode, age, "year", couponrate, benefittype, benefitrate, premiumrate) VALUES('EN60', 27, 40, 8, 'A',800, 1.01);</v>
      </c>
      <c r="I107" s="6" t="str">
        <f t="shared" si="11"/>
        <v>{"age":"27", "year":"40", "couponrate":"8", "benefittype":"A", "benefitrate":"800", "premiumrate":"1.01"}</v>
      </c>
      <c r="J107" s="6" t="str">
        <f t="shared" si="12"/>
        <v>,</v>
      </c>
    </row>
    <row r="108" spans="1:10">
      <c r="A108" s="4" t="str">
        <f>'EN60'!A$3</f>
        <v>EN60</v>
      </c>
      <c r="B108" s="4">
        <f t="shared" si="13"/>
        <v>27</v>
      </c>
      <c r="C108" s="4">
        <f t="shared" si="14"/>
        <v>41</v>
      </c>
      <c r="D108" s="4">
        <f t="shared" si="8"/>
        <v>8</v>
      </c>
      <c r="E108" s="4" t="s">
        <v>27</v>
      </c>
      <c r="F108" s="4">
        <f t="shared" si="9"/>
        <v>800</v>
      </c>
      <c r="G108" s="5">
        <f t="shared" si="15"/>
        <v>1.01</v>
      </c>
      <c r="H108" s="6" t="str">
        <f t="shared" si="10"/>
        <v>INSERT INTO public.coupon (plancode, age, "year", couponrate, benefittype, benefitrate, premiumrate) VALUES('EN60', 27, 41, 8, 'A',800, 1.01);</v>
      </c>
      <c r="I108" s="6" t="str">
        <f t="shared" si="11"/>
        <v>{"age":"27", "year":"41", "couponrate":"8", "benefittype":"A", "benefitrate":"800", "premiumrate":"1.01"}</v>
      </c>
      <c r="J108" s="6" t="str">
        <f t="shared" si="12"/>
        <v>,</v>
      </c>
    </row>
    <row r="109" spans="1:10">
      <c r="A109" s="4" t="str">
        <f>'EN60'!A$3</f>
        <v>EN60</v>
      </c>
      <c r="B109" s="4">
        <f t="shared" si="13"/>
        <v>27</v>
      </c>
      <c r="C109" s="4">
        <f t="shared" si="14"/>
        <v>42</v>
      </c>
      <c r="D109" s="4">
        <f t="shared" si="8"/>
        <v>8</v>
      </c>
      <c r="E109" s="4" t="s">
        <v>27</v>
      </c>
      <c r="F109" s="4">
        <f t="shared" si="9"/>
        <v>800</v>
      </c>
      <c r="G109" s="5">
        <f t="shared" si="15"/>
        <v>1.01</v>
      </c>
      <c r="H109" s="6" t="str">
        <f t="shared" si="10"/>
        <v>INSERT INTO public.coupon (plancode, age, "year", couponrate, benefittype, benefitrate, premiumrate) VALUES('EN60', 27, 42, 8, 'A',800, 1.01);</v>
      </c>
      <c r="I109" s="6" t="str">
        <f t="shared" si="11"/>
        <v>{"age":"27", "year":"42", "couponrate":"8", "benefittype":"A", "benefitrate":"800", "premiumrate":"1.01"}</v>
      </c>
      <c r="J109" s="6" t="str">
        <f t="shared" si="12"/>
        <v>,</v>
      </c>
    </row>
    <row r="110" spans="1:10">
      <c r="A110" s="4" t="str">
        <f>'EN60'!A$3</f>
        <v>EN60</v>
      </c>
      <c r="B110" s="4">
        <f t="shared" si="13"/>
        <v>27</v>
      </c>
      <c r="C110" s="4">
        <f t="shared" si="14"/>
        <v>43</v>
      </c>
      <c r="D110" s="4">
        <f t="shared" si="8"/>
        <v>8</v>
      </c>
      <c r="E110" s="4" t="s">
        <v>27</v>
      </c>
      <c r="F110" s="4">
        <f t="shared" si="9"/>
        <v>800</v>
      </c>
      <c r="G110" s="5">
        <f t="shared" si="15"/>
        <v>1.01</v>
      </c>
      <c r="H110" s="6" t="str">
        <f t="shared" si="10"/>
        <v>INSERT INTO public.coupon (plancode, age, "year", couponrate, benefittype, benefitrate, premiumrate) VALUES('EN60', 27, 43, 8, 'A',800, 1.01);</v>
      </c>
      <c r="I110" s="6" t="str">
        <f t="shared" si="11"/>
        <v>{"age":"27", "year":"43", "couponrate":"8", "benefittype":"A", "benefitrate":"800", "premiumrate":"1.01"}</v>
      </c>
      <c r="J110" s="6" t="str">
        <f t="shared" si="12"/>
        <v>,</v>
      </c>
    </row>
    <row r="111" spans="1:10">
      <c r="A111" s="4" t="str">
        <f>'EN60'!A$3</f>
        <v>EN60</v>
      </c>
      <c r="B111" s="4">
        <f t="shared" si="13"/>
        <v>27</v>
      </c>
      <c r="C111" s="4">
        <f t="shared" si="14"/>
        <v>44</v>
      </c>
      <c r="D111" s="4">
        <f t="shared" si="8"/>
        <v>8</v>
      </c>
      <c r="E111" s="4" t="s">
        <v>27</v>
      </c>
      <c r="F111" s="4">
        <f t="shared" si="9"/>
        <v>800</v>
      </c>
      <c r="G111" s="5">
        <f t="shared" si="15"/>
        <v>1.01</v>
      </c>
      <c r="H111" s="6" t="str">
        <f t="shared" si="10"/>
        <v>INSERT INTO public.coupon (plancode, age, "year", couponrate, benefittype, benefitrate, premiumrate) VALUES('EN60', 27, 44, 8, 'A',800, 1.01);</v>
      </c>
      <c r="I111" s="6" t="str">
        <f t="shared" si="11"/>
        <v>{"age":"27", "year":"44", "couponrate":"8", "benefittype":"A", "benefitrate":"800", "premiumrate":"1.01"}</v>
      </c>
      <c r="J111" s="6" t="str">
        <f t="shared" si="12"/>
        <v>,</v>
      </c>
    </row>
    <row r="112" spans="1:10">
      <c r="A112" s="4" t="str">
        <f>'EN60'!A$3</f>
        <v>EN60</v>
      </c>
      <c r="B112" s="4">
        <f t="shared" si="13"/>
        <v>27</v>
      </c>
      <c r="C112" s="4">
        <f t="shared" si="14"/>
        <v>45</v>
      </c>
      <c r="D112" s="4">
        <f t="shared" si="8"/>
        <v>8</v>
      </c>
      <c r="E112" s="4" t="s">
        <v>27</v>
      </c>
      <c r="F112" s="4">
        <f t="shared" si="9"/>
        <v>800</v>
      </c>
      <c r="G112" s="5">
        <f t="shared" si="15"/>
        <v>1.01</v>
      </c>
      <c r="H112" s="6" t="str">
        <f t="shared" si="10"/>
        <v>INSERT INTO public.coupon (plancode, age, "year", couponrate, benefittype, benefitrate, premiumrate) VALUES('EN60', 27, 45, 8, 'A',800, 1.01);</v>
      </c>
      <c r="I112" s="6" t="str">
        <f t="shared" si="11"/>
        <v>{"age":"27", "year":"45", "couponrate":"8", "benefittype":"A", "benefitrate":"800", "premiumrate":"1.01"}</v>
      </c>
      <c r="J112" s="6" t="str">
        <f t="shared" si="12"/>
        <v>,</v>
      </c>
    </row>
    <row r="113" spans="1:10">
      <c r="A113" s="4" t="str">
        <f>'EN60'!A$3</f>
        <v>EN60</v>
      </c>
      <c r="B113" s="4">
        <f t="shared" si="13"/>
        <v>27</v>
      </c>
      <c r="C113" s="4">
        <f t="shared" si="14"/>
        <v>46</v>
      </c>
      <c r="D113" s="4">
        <f t="shared" si="8"/>
        <v>8</v>
      </c>
      <c r="E113" s="4" t="s">
        <v>27</v>
      </c>
      <c r="F113" s="4">
        <f t="shared" si="9"/>
        <v>800</v>
      </c>
      <c r="G113" s="5">
        <f t="shared" si="15"/>
        <v>1.01</v>
      </c>
      <c r="H113" s="6" t="str">
        <f t="shared" si="10"/>
        <v>INSERT INTO public.coupon (plancode, age, "year", couponrate, benefittype, benefitrate, premiumrate) VALUES('EN60', 27, 46, 8, 'A',800, 1.01);</v>
      </c>
      <c r="I113" s="6" t="str">
        <f t="shared" si="11"/>
        <v>{"age":"27", "year":"46", "couponrate":"8", "benefittype":"A", "benefitrate":"800", "premiumrate":"1.01"}</v>
      </c>
      <c r="J113" s="6" t="str">
        <f t="shared" si="12"/>
        <v>,</v>
      </c>
    </row>
    <row r="114" spans="1:10">
      <c r="A114" s="4" t="str">
        <f>'EN60'!A$3</f>
        <v>EN60</v>
      </c>
      <c r="B114" s="4">
        <f t="shared" si="13"/>
        <v>27</v>
      </c>
      <c r="C114" s="4">
        <f t="shared" si="14"/>
        <v>47</v>
      </c>
      <c r="D114" s="4">
        <f t="shared" si="8"/>
        <v>8</v>
      </c>
      <c r="E114" s="4" t="s">
        <v>27</v>
      </c>
      <c r="F114" s="4">
        <f t="shared" si="9"/>
        <v>800</v>
      </c>
      <c r="G114" s="5">
        <f t="shared" si="15"/>
        <v>1.01</v>
      </c>
      <c r="H114" s="6" t="str">
        <f t="shared" si="10"/>
        <v>INSERT INTO public.coupon (plancode, age, "year", couponrate, benefittype, benefitrate, premiumrate) VALUES('EN60', 27, 47, 8, 'A',800, 1.01);</v>
      </c>
      <c r="I114" s="6" t="str">
        <f t="shared" si="11"/>
        <v>{"age":"27", "year":"47", "couponrate":"8", "benefittype":"A", "benefitrate":"800", "premiumrate":"1.01"}</v>
      </c>
      <c r="J114" s="6" t="str">
        <f t="shared" si="12"/>
        <v>,</v>
      </c>
    </row>
    <row r="115" spans="1:10">
      <c r="A115" s="4" t="str">
        <f>'EN60'!A$3</f>
        <v>EN60</v>
      </c>
      <c r="B115" s="4">
        <f t="shared" si="13"/>
        <v>27</v>
      </c>
      <c r="C115" s="4">
        <f t="shared" si="14"/>
        <v>48</v>
      </c>
      <c r="D115" s="4">
        <f t="shared" si="8"/>
        <v>8</v>
      </c>
      <c r="E115" s="4" t="s">
        <v>27</v>
      </c>
      <c r="F115" s="4">
        <f t="shared" si="9"/>
        <v>800</v>
      </c>
      <c r="G115" s="5">
        <f t="shared" si="15"/>
        <v>1.01</v>
      </c>
      <c r="H115" s="6" t="str">
        <f t="shared" si="10"/>
        <v>INSERT INTO public.coupon (plancode, age, "year", couponrate, benefittype, benefitrate, premiumrate) VALUES('EN60', 27, 48, 8, 'A',800, 1.01);</v>
      </c>
      <c r="I115" s="6" t="str">
        <f t="shared" si="11"/>
        <v>{"age":"27", "year":"48", "couponrate":"8", "benefittype":"A", "benefitrate":"800", "premiumrate":"1.01"}</v>
      </c>
      <c r="J115" s="6" t="str">
        <f t="shared" si="12"/>
        <v>,</v>
      </c>
    </row>
    <row r="116" spans="1:10">
      <c r="A116" s="4" t="str">
        <f>'EN60'!A$3</f>
        <v>EN60</v>
      </c>
      <c r="B116" s="4">
        <f t="shared" si="13"/>
        <v>27</v>
      </c>
      <c r="C116" s="4">
        <f t="shared" si="14"/>
        <v>49</v>
      </c>
      <c r="D116" s="4">
        <f t="shared" si="8"/>
        <v>8</v>
      </c>
      <c r="E116" s="4" t="s">
        <v>27</v>
      </c>
      <c r="F116" s="4">
        <f t="shared" si="9"/>
        <v>800</v>
      </c>
      <c r="G116" s="5">
        <f t="shared" si="15"/>
        <v>1.01</v>
      </c>
      <c r="H116" s="6" t="str">
        <f t="shared" si="10"/>
        <v>INSERT INTO public.coupon (plancode, age, "year", couponrate, benefittype, benefitrate, premiumrate) VALUES('EN60', 27, 49, 8, 'A',800, 1.01);</v>
      </c>
      <c r="I116" s="6" t="str">
        <f t="shared" si="11"/>
        <v>{"age":"27", "year":"49", "couponrate":"8", "benefittype":"A", "benefitrate":"800", "premiumrate":"1.01"}</v>
      </c>
      <c r="J116" s="6" t="str">
        <f t="shared" si="12"/>
        <v>,</v>
      </c>
    </row>
    <row r="117" spans="1:10">
      <c r="A117" s="4" t="str">
        <f>'EN60'!A$3</f>
        <v>EN60</v>
      </c>
      <c r="B117" s="4">
        <f t="shared" si="13"/>
        <v>27</v>
      </c>
      <c r="C117" s="4">
        <f t="shared" si="14"/>
        <v>50</v>
      </c>
      <c r="D117" s="4">
        <f t="shared" si="8"/>
        <v>8</v>
      </c>
      <c r="E117" s="4" t="s">
        <v>27</v>
      </c>
      <c r="F117" s="4">
        <f t="shared" si="9"/>
        <v>800</v>
      </c>
      <c r="G117" s="5">
        <f t="shared" si="15"/>
        <v>1.01</v>
      </c>
      <c r="H117" s="6" t="str">
        <f t="shared" si="10"/>
        <v>INSERT INTO public.coupon (plancode, age, "year", couponrate, benefittype, benefitrate, premiumrate) VALUES('EN60', 27, 50, 8, 'A',800, 1.01);</v>
      </c>
      <c r="I117" s="6" t="str">
        <f t="shared" si="11"/>
        <v>{"age":"27", "year":"50", "couponrate":"8", "benefittype":"A", "benefitrate":"800", "premiumrate":"1.01"}</v>
      </c>
      <c r="J117" s="6" t="str">
        <f t="shared" si="12"/>
        <v>,</v>
      </c>
    </row>
    <row r="118" spans="1:10">
      <c r="A118" s="4" t="str">
        <f>'EN60'!A$3</f>
        <v>EN60</v>
      </c>
      <c r="B118" s="4">
        <f t="shared" si="13"/>
        <v>27</v>
      </c>
      <c r="C118" s="4">
        <f t="shared" si="14"/>
        <v>51</v>
      </c>
      <c r="D118" s="4">
        <f t="shared" si="8"/>
        <v>8</v>
      </c>
      <c r="E118" s="4" t="s">
        <v>27</v>
      </c>
      <c r="F118" s="4">
        <f t="shared" si="9"/>
        <v>800</v>
      </c>
      <c r="G118" s="5">
        <f t="shared" si="15"/>
        <v>1.01</v>
      </c>
      <c r="H118" s="6" t="str">
        <f t="shared" si="10"/>
        <v>INSERT INTO public.coupon (plancode, age, "year", couponrate, benefittype, benefitrate, premiumrate) VALUES('EN60', 27, 51, 8, 'A',800, 1.01);</v>
      </c>
      <c r="I118" s="6" t="str">
        <f t="shared" si="11"/>
        <v>{"age":"27", "year":"51", "couponrate":"8", "benefittype":"A", "benefitrate":"800", "premiumrate":"1.01"}</v>
      </c>
      <c r="J118" s="6" t="str">
        <f t="shared" si="12"/>
        <v>,</v>
      </c>
    </row>
    <row r="119" spans="1:10">
      <c r="A119" s="4" t="str">
        <f>'EN60'!A$3</f>
        <v>EN60</v>
      </c>
      <c r="B119" s="4">
        <f t="shared" si="13"/>
        <v>27</v>
      </c>
      <c r="C119" s="4">
        <f t="shared" si="14"/>
        <v>52</v>
      </c>
      <c r="D119" s="4">
        <f t="shared" si="8"/>
        <v>8</v>
      </c>
      <c r="E119" s="4" t="s">
        <v>27</v>
      </c>
      <c r="F119" s="4">
        <f t="shared" si="9"/>
        <v>800</v>
      </c>
      <c r="G119" s="5">
        <f t="shared" si="15"/>
        <v>1.01</v>
      </c>
      <c r="H119" s="6" t="str">
        <f t="shared" si="10"/>
        <v>INSERT INTO public.coupon (plancode, age, "year", couponrate, benefittype, benefitrate, premiumrate) VALUES('EN60', 27, 52, 8, 'A',800, 1.01);</v>
      </c>
      <c r="I119" s="6" t="str">
        <f t="shared" si="11"/>
        <v>{"age":"27", "year":"52", "couponrate":"8", "benefittype":"A", "benefitrate":"800", "premiumrate":"1.01"}</v>
      </c>
      <c r="J119" s="6" t="str">
        <f t="shared" si="12"/>
        <v>,</v>
      </c>
    </row>
    <row r="120" spans="1:10">
      <c r="A120" s="4" t="str">
        <f>'EN60'!A$3</f>
        <v>EN60</v>
      </c>
      <c r="B120" s="4">
        <f t="shared" si="13"/>
        <v>27</v>
      </c>
      <c r="C120" s="4">
        <f t="shared" si="14"/>
        <v>53</v>
      </c>
      <c r="D120" s="4">
        <f t="shared" si="8"/>
        <v>0</v>
      </c>
      <c r="E120" s="4" t="s">
        <v>27</v>
      </c>
      <c r="F120" s="4">
        <f t="shared" si="9"/>
        <v>800</v>
      </c>
      <c r="G120" s="5">
        <f t="shared" si="15"/>
        <v>1.01</v>
      </c>
      <c r="H120" s="6" t="str">
        <f t="shared" si="10"/>
        <v>INSERT INTO public.coupon (plancode, age, "year", couponrate, benefittype, benefitrate, premiumrate) VALUES('EN60', 27, 53, 0, 'A',800, 1.01);</v>
      </c>
      <c r="I120" s="6" t="str">
        <f t="shared" si="11"/>
        <v>{"age":"27", "year":"53", "couponrate":"0", "benefittype":"A", "benefitrate":"800", "premiumrate":"1.01"}</v>
      </c>
    </row>
    <row r="121" spans="1:10">
      <c r="C121" s="6"/>
      <c r="I121" s="6" t="s">
        <v>28</v>
      </c>
    </row>
    <row r="122" spans="1:10">
      <c r="A122" s="3" t="s">
        <v>2</v>
      </c>
      <c r="B122" s="3" t="s">
        <v>23</v>
      </c>
      <c r="C122" s="3" t="s">
        <v>24</v>
      </c>
      <c r="D122" s="3" t="s">
        <v>25</v>
      </c>
      <c r="E122" s="3" t="s">
        <v>8</v>
      </c>
      <c r="F122" s="3" t="s">
        <v>26</v>
      </c>
      <c r="G122" s="3" t="s">
        <v>4</v>
      </c>
      <c r="I122" s="6" t="str">
        <f>"[{""plancode"":"""&amp;A123&amp;""",""returncash"":"""&amp;B$7&amp;""",""ytable"":"""&amp;C$7&amp;""",""maturerate"":"""&amp;B$3&amp;""",""maturepmrate"":"""&amp;C$3&amp;""",""coupon"":["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123" spans="1:10">
      <c r="A123" s="4" t="str">
        <f>'EN60'!A$3</f>
        <v>EN60</v>
      </c>
      <c r="B123" s="8">
        <v>28</v>
      </c>
      <c r="C123" s="4">
        <v>1</v>
      </c>
      <c r="D123" s="4">
        <f t="shared" ref="D123:D174" si="16">IF(C123+B123=80,0,8)</f>
        <v>8</v>
      </c>
      <c r="E123" s="4" t="s">
        <v>27</v>
      </c>
      <c r="F123" s="4">
        <f t="shared" ref="F123:F174" si="17">IF(C123&gt;7, 800, C123*100)</f>
        <v>100</v>
      </c>
      <c r="G123" s="5">
        <f>'EN60'!C$3</f>
        <v>1.01</v>
      </c>
      <c r="H123" s="6" t="str">
        <f t="shared" ref="H123:H174" si="18">"INSERT INTO public.coupon ("&amp;A$11&amp;", "&amp;B$11&amp;", """&amp;C$11&amp;""", "&amp;D$11&amp;", "&amp;E$11&amp;", "&amp;F$11&amp;", "&amp;G$11&amp;") VALUES('"&amp;A123&amp;"', "&amp;B123&amp;", "&amp;C123&amp;", "&amp;D123&amp;", '"&amp;E123&amp;"',"&amp;F123&amp;", "&amp;G123&amp;");"</f>
        <v>INSERT INTO public.coupon (plancode, age, "year", couponrate, benefittype, benefitrate, premiumrate) VALUES('EN60', 28, 1, 8, 'A',100, 1.01);</v>
      </c>
      <c r="I123" s="6" t="str">
        <f t="shared" ref="I123:I174" si="19">"{""age"":"""&amp;B123&amp;""", ""year"":"""&amp;C123&amp;""", ""couponrate"":"""&amp;D123&amp;""", ""benefittype"":"""&amp;E123&amp;""", ""benefitrate"":"""&amp;F123&amp;""", """&amp;G$11&amp;""":"""&amp;G123&amp;"""}"</f>
        <v>{"age":"28", "year":"1", "couponrate":"8", "benefittype":"A", "benefitrate":"100", "premiumrate":"1.01"}</v>
      </c>
      <c r="J123" s="6" t="str">
        <f t="shared" ref="J123:J173" si="20">IF(OR(I124="]", I123="[", I123="]"), "", ",")</f>
        <v>,</v>
      </c>
    </row>
    <row r="124" spans="1:10">
      <c r="A124" s="4" t="str">
        <f>'EN60'!A$3</f>
        <v>EN60</v>
      </c>
      <c r="B124" s="4">
        <f t="shared" ref="B124:B174" si="21">B123</f>
        <v>28</v>
      </c>
      <c r="C124" s="4">
        <f t="shared" ref="C124:C174" si="22">IF(B124+C123+1&gt;80,"",C123+1)</f>
        <v>2</v>
      </c>
      <c r="D124" s="4">
        <f t="shared" si="16"/>
        <v>8</v>
      </c>
      <c r="E124" s="4" t="s">
        <v>27</v>
      </c>
      <c r="F124" s="4">
        <f t="shared" si="17"/>
        <v>200</v>
      </c>
      <c r="G124" s="5">
        <f t="shared" ref="G124:G174" si="23">G123</f>
        <v>1.01</v>
      </c>
      <c r="H124" s="6" t="str">
        <f t="shared" si="18"/>
        <v>INSERT INTO public.coupon (plancode, age, "year", couponrate, benefittype, benefitrate, premiumrate) VALUES('EN60', 28, 2, 8, 'A',200, 1.01);</v>
      </c>
      <c r="I124" s="6" t="str">
        <f t="shared" si="19"/>
        <v>{"age":"28", "year":"2", "couponrate":"8", "benefittype":"A", "benefitrate":"200", "premiumrate":"1.01"}</v>
      </c>
      <c r="J124" s="6" t="str">
        <f t="shared" si="20"/>
        <v>,</v>
      </c>
    </row>
    <row r="125" spans="1:10">
      <c r="A125" s="4" t="str">
        <f>'EN60'!A$3</f>
        <v>EN60</v>
      </c>
      <c r="B125" s="4">
        <f t="shared" si="21"/>
        <v>28</v>
      </c>
      <c r="C125" s="4">
        <f t="shared" si="22"/>
        <v>3</v>
      </c>
      <c r="D125" s="4">
        <f t="shared" si="16"/>
        <v>8</v>
      </c>
      <c r="E125" s="4" t="s">
        <v>27</v>
      </c>
      <c r="F125" s="4">
        <f t="shared" si="17"/>
        <v>300</v>
      </c>
      <c r="G125" s="5">
        <f t="shared" si="23"/>
        <v>1.01</v>
      </c>
      <c r="H125" s="6" t="str">
        <f t="shared" si="18"/>
        <v>INSERT INTO public.coupon (plancode, age, "year", couponrate, benefittype, benefitrate, premiumrate) VALUES('EN60', 28, 3, 8, 'A',300, 1.01);</v>
      </c>
      <c r="I125" s="6" t="str">
        <f t="shared" si="19"/>
        <v>{"age":"28", "year":"3", "couponrate":"8", "benefittype":"A", "benefitrate":"300", "premiumrate":"1.01"}</v>
      </c>
      <c r="J125" s="6" t="str">
        <f t="shared" si="20"/>
        <v>,</v>
      </c>
    </row>
    <row r="126" spans="1:10">
      <c r="A126" s="4" t="str">
        <f>'EN60'!A$3</f>
        <v>EN60</v>
      </c>
      <c r="B126" s="4">
        <f t="shared" si="21"/>
        <v>28</v>
      </c>
      <c r="C126" s="4">
        <f t="shared" si="22"/>
        <v>4</v>
      </c>
      <c r="D126" s="4">
        <f t="shared" si="16"/>
        <v>8</v>
      </c>
      <c r="E126" s="4" t="s">
        <v>27</v>
      </c>
      <c r="F126" s="4">
        <f t="shared" si="17"/>
        <v>400</v>
      </c>
      <c r="G126" s="5">
        <f t="shared" si="23"/>
        <v>1.01</v>
      </c>
      <c r="H126" s="6" t="str">
        <f t="shared" si="18"/>
        <v>INSERT INTO public.coupon (plancode, age, "year", couponrate, benefittype, benefitrate, premiumrate) VALUES('EN60', 28, 4, 8, 'A',400, 1.01);</v>
      </c>
      <c r="I126" s="6" t="str">
        <f t="shared" si="19"/>
        <v>{"age":"28", "year":"4", "couponrate":"8", "benefittype":"A", "benefitrate":"400", "premiumrate":"1.01"}</v>
      </c>
      <c r="J126" s="6" t="str">
        <f t="shared" si="20"/>
        <v>,</v>
      </c>
    </row>
    <row r="127" spans="1:10">
      <c r="A127" s="4" t="str">
        <f>'EN60'!A$3</f>
        <v>EN60</v>
      </c>
      <c r="B127" s="4">
        <f t="shared" si="21"/>
        <v>28</v>
      </c>
      <c r="C127" s="4">
        <f t="shared" si="22"/>
        <v>5</v>
      </c>
      <c r="D127" s="4">
        <f t="shared" si="16"/>
        <v>8</v>
      </c>
      <c r="E127" s="4" t="s">
        <v>27</v>
      </c>
      <c r="F127" s="4">
        <f t="shared" si="17"/>
        <v>500</v>
      </c>
      <c r="G127" s="5">
        <f t="shared" si="23"/>
        <v>1.01</v>
      </c>
      <c r="H127" s="6" t="str">
        <f t="shared" si="18"/>
        <v>INSERT INTO public.coupon (plancode, age, "year", couponrate, benefittype, benefitrate, premiumrate) VALUES('EN60', 28, 5, 8, 'A',500, 1.01);</v>
      </c>
      <c r="I127" s="6" t="str">
        <f t="shared" si="19"/>
        <v>{"age":"28", "year":"5", "couponrate":"8", "benefittype":"A", "benefitrate":"500", "premiumrate":"1.01"}</v>
      </c>
      <c r="J127" s="6" t="str">
        <f t="shared" si="20"/>
        <v>,</v>
      </c>
    </row>
    <row r="128" spans="1:10">
      <c r="A128" s="4" t="str">
        <f>'EN60'!A$3</f>
        <v>EN60</v>
      </c>
      <c r="B128" s="4">
        <f t="shared" si="21"/>
        <v>28</v>
      </c>
      <c r="C128" s="4">
        <f t="shared" si="22"/>
        <v>6</v>
      </c>
      <c r="D128" s="4">
        <f t="shared" si="16"/>
        <v>8</v>
      </c>
      <c r="E128" s="4" t="s">
        <v>27</v>
      </c>
      <c r="F128" s="4">
        <f t="shared" si="17"/>
        <v>600</v>
      </c>
      <c r="G128" s="5">
        <f t="shared" si="23"/>
        <v>1.01</v>
      </c>
      <c r="H128" s="6" t="str">
        <f t="shared" si="18"/>
        <v>INSERT INTO public.coupon (plancode, age, "year", couponrate, benefittype, benefitrate, premiumrate) VALUES('EN60', 28, 6, 8, 'A',600, 1.01);</v>
      </c>
      <c r="I128" s="6" t="str">
        <f t="shared" si="19"/>
        <v>{"age":"28", "year":"6", "couponrate":"8", "benefittype":"A", "benefitrate":"600", "premiumrate":"1.01"}</v>
      </c>
      <c r="J128" s="6" t="str">
        <f t="shared" si="20"/>
        <v>,</v>
      </c>
    </row>
    <row r="129" spans="1:10">
      <c r="A129" s="4" t="str">
        <f>'EN60'!A$3</f>
        <v>EN60</v>
      </c>
      <c r="B129" s="4">
        <f t="shared" si="21"/>
        <v>28</v>
      </c>
      <c r="C129" s="4">
        <f t="shared" si="22"/>
        <v>7</v>
      </c>
      <c r="D129" s="4">
        <f t="shared" si="16"/>
        <v>8</v>
      </c>
      <c r="E129" s="4" t="s">
        <v>27</v>
      </c>
      <c r="F129" s="4">
        <f t="shared" si="17"/>
        <v>700</v>
      </c>
      <c r="G129" s="5">
        <f t="shared" si="23"/>
        <v>1.01</v>
      </c>
      <c r="H129" s="6" t="str">
        <f t="shared" si="18"/>
        <v>INSERT INTO public.coupon (plancode, age, "year", couponrate, benefittype, benefitrate, premiumrate) VALUES('EN60', 28, 7, 8, 'A',700, 1.01);</v>
      </c>
      <c r="I129" s="6" t="str">
        <f t="shared" si="19"/>
        <v>{"age":"28", "year":"7", "couponrate":"8", "benefittype":"A", "benefitrate":"700", "premiumrate":"1.01"}</v>
      </c>
      <c r="J129" s="6" t="str">
        <f t="shared" si="20"/>
        <v>,</v>
      </c>
    </row>
    <row r="130" spans="1:10">
      <c r="A130" s="4" t="str">
        <f>'EN60'!A$3</f>
        <v>EN60</v>
      </c>
      <c r="B130" s="4">
        <f t="shared" si="21"/>
        <v>28</v>
      </c>
      <c r="C130" s="4">
        <f t="shared" si="22"/>
        <v>8</v>
      </c>
      <c r="D130" s="4">
        <f t="shared" si="16"/>
        <v>8</v>
      </c>
      <c r="E130" s="4" t="s">
        <v>27</v>
      </c>
      <c r="F130" s="4">
        <f t="shared" si="17"/>
        <v>800</v>
      </c>
      <c r="G130" s="5">
        <f t="shared" si="23"/>
        <v>1.01</v>
      </c>
      <c r="H130" s="6" t="str">
        <f t="shared" si="18"/>
        <v>INSERT INTO public.coupon (plancode, age, "year", couponrate, benefittype, benefitrate, premiumrate) VALUES('EN60', 28, 8, 8, 'A',800, 1.01);</v>
      </c>
      <c r="I130" s="6" t="str">
        <f t="shared" si="19"/>
        <v>{"age":"28", "year":"8", "couponrate":"8", "benefittype":"A", "benefitrate":"800", "premiumrate":"1.01"}</v>
      </c>
      <c r="J130" s="6" t="str">
        <f t="shared" si="20"/>
        <v>,</v>
      </c>
    </row>
    <row r="131" spans="1:10">
      <c r="A131" s="4" t="str">
        <f>'EN60'!A$3</f>
        <v>EN60</v>
      </c>
      <c r="B131" s="4">
        <f t="shared" si="21"/>
        <v>28</v>
      </c>
      <c r="C131" s="4">
        <f t="shared" si="22"/>
        <v>9</v>
      </c>
      <c r="D131" s="4">
        <f t="shared" si="16"/>
        <v>8</v>
      </c>
      <c r="E131" s="4" t="s">
        <v>27</v>
      </c>
      <c r="F131" s="4">
        <f t="shared" si="17"/>
        <v>800</v>
      </c>
      <c r="G131" s="5">
        <f t="shared" si="23"/>
        <v>1.01</v>
      </c>
      <c r="H131" s="6" t="str">
        <f t="shared" si="18"/>
        <v>INSERT INTO public.coupon (plancode, age, "year", couponrate, benefittype, benefitrate, premiumrate) VALUES('EN60', 28, 9, 8, 'A',800, 1.01);</v>
      </c>
      <c r="I131" s="6" t="str">
        <f t="shared" si="19"/>
        <v>{"age":"28", "year":"9", "couponrate":"8", "benefittype":"A", "benefitrate":"800", "premiumrate":"1.01"}</v>
      </c>
      <c r="J131" s="6" t="str">
        <f t="shared" si="20"/>
        <v>,</v>
      </c>
    </row>
    <row r="132" spans="1:10">
      <c r="A132" s="4" t="str">
        <f>'EN60'!A$3</f>
        <v>EN60</v>
      </c>
      <c r="B132" s="4">
        <f t="shared" si="21"/>
        <v>28</v>
      </c>
      <c r="C132" s="4">
        <f t="shared" si="22"/>
        <v>10</v>
      </c>
      <c r="D132" s="4">
        <f t="shared" si="16"/>
        <v>8</v>
      </c>
      <c r="E132" s="4" t="s">
        <v>27</v>
      </c>
      <c r="F132" s="4">
        <f t="shared" si="17"/>
        <v>800</v>
      </c>
      <c r="G132" s="5">
        <f t="shared" si="23"/>
        <v>1.01</v>
      </c>
      <c r="H132" s="6" t="str">
        <f t="shared" si="18"/>
        <v>INSERT INTO public.coupon (plancode, age, "year", couponrate, benefittype, benefitrate, premiumrate) VALUES('EN60', 28, 10, 8, 'A',800, 1.01);</v>
      </c>
      <c r="I132" s="6" t="str">
        <f t="shared" si="19"/>
        <v>{"age":"28", "year":"10", "couponrate":"8", "benefittype":"A", "benefitrate":"800", "premiumrate":"1.01"}</v>
      </c>
      <c r="J132" s="6" t="str">
        <f t="shared" si="20"/>
        <v>,</v>
      </c>
    </row>
    <row r="133" spans="1:10">
      <c r="A133" s="4" t="str">
        <f>'EN60'!A$3</f>
        <v>EN60</v>
      </c>
      <c r="B133" s="4">
        <f t="shared" si="21"/>
        <v>28</v>
      </c>
      <c r="C133" s="4">
        <f t="shared" si="22"/>
        <v>11</v>
      </c>
      <c r="D133" s="4">
        <f t="shared" si="16"/>
        <v>8</v>
      </c>
      <c r="E133" s="4" t="s">
        <v>27</v>
      </c>
      <c r="F133" s="4">
        <f t="shared" si="17"/>
        <v>800</v>
      </c>
      <c r="G133" s="5">
        <f t="shared" si="23"/>
        <v>1.01</v>
      </c>
      <c r="H133" s="6" t="str">
        <f t="shared" si="18"/>
        <v>INSERT INTO public.coupon (plancode, age, "year", couponrate, benefittype, benefitrate, premiumrate) VALUES('EN60', 28, 11, 8, 'A',800, 1.01);</v>
      </c>
      <c r="I133" s="6" t="str">
        <f t="shared" si="19"/>
        <v>{"age":"28", "year":"11", "couponrate":"8", "benefittype":"A", "benefitrate":"800", "premiumrate":"1.01"}</v>
      </c>
      <c r="J133" s="6" t="str">
        <f t="shared" si="20"/>
        <v>,</v>
      </c>
    </row>
    <row r="134" spans="1:10">
      <c r="A134" s="4" t="str">
        <f>'EN60'!A$3</f>
        <v>EN60</v>
      </c>
      <c r="B134" s="4">
        <f t="shared" si="21"/>
        <v>28</v>
      </c>
      <c r="C134" s="4">
        <f t="shared" si="22"/>
        <v>12</v>
      </c>
      <c r="D134" s="4">
        <f t="shared" si="16"/>
        <v>8</v>
      </c>
      <c r="E134" s="4" t="s">
        <v>27</v>
      </c>
      <c r="F134" s="4">
        <f t="shared" si="17"/>
        <v>800</v>
      </c>
      <c r="G134" s="5">
        <f t="shared" si="23"/>
        <v>1.01</v>
      </c>
      <c r="H134" s="6" t="str">
        <f t="shared" si="18"/>
        <v>INSERT INTO public.coupon (plancode, age, "year", couponrate, benefittype, benefitrate, premiumrate) VALUES('EN60', 28, 12, 8, 'A',800, 1.01);</v>
      </c>
      <c r="I134" s="6" t="str">
        <f t="shared" si="19"/>
        <v>{"age":"28", "year":"12", "couponrate":"8", "benefittype":"A", "benefitrate":"800", "premiumrate":"1.01"}</v>
      </c>
      <c r="J134" s="6" t="str">
        <f t="shared" si="20"/>
        <v>,</v>
      </c>
    </row>
    <row r="135" spans="1:10">
      <c r="A135" s="4" t="str">
        <f>'EN60'!A$3</f>
        <v>EN60</v>
      </c>
      <c r="B135" s="4">
        <f t="shared" si="21"/>
        <v>28</v>
      </c>
      <c r="C135" s="4">
        <f t="shared" si="22"/>
        <v>13</v>
      </c>
      <c r="D135" s="4">
        <f t="shared" si="16"/>
        <v>8</v>
      </c>
      <c r="E135" s="4" t="s">
        <v>27</v>
      </c>
      <c r="F135" s="4">
        <f t="shared" si="17"/>
        <v>800</v>
      </c>
      <c r="G135" s="5">
        <f t="shared" si="23"/>
        <v>1.01</v>
      </c>
      <c r="H135" s="6" t="str">
        <f t="shared" si="18"/>
        <v>INSERT INTO public.coupon (plancode, age, "year", couponrate, benefittype, benefitrate, premiumrate) VALUES('EN60', 28, 13, 8, 'A',800, 1.01);</v>
      </c>
      <c r="I135" s="6" t="str">
        <f t="shared" si="19"/>
        <v>{"age":"28", "year":"13", "couponrate":"8", "benefittype":"A", "benefitrate":"800", "premiumrate":"1.01"}</v>
      </c>
      <c r="J135" s="6" t="str">
        <f t="shared" si="20"/>
        <v>,</v>
      </c>
    </row>
    <row r="136" spans="1:10">
      <c r="A136" s="4" t="str">
        <f>'EN60'!A$3</f>
        <v>EN60</v>
      </c>
      <c r="B136" s="4">
        <f t="shared" si="21"/>
        <v>28</v>
      </c>
      <c r="C136" s="4">
        <f t="shared" si="22"/>
        <v>14</v>
      </c>
      <c r="D136" s="4">
        <f t="shared" si="16"/>
        <v>8</v>
      </c>
      <c r="E136" s="4" t="s">
        <v>27</v>
      </c>
      <c r="F136" s="4">
        <f t="shared" si="17"/>
        <v>800</v>
      </c>
      <c r="G136" s="5">
        <f t="shared" si="23"/>
        <v>1.01</v>
      </c>
      <c r="H136" s="6" t="str">
        <f t="shared" si="18"/>
        <v>INSERT INTO public.coupon (plancode, age, "year", couponrate, benefittype, benefitrate, premiumrate) VALUES('EN60', 28, 14, 8, 'A',800, 1.01);</v>
      </c>
      <c r="I136" s="6" t="str">
        <f t="shared" si="19"/>
        <v>{"age":"28", "year":"14", "couponrate":"8", "benefittype":"A", "benefitrate":"800", "premiumrate":"1.01"}</v>
      </c>
      <c r="J136" s="6" t="str">
        <f t="shared" si="20"/>
        <v>,</v>
      </c>
    </row>
    <row r="137" spans="1:10">
      <c r="A137" s="4" t="str">
        <f>'EN60'!A$3</f>
        <v>EN60</v>
      </c>
      <c r="B137" s="4">
        <f t="shared" si="21"/>
        <v>28</v>
      </c>
      <c r="C137" s="4">
        <f t="shared" si="22"/>
        <v>15</v>
      </c>
      <c r="D137" s="4">
        <f t="shared" si="16"/>
        <v>8</v>
      </c>
      <c r="E137" s="4" t="s">
        <v>27</v>
      </c>
      <c r="F137" s="4">
        <f t="shared" si="17"/>
        <v>800</v>
      </c>
      <c r="G137" s="5">
        <f t="shared" si="23"/>
        <v>1.01</v>
      </c>
      <c r="H137" s="6" t="str">
        <f t="shared" si="18"/>
        <v>INSERT INTO public.coupon (plancode, age, "year", couponrate, benefittype, benefitrate, premiumrate) VALUES('EN60', 28, 15, 8, 'A',800, 1.01);</v>
      </c>
      <c r="I137" s="6" t="str">
        <f t="shared" si="19"/>
        <v>{"age":"28", "year":"15", "couponrate":"8", "benefittype":"A", "benefitrate":"800", "premiumrate":"1.01"}</v>
      </c>
      <c r="J137" s="6" t="str">
        <f t="shared" si="20"/>
        <v>,</v>
      </c>
    </row>
    <row r="138" spans="1:10">
      <c r="A138" s="4" t="str">
        <f>'EN60'!A$3</f>
        <v>EN60</v>
      </c>
      <c r="B138" s="4">
        <f t="shared" si="21"/>
        <v>28</v>
      </c>
      <c r="C138" s="4">
        <f t="shared" si="22"/>
        <v>16</v>
      </c>
      <c r="D138" s="4">
        <f t="shared" si="16"/>
        <v>8</v>
      </c>
      <c r="E138" s="4" t="s">
        <v>27</v>
      </c>
      <c r="F138" s="4">
        <f t="shared" si="17"/>
        <v>800</v>
      </c>
      <c r="G138" s="5">
        <f t="shared" si="23"/>
        <v>1.01</v>
      </c>
      <c r="H138" s="6" t="str">
        <f t="shared" si="18"/>
        <v>INSERT INTO public.coupon (plancode, age, "year", couponrate, benefittype, benefitrate, premiumrate) VALUES('EN60', 28, 16, 8, 'A',800, 1.01);</v>
      </c>
      <c r="I138" s="6" t="str">
        <f t="shared" si="19"/>
        <v>{"age":"28", "year":"16", "couponrate":"8", "benefittype":"A", "benefitrate":"800", "premiumrate":"1.01"}</v>
      </c>
      <c r="J138" s="6" t="str">
        <f t="shared" si="20"/>
        <v>,</v>
      </c>
    </row>
    <row r="139" spans="1:10">
      <c r="A139" s="4" t="str">
        <f>'EN60'!A$3</f>
        <v>EN60</v>
      </c>
      <c r="B139" s="4">
        <f t="shared" si="21"/>
        <v>28</v>
      </c>
      <c r="C139" s="4">
        <f t="shared" si="22"/>
        <v>17</v>
      </c>
      <c r="D139" s="4">
        <f t="shared" si="16"/>
        <v>8</v>
      </c>
      <c r="E139" s="4" t="s">
        <v>27</v>
      </c>
      <c r="F139" s="4">
        <f t="shared" si="17"/>
        <v>800</v>
      </c>
      <c r="G139" s="5">
        <f t="shared" si="23"/>
        <v>1.01</v>
      </c>
      <c r="H139" s="6" t="str">
        <f t="shared" si="18"/>
        <v>INSERT INTO public.coupon (plancode, age, "year", couponrate, benefittype, benefitrate, premiumrate) VALUES('EN60', 28, 17, 8, 'A',800, 1.01);</v>
      </c>
      <c r="I139" s="6" t="str">
        <f t="shared" si="19"/>
        <v>{"age":"28", "year":"17", "couponrate":"8", "benefittype":"A", "benefitrate":"800", "premiumrate":"1.01"}</v>
      </c>
      <c r="J139" s="6" t="str">
        <f t="shared" si="20"/>
        <v>,</v>
      </c>
    </row>
    <row r="140" spans="1:10">
      <c r="A140" s="4" t="str">
        <f>'EN60'!A$3</f>
        <v>EN60</v>
      </c>
      <c r="B140" s="4">
        <f t="shared" si="21"/>
        <v>28</v>
      </c>
      <c r="C140" s="4">
        <f t="shared" si="22"/>
        <v>18</v>
      </c>
      <c r="D140" s="4">
        <f t="shared" si="16"/>
        <v>8</v>
      </c>
      <c r="E140" s="4" t="s">
        <v>27</v>
      </c>
      <c r="F140" s="4">
        <f t="shared" si="17"/>
        <v>800</v>
      </c>
      <c r="G140" s="5">
        <f t="shared" si="23"/>
        <v>1.01</v>
      </c>
      <c r="H140" s="6" t="str">
        <f t="shared" si="18"/>
        <v>INSERT INTO public.coupon (plancode, age, "year", couponrate, benefittype, benefitrate, premiumrate) VALUES('EN60', 28, 18, 8, 'A',800, 1.01);</v>
      </c>
      <c r="I140" s="6" t="str">
        <f t="shared" si="19"/>
        <v>{"age":"28", "year":"18", "couponrate":"8", "benefittype":"A", "benefitrate":"800", "premiumrate":"1.01"}</v>
      </c>
      <c r="J140" s="6" t="str">
        <f t="shared" si="20"/>
        <v>,</v>
      </c>
    </row>
    <row r="141" spans="1:10">
      <c r="A141" s="4" t="str">
        <f>'EN60'!A$3</f>
        <v>EN60</v>
      </c>
      <c r="B141" s="4">
        <f t="shared" si="21"/>
        <v>28</v>
      </c>
      <c r="C141" s="4">
        <f t="shared" si="22"/>
        <v>19</v>
      </c>
      <c r="D141" s="4">
        <f t="shared" si="16"/>
        <v>8</v>
      </c>
      <c r="E141" s="4" t="s">
        <v>27</v>
      </c>
      <c r="F141" s="4">
        <f t="shared" si="17"/>
        <v>800</v>
      </c>
      <c r="G141" s="5">
        <f t="shared" si="23"/>
        <v>1.01</v>
      </c>
      <c r="H141" s="6" t="str">
        <f t="shared" si="18"/>
        <v>INSERT INTO public.coupon (plancode, age, "year", couponrate, benefittype, benefitrate, premiumrate) VALUES('EN60', 28, 19, 8, 'A',800, 1.01);</v>
      </c>
      <c r="I141" s="6" t="str">
        <f t="shared" si="19"/>
        <v>{"age":"28", "year":"19", "couponrate":"8", "benefittype":"A", "benefitrate":"800", "premiumrate":"1.01"}</v>
      </c>
      <c r="J141" s="6" t="str">
        <f t="shared" si="20"/>
        <v>,</v>
      </c>
    </row>
    <row r="142" spans="1:10">
      <c r="A142" s="4" t="str">
        <f>'EN60'!A$3</f>
        <v>EN60</v>
      </c>
      <c r="B142" s="4">
        <f t="shared" si="21"/>
        <v>28</v>
      </c>
      <c r="C142" s="4">
        <f t="shared" si="22"/>
        <v>20</v>
      </c>
      <c r="D142" s="4">
        <f t="shared" si="16"/>
        <v>8</v>
      </c>
      <c r="E142" s="4" t="s">
        <v>27</v>
      </c>
      <c r="F142" s="4">
        <f t="shared" si="17"/>
        <v>800</v>
      </c>
      <c r="G142" s="5">
        <f t="shared" si="23"/>
        <v>1.01</v>
      </c>
      <c r="H142" s="6" t="str">
        <f t="shared" si="18"/>
        <v>INSERT INTO public.coupon (plancode, age, "year", couponrate, benefittype, benefitrate, premiumrate) VALUES('EN60', 28, 20, 8, 'A',800, 1.01);</v>
      </c>
      <c r="I142" s="6" t="str">
        <f t="shared" si="19"/>
        <v>{"age":"28", "year":"20", "couponrate":"8", "benefittype":"A", "benefitrate":"800", "premiumrate":"1.01"}</v>
      </c>
      <c r="J142" s="6" t="str">
        <f t="shared" si="20"/>
        <v>,</v>
      </c>
    </row>
    <row r="143" spans="1:10">
      <c r="A143" s="4" t="str">
        <f>'EN60'!A$3</f>
        <v>EN60</v>
      </c>
      <c r="B143" s="4">
        <f t="shared" si="21"/>
        <v>28</v>
      </c>
      <c r="C143" s="4">
        <f t="shared" si="22"/>
        <v>21</v>
      </c>
      <c r="D143" s="4">
        <f t="shared" si="16"/>
        <v>8</v>
      </c>
      <c r="E143" s="4" t="s">
        <v>27</v>
      </c>
      <c r="F143" s="4">
        <f t="shared" si="17"/>
        <v>800</v>
      </c>
      <c r="G143" s="5">
        <f t="shared" si="23"/>
        <v>1.01</v>
      </c>
      <c r="H143" s="6" t="str">
        <f t="shared" si="18"/>
        <v>INSERT INTO public.coupon (plancode, age, "year", couponrate, benefittype, benefitrate, premiumrate) VALUES('EN60', 28, 21, 8, 'A',800, 1.01);</v>
      </c>
      <c r="I143" s="6" t="str">
        <f t="shared" si="19"/>
        <v>{"age":"28", "year":"21", "couponrate":"8", "benefittype":"A", "benefitrate":"800", "premiumrate":"1.01"}</v>
      </c>
      <c r="J143" s="6" t="str">
        <f t="shared" si="20"/>
        <v>,</v>
      </c>
    </row>
    <row r="144" spans="1:10">
      <c r="A144" s="4" t="str">
        <f>'EN60'!A$3</f>
        <v>EN60</v>
      </c>
      <c r="B144" s="4">
        <f t="shared" si="21"/>
        <v>28</v>
      </c>
      <c r="C144" s="4">
        <f t="shared" si="22"/>
        <v>22</v>
      </c>
      <c r="D144" s="4">
        <f t="shared" si="16"/>
        <v>8</v>
      </c>
      <c r="E144" s="4" t="s">
        <v>27</v>
      </c>
      <c r="F144" s="4">
        <f t="shared" si="17"/>
        <v>800</v>
      </c>
      <c r="G144" s="5">
        <f t="shared" si="23"/>
        <v>1.01</v>
      </c>
      <c r="H144" s="6" t="str">
        <f t="shared" si="18"/>
        <v>INSERT INTO public.coupon (plancode, age, "year", couponrate, benefittype, benefitrate, premiumrate) VALUES('EN60', 28, 22, 8, 'A',800, 1.01);</v>
      </c>
      <c r="I144" s="6" t="str">
        <f t="shared" si="19"/>
        <v>{"age":"28", "year":"22", "couponrate":"8", "benefittype":"A", "benefitrate":"800", "premiumrate":"1.01"}</v>
      </c>
      <c r="J144" s="6" t="str">
        <f t="shared" si="20"/>
        <v>,</v>
      </c>
    </row>
    <row r="145" spans="1:10">
      <c r="A145" s="4" t="str">
        <f>'EN60'!A$3</f>
        <v>EN60</v>
      </c>
      <c r="B145" s="4">
        <f t="shared" si="21"/>
        <v>28</v>
      </c>
      <c r="C145" s="4">
        <f t="shared" si="22"/>
        <v>23</v>
      </c>
      <c r="D145" s="4">
        <f t="shared" si="16"/>
        <v>8</v>
      </c>
      <c r="E145" s="4" t="s">
        <v>27</v>
      </c>
      <c r="F145" s="4">
        <f t="shared" si="17"/>
        <v>800</v>
      </c>
      <c r="G145" s="5">
        <f t="shared" si="23"/>
        <v>1.01</v>
      </c>
      <c r="H145" s="6" t="str">
        <f t="shared" si="18"/>
        <v>INSERT INTO public.coupon (plancode, age, "year", couponrate, benefittype, benefitrate, premiumrate) VALUES('EN60', 28, 23, 8, 'A',800, 1.01);</v>
      </c>
      <c r="I145" s="6" t="str">
        <f t="shared" si="19"/>
        <v>{"age":"28", "year":"23", "couponrate":"8", "benefittype":"A", "benefitrate":"800", "premiumrate":"1.01"}</v>
      </c>
      <c r="J145" s="6" t="str">
        <f t="shared" si="20"/>
        <v>,</v>
      </c>
    </row>
    <row r="146" spans="1:10">
      <c r="A146" s="4" t="str">
        <f>'EN60'!A$3</f>
        <v>EN60</v>
      </c>
      <c r="B146" s="4">
        <f t="shared" si="21"/>
        <v>28</v>
      </c>
      <c r="C146" s="4">
        <f t="shared" si="22"/>
        <v>24</v>
      </c>
      <c r="D146" s="4">
        <f t="shared" si="16"/>
        <v>8</v>
      </c>
      <c r="E146" s="4" t="s">
        <v>27</v>
      </c>
      <c r="F146" s="4">
        <f t="shared" si="17"/>
        <v>800</v>
      </c>
      <c r="G146" s="5">
        <f t="shared" si="23"/>
        <v>1.01</v>
      </c>
      <c r="H146" s="6" t="str">
        <f t="shared" si="18"/>
        <v>INSERT INTO public.coupon (plancode, age, "year", couponrate, benefittype, benefitrate, premiumrate) VALUES('EN60', 28, 24, 8, 'A',800, 1.01);</v>
      </c>
      <c r="I146" s="6" t="str">
        <f t="shared" si="19"/>
        <v>{"age":"28", "year":"24", "couponrate":"8", "benefittype":"A", "benefitrate":"800", "premiumrate":"1.01"}</v>
      </c>
      <c r="J146" s="6" t="str">
        <f t="shared" si="20"/>
        <v>,</v>
      </c>
    </row>
    <row r="147" spans="1:10">
      <c r="A147" s="4" t="str">
        <f>'EN60'!A$3</f>
        <v>EN60</v>
      </c>
      <c r="B147" s="4">
        <f t="shared" si="21"/>
        <v>28</v>
      </c>
      <c r="C147" s="4">
        <f t="shared" si="22"/>
        <v>25</v>
      </c>
      <c r="D147" s="4">
        <f t="shared" si="16"/>
        <v>8</v>
      </c>
      <c r="E147" s="4" t="s">
        <v>27</v>
      </c>
      <c r="F147" s="4">
        <f t="shared" si="17"/>
        <v>800</v>
      </c>
      <c r="G147" s="5">
        <f t="shared" si="23"/>
        <v>1.01</v>
      </c>
      <c r="H147" s="6" t="str">
        <f t="shared" si="18"/>
        <v>INSERT INTO public.coupon (plancode, age, "year", couponrate, benefittype, benefitrate, premiumrate) VALUES('EN60', 28, 25, 8, 'A',800, 1.01);</v>
      </c>
      <c r="I147" s="6" t="str">
        <f t="shared" si="19"/>
        <v>{"age":"28", "year":"25", "couponrate":"8", "benefittype":"A", "benefitrate":"800", "premiumrate":"1.01"}</v>
      </c>
      <c r="J147" s="6" t="str">
        <f t="shared" si="20"/>
        <v>,</v>
      </c>
    </row>
    <row r="148" spans="1:10">
      <c r="A148" s="4" t="str">
        <f>'EN60'!A$3</f>
        <v>EN60</v>
      </c>
      <c r="B148" s="4">
        <f t="shared" si="21"/>
        <v>28</v>
      </c>
      <c r="C148" s="4">
        <f t="shared" si="22"/>
        <v>26</v>
      </c>
      <c r="D148" s="4">
        <f t="shared" si="16"/>
        <v>8</v>
      </c>
      <c r="E148" s="4" t="s">
        <v>27</v>
      </c>
      <c r="F148" s="4">
        <f t="shared" si="17"/>
        <v>800</v>
      </c>
      <c r="G148" s="5">
        <f t="shared" si="23"/>
        <v>1.01</v>
      </c>
      <c r="H148" s="6" t="str">
        <f t="shared" si="18"/>
        <v>INSERT INTO public.coupon (plancode, age, "year", couponrate, benefittype, benefitrate, premiumrate) VALUES('EN60', 28, 26, 8, 'A',800, 1.01);</v>
      </c>
      <c r="I148" s="6" t="str">
        <f t="shared" si="19"/>
        <v>{"age":"28", "year":"26", "couponrate":"8", "benefittype":"A", "benefitrate":"800", "premiumrate":"1.01"}</v>
      </c>
      <c r="J148" s="6" t="str">
        <f t="shared" si="20"/>
        <v>,</v>
      </c>
    </row>
    <row r="149" spans="1:10">
      <c r="A149" s="4" t="str">
        <f>'EN60'!A$3</f>
        <v>EN60</v>
      </c>
      <c r="B149" s="4">
        <f t="shared" si="21"/>
        <v>28</v>
      </c>
      <c r="C149" s="4">
        <f t="shared" si="22"/>
        <v>27</v>
      </c>
      <c r="D149" s="4">
        <f t="shared" si="16"/>
        <v>8</v>
      </c>
      <c r="E149" s="4" t="s">
        <v>27</v>
      </c>
      <c r="F149" s="4">
        <f t="shared" si="17"/>
        <v>800</v>
      </c>
      <c r="G149" s="5">
        <f t="shared" si="23"/>
        <v>1.01</v>
      </c>
      <c r="H149" s="6" t="str">
        <f t="shared" si="18"/>
        <v>INSERT INTO public.coupon (plancode, age, "year", couponrate, benefittype, benefitrate, premiumrate) VALUES('EN60', 28, 27, 8, 'A',800, 1.01);</v>
      </c>
      <c r="I149" s="6" t="str">
        <f t="shared" si="19"/>
        <v>{"age":"28", "year":"27", "couponrate":"8", "benefittype":"A", "benefitrate":"800", "premiumrate":"1.01"}</v>
      </c>
      <c r="J149" s="6" t="str">
        <f t="shared" si="20"/>
        <v>,</v>
      </c>
    </row>
    <row r="150" spans="1:10">
      <c r="A150" s="4" t="str">
        <f>'EN60'!A$3</f>
        <v>EN60</v>
      </c>
      <c r="B150" s="4">
        <f t="shared" si="21"/>
        <v>28</v>
      </c>
      <c r="C150" s="4">
        <f t="shared" si="22"/>
        <v>28</v>
      </c>
      <c r="D150" s="4">
        <f t="shared" si="16"/>
        <v>8</v>
      </c>
      <c r="E150" s="4" t="s">
        <v>27</v>
      </c>
      <c r="F150" s="4">
        <f t="shared" si="17"/>
        <v>800</v>
      </c>
      <c r="G150" s="5">
        <f t="shared" si="23"/>
        <v>1.01</v>
      </c>
      <c r="H150" s="6" t="str">
        <f t="shared" si="18"/>
        <v>INSERT INTO public.coupon (plancode, age, "year", couponrate, benefittype, benefitrate, premiumrate) VALUES('EN60', 28, 28, 8, 'A',800, 1.01);</v>
      </c>
      <c r="I150" s="6" t="str">
        <f t="shared" si="19"/>
        <v>{"age":"28", "year":"28", "couponrate":"8", "benefittype":"A", "benefitrate":"800", "premiumrate":"1.01"}</v>
      </c>
      <c r="J150" s="6" t="str">
        <f t="shared" si="20"/>
        <v>,</v>
      </c>
    </row>
    <row r="151" spans="1:10">
      <c r="A151" s="4" t="str">
        <f>'EN60'!A$3</f>
        <v>EN60</v>
      </c>
      <c r="B151" s="4">
        <f t="shared" si="21"/>
        <v>28</v>
      </c>
      <c r="C151" s="4">
        <f t="shared" si="22"/>
        <v>29</v>
      </c>
      <c r="D151" s="4">
        <f t="shared" si="16"/>
        <v>8</v>
      </c>
      <c r="E151" s="4" t="s">
        <v>27</v>
      </c>
      <c r="F151" s="4">
        <f t="shared" si="17"/>
        <v>800</v>
      </c>
      <c r="G151" s="5">
        <f t="shared" si="23"/>
        <v>1.01</v>
      </c>
      <c r="H151" s="6" t="str">
        <f t="shared" si="18"/>
        <v>INSERT INTO public.coupon (plancode, age, "year", couponrate, benefittype, benefitrate, premiumrate) VALUES('EN60', 28, 29, 8, 'A',800, 1.01);</v>
      </c>
      <c r="I151" s="6" t="str">
        <f t="shared" si="19"/>
        <v>{"age":"28", "year":"29", "couponrate":"8", "benefittype":"A", "benefitrate":"800", "premiumrate":"1.01"}</v>
      </c>
      <c r="J151" s="6" t="str">
        <f t="shared" si="20"/>
        <v>,</v>
      </c>
    </row>
    <row r="152" spans="1:10">
      <c r="A152" s="4" t="str">
        <f>'EN60'!A$3</f>
        <v>EN60</v>
      </c>
      <c r="B152" s="4">
        <f t="shared" si="21"/>
        <v>28</v>
      </c>
      <c r="C152" s="4">
        <f t="shared" si="22"/>
        <v>30</v>
      </c>
      <c r="D152" s="4">
        <f t="shared" si="16"/>
        <v>8</v>
      </c>
      <c r="E152" s="4" t="s">
        <v>27</v>
      </c>
      <c r="F152" s="4">
        <f t="shared" si="17"/>
        <v>800</v>
      </c>
      <c r="G152" s="5">
        <f t="shared" si="23"/>
        <v>1.01</v>
      </c>
      <c r="H152" s="6" t="str">
        <f t="shared" si="18"/>
        <v>INSERT INTO public.coupon (plancode, age, "year", couponrate, benefittype, benefitrate, premiumrate) VALUES('EN60', 28, 30, 8, 'A',800, 1.01);</v>
      </c>
      <c r="I152" s="6" t="str">
        <f t="shared" si="19"/>
        <v>{"age":"28", "year":"30", "couponrate":"8", "benefittype":"A", "benefitrate":"800", "premiumrate":"1.01"}</v>
      </c>
      <c r="J152" s="6" t="str">
        <f t="shared" si="20"/>
        <v>,</v>
      </c>
    </row>
    <row r="153" spans="1:10">
      <c r="A153" s="4" t="str">
        <f>'EN60'!A$3</f>
        <v>EN60</v>
      </c>
      <c r="B153" s="4">
        <f t="shared" si="21"/>
        <v>28</v>
      </c>
      <c r="C153" s="4">
        <f t="shared" si="22"/>
        <v>31</v>
      </c>
      <c r="D153" s="4">
        <f t="shared" si="16"/>
        <v>8</v>
      </c>
      <c r="E153" s="4" t="s">
        <v>27</v>
      </c>
      <c r="F153" s="4">
        <f t="shared" si="17"/>
        <v>800</v>
      </c>
      <c r="G153" s="5">
        <f t="shared" si="23"/>
        <v>1.01</v>
      </c>
      <c r="H153" s="6" t="str">
        <f t="shared" si="18"/>
        <v>INSERT INTO public.coupon (plancode, age, "year", couponrate, benefittype, benefitrate, premiumrate) VALUES('EN60', 28, 31, 8, 'A',800, 1.01);</v>
      </c>
      <c r="I153" s="6" t="str">
        <f t="shared" si="19"/>
        <v>{"age":"28", "year":"31", "couponrate":"8", "benefittype":"A", "benefitrate":"800", "premiumrate":"1.01"}</v>
      </c>
      <c r="J153" s="6" t="str">
        <f t="shared" si="20"/>
        <v>,</v>
      </c>
    </row>
    <row r="154" spans="1:10">
      <c r="A154" s="4" t="str">
        <f>'EN60'!A$3</f>
        <v>EN60</v>
      </c>
      <c r="B154" s="4">
        <f t="shared" si="21"/>
        <v>28</v>
      </c>
      <c r="C154" s="4">
        <f t="shared" si="22"/>
        <v>32</v>
      </c>
      <c r="D154" s="4">
        <f t="shared" si="16"/>
        <v>8</v>
      </c>
      <c r="E154" s="4" t="s">
        <v>27</v>
      </c>
      <c r="F154" s="4">
        <f t="shared" si="17"/>
        <v>800</v>
      </c>
      <c r="G154" s="5">
        <f t="shared" si="23"/>
        <v>1.01</v>
      </c>
      <c r="H154" s="6" t="str">
        <f t="shared" si="18"/>
        <v>INSERT INTO public.coupon (plancode, age, "year", couponrate, benefittype, benefitrate, premiumrate) VALUES('EN60', 28, 32, 8, 'A',800, 1.01);</v>
      </c>
      <c r="I154" s="6" t="str">
        <f t="shared" si="19"/>
        <v>{"age":"28", "year":"32", "couponrate":"8", "benefittype":"A", "benefitrate":"800", "premiumrate":"1.01"}</v>
      </c>
      <c r="J154" s="6" t="str">
        <f t="shared" si="20"/>
        <v>,</v>
      </c>
    </row>
    <row r="155" spans="1:10">
      <c r="A155" s="4" t="str">
        <f>'EN60'!A$3</f>
        <v>EN60</v>
      </c>
      <c r="B155" s="4">
        <f t="shared" si="21"/>
        <v>28</v>
      </c>
      <c r="C155" s="4">
        <f t="shared" si="22"/>
        <v>33</v>
      </c>
      <c r="D155" s="4">
        <f t="shared" si="16"/>
        <v>8</v>
      </c>
      <c r="E155" s="4" t="s">
        <v>27</v>
      </c>
      <c r="F155" s="4">
        <f t="shared" si="17"/>
        <v>800</v>
      </c>
      <c r="G155" s="5">
        <f t="shared" si="23"/>
        <v>1.01</v>
      </c>
      <c r="H155" s="6" t="str">
        <f t="shared" si="18"/>
        <v>INSERT INTO public.coupon (plancode, age, "year", couponrate, benefittype, benefitrate, premiumrate) VALUES('EN60', 28, 33, 8, 'A',800, 1.01);</v>
      </c>
      <c r="I155" s="6" t="str">
        <f t="shared" si="19"/>
        <v>{"age":"28", "year":"33", "couponrate":"8", "benefittype":"A", "benefitrate":"800", "premiumrate":"1.01"}</v>
      </c>
      <c r="J155" s="6" t="str">
        <f t="shared" si="20"/>
        <v>,</v>
      </c>
    </row>
    <row r="156" spans="1:10">
      <c r="A156" s="4" t="str">
        <f>'EN60'!A$3</f>
        <v>EN60</v>
      </c>
      <c r="B156" s="4">
        <f t="shared" si="21"/>
        <v>28</v>
      </c>
      <c r="C156" s="4">
        <f t="shared" si="22"/>
        <v>34</v>
      </c>
      <c r="D156" s="4">
        <f t="shared" si="16"/>
        <v>8</v>
      </c>
      <c r="E156" s="4" t="s">
        <v>27</v>
      </c>
      <c r="F156" s="4">
        <f t="shared" si="17"/>
        <v>800</v>
      </c>
      <c r="G156" s="5">
        <f t="shared" si="23"/>
        <v>1.01</v>
      </c>
      <c r="H156" s="6" t="str">
        <f t="shared" si="18"/>
        <v>INSERT INTO public.coupon (plancode, age, "year", couponrate, benefittype, benefitrate, premiumrate) VALUES('EN60', 28, 34, 8, 'A',800, 1.01);</v>
      </c>
      <c r="I156" s="6" t="str">
        <f t="shared" si="19"/>
        <v>{"age":"28", "year":"34", "couponrate":"8", "benefittype":"A", "benefitrate":"800", "premiumrate":"1.01"}</v>
      </c>
      <c r="J156" s="6" t="str">
        <f t="shared" si="20"/>
        <v>,</v>
      </c>
    </row>
    <row r="157" spans="1:10">
      <c r="A157" s="4" t="str">
        <f>'EN60'!A$3</f>
        <v>EN60</v>
      </c>
      <c r="B157" s="4">
        <f t="shared" si="21"/>
        <v>28</v>
      </c>
      <c r="C157" s="4">
        <f t="shared" si="22"/>
        <v>35</v>
      </c>
      <c r="D157" s="4">
        <f t="shared" si="16"/>
        <v>8</v>
      </c>
      <c r="E157" s="4" t="s">
        <v>27</v>
      </c>
      <c r="F157" s="4">
        <f t="shared" si="17"/>
        <v>800</v>
      </c>
      <c r="G157" s="5">
        <f t="shared" si="23"/>
        <v>1.01</v>
      </c>
      <c r="H157" s="6" t="str">
        <f t="shared" si="18"/>
        <v>INSERT INTO public.coupon (plancode, age, "year", couponrate, benefittype, benefitrate, premiumrate) VALUES('EN60', 28, 35, 8, 'A',800, 1.01);</v>
      </c>
      <c r="I157" s="6" t="str">
        <f t="shared" si="19"/>
        <v>{"age":"28", "year":"35", "couponrate":"8", "benefittype":"A", "benefitrate":"800", "premiumrate":"1.01"}</v>
      </c>
      <c r="J157" s="6" t="str">
        <f t="shared" si="20"/>
        <v>,</v>
      </c>
    </row>
    <row r="158" spans="1:10">
      <c r="A158" s="4" t="str">
        <f>'EN60'!A$3</f>
        <v>EN60</v>
      </c>
      <c r="B158" s="4">
        <f t="shared" si="21"/>
        <v>28</v>
      </c>
      <c r="C158" s="4">
        <f t="shared" si="22"/>
        <v>36</v>
      </c>
      <c r="D158" s="4">
        <f t="shared" si="16"/>
        <v>8</v>
      </c>
      <c r="E158" s="4" t="s">
        <v>27</v>
      </c>
      <c r="F158" s="4">
        <f t="shared" si="17"/>
        <v>800</v>
      </c>
      <c r="G158" s="5">
        <f t="shared" si="23"/>
        <v>1.01</v>
      </c>
      <c r="H158" s="6" t="str">
        <f t="shared" si="18"/>
        <v>INSERT INTO public.coupon (plancode, age, "year", couponrate, benefittype, benefitrate, premiumrate) VALUES('EN60', 28, 36, 8, 'A',800, 1.01);</v>
      </c>
      <c r="I158" s="6" t="str">
        <f t="shared" si="19"/>
        <v>{"age":"28", "year":"36", "couponrate":"8", "benefittype":"A", "benefitrate":"800", "premiumrate":"1.01"}</v>
      </c>
      <c r="J158" s="6" t="str">
        <f t="shared" si="20"/>
        <v>,</v>
      </c>
    </row>
    <row r="159" spans="1:10">
      <c r="A159" s="4" t="str">
        <f>'EN60'!A$3</f>
        <v>EN60</v>
      </c>
      <c r="B159" s="4">
        <f t="shared" si="21"/>
        <v>28</v>
      </c>
      <c r="C159" s="4">
        <f t="shared" si="22"/>
        <v>37</v>
      </c>
      <c r="D159" s="4">
        <f t="shared" si="16"/>
        <v>8</v>
      </c>
      <c r="E159" s="4" t="s">
        <v>27</v>
      </c>
      <c r="F159" s="4">
        <f t="shared" si="17"/>
        <v>800</v>
      </c>
      <c r="G159" s="5">
        <f t="shared" si="23"/>
        <v>1.01</v>
      </c>
      <c r="H159" s="6" t="str">
        <f t="shared" si="18"/>
        <v>INSERT INTO public.coupon (plancode, age, "year", couponrate, benefittype, benefitrate, premiumrate) VALUES('EN60', 28, 37, 8, 'A',800, 1.01);</v>
      </c>
      <c r="I159" s="6" t="str">
        <f t="shared" si="19"/>
        <v>{"age":"28", "year":"37", "couponrate":"8", "benefittype":"A", "benefitrate":"800", "premiumrate":"1.01"}</v>
      </c>
      <c r="J159" s="6" t="str">
        <f t="shared" si="20"/>
        <v>,</v>
      </c>
    </row>
    <row r="160" spans="1:10">
      <c r="A160" s="4" t="str">
        <f>'EN60'!A$3</f>
        <v>EN60</v>
      </c>
      <c r="B160" s="4">
        <f t="shared" si="21"/>
        <v>28</v>
      </c>
      <c r="C160" s="4">
        <f t="shared" si="22"/>
        <v>38</v>
      </c>
      <c r="D160" s="4">
        <f t="shared" si="16"/>
        <v>8</v>
      </c>
      <c r="E160" s="4" t="s">
        <v>27</v>
      </c>
      <c r="F160" s="4">
        <f t="shared" si="17"/>
        <v>800</v>
      </c>
      <c r="G160" s="5">
        <f t="shared" si="23"/>
        <v>1.01</v>
      </c>
      <c r="H160" s="6" t="str">
        <f t="shared" si="18"/>
        <v>INSERT INTO public.coupon (plancode, age, "year", couponrate, benefittype, benefitrate, premiumrate) VALUES('EN60', 28, 38, 8, 'A',800, 1.01);</v>
      </c>
      <c r="I160" s="6" t="str">
        <f t="shared" si="19"/>
        <v>{"age":"28", "year":"38", "couponrate":"8", "benefittype":"A", "benefitrate":"800", "premiumrate":"1.01"}</v>
      </c>
      <c r="J160" s="6" t="str">
        <f t="shared" si="20"/>
        <v>,</v>
      </c>
    </row>
    <row r="161" spans="1:10">
      <c r="A161" s="4" t="str">
        <f>'EN60'!A$3</f>
        <v>EN60</v>
      </c>
      <c r="B161" s="4">
        <f t="shared" si="21"/>
        <v>28</v>
      </c>
      <c r="C161" s="4">
        <f t="shared" si="22"/>
        <v>39</v>
      </c>
      <c r="D161" s="4">
        <f t="shared" si="16"/>
        <v>8</v>
      </c>
      <c r="E161" s="4" t="s">
        <v>27</v>
      </c>
      <c r="F161" s="4">
        <f t="shared" si="17"/>
        <v>800</v>
      </c>
      <c r="G161" s="5">
        <f t="shared" si="23"/>
        <v>1.01</v>
      </c>
      <c r="H161" s="6" t="str">
        <f t="shared" si="18"/>
        <v>INSERT INTO public.coupon (plancode, age, "year", couponrate, benefittype, benefitrate, premiumrate) VALUES('EN60', 28, 39, 8, 'A',800, 1.01);</v>
      </c>
      <c r="I161" s="6" t="str">
        <f t="shared" si="19"/>
        <v>{"age":"28", "year":"39", "couponrate":"8", "benefittype":"A", "benefitrate":"800", "premiumrate":"1.01"}</v>
      </c>
      <c r="J161" s="6" t="str">
        <f t="shared" si="20"/>
        <v>,</v>
      </c>
    </row>
    <row r="162" spans="1:10">
      <c r="A162" s="4" t="str">
        <f>'EN60'!A$3</f>
        <v>EN60</v>
      </c>
      <c r="B162" s="4">
        <f t="shared" si="21"/>
        <v>28</v>
      </c>
      <c r="C162" s="4">
        <f t="shared" si="22"/>
        <v>40</v>
      </c>
      <c r="D162" s="4">
        <f t="shared" si="16"/>
        <v>8</v>
      </c>
      <c r="E162" s="4" t="s">
        <v>27</v>
      </c>
      <c r="F162" s="4">
        <f t="shared" si="17"/>
        <v>800</v>
      </c>
      <c r="G162" s="5">
        <f t="shared" si="23"/>
        <v>1.01</v>
      </c>
      <c r="H162" s="6" t="str">
        <f t="shared" si="18"/>
        <v>INSERT INTO public.coupon (plancode, age, "year", couponrate, benefittype, benefitrate, premiumrate) VALUES('EN60', 28, 40, 8, 'A',800, 1.01);</v>
      </c>
      <c r="I162" s="6" t="str">
        <f t="shared" si="19"/>
        <v>{"age":"28", "year":"40", "couponrate":"8", "benefittype":"A", "benefitrate":"800", "premiumrate":"1.01"}</v>
      </c>
      <c r="J162" s="6" t="str">
        <f t="shared" si="20"/>
        <v>,</v>
      </c>
    </row>
    <row r="163" spans="1:10">
      <c r="A163" s="4" t="str">
        <f>'EN60'!A$3</f>
        <v>EN60</v>
      </c>
      <c r="B163" s="4">
        <f t="shared" si="21"/>
        <v>28</v>
      </c>
      <c r="C163" s="4">
        <f t="shared" si="22"/>
        <v>41</v>
      </c>
      <c r="D163" s="4">
        <f t="shared" si="16"/>
        <v>8</v>
      </c>
      <c r="E163" s="4" t="s">
        <v>27</v>
      </c>
      <c r="F163" s="4">
        <f t="shared" si="17"/>
        <v>800</v>
      </c>
      <c r="G163" s="5">
        <f t="shared" si="23"/>
        <v>1.01</v>
      </c>
      <c r="H163" s="6" t="str">
        <f t="shared" si="18"/>
        <v>INSERT INTO public.coupon (plancode, age, "year", couponrate, benefittype, benefitrate, premiumrate) VALUES('EN60', 28, 41, 8, 'A',800, 1.01);</v>
      </c>
      <c r="I163" s="6" t="str">
        <f t="shared" si="19"/>
        <v>{"age":"28", "year":"41", "couponrate":"8", "benefittype":"A", "benefitrate":"800", "premiumrate":"1.01"}</v>
      </c>
      <c r="J163" s="6" t="str">
        <f t="shared" si="20"/>
        <v>,</v>
      </c>
    </row>
    <row r="164" spans="1:10">
      <c r="A164" s="4" t="str">
        <f>'EN60'!A$3</f>
        <v>EN60</v>
      </c>
      <c r="B164" s="4">
        <f t="shared" si="21"/>
        <v>28</v>
      </c>
      <c r="C164" s="4">
        <f t="shared" si="22"/>
        <v>42</v>
      </c>
      <c r="D164" s="4">
        <f t="shared" si="16"/>
        <v>8</v>
      </c>
      <c r="E164" s="4" t="s">
        <v>27</v>
      </c>
      <c r="F164" s="4">
        <f t="shared" si="17"/>
        <v>800</v>
      </c>
      <c r="G164" s="5">
        <f t="shared" si="23"/>
        <v>1.01</v>
      </c>
      <c r="H164" s="6" t="str">
        <f t="shared" si="18"/>
        <v>INSERT INTO public.coupon (plancode, age, "year", couponrate, benefittype, benefitrate, premiumrate) VALUES('EN60', 28, 42, 8, 'A',800, 1.01);</v>
      </c>
      <c r="I164" s="6" t="str">
        <f t="shared" si="19"/>
        <v>{"age":"28", "year":"42", "couponrate":"8", "benefittype":"A", "benefitrate":"800", "premiumrate":"1.01"}</v>
      </c>
      <c r="J164" s="6" t="str">
        <f t="shared" si="20"/>
        <v>,</v>
      </c>
    </row>
    <row r="165" spans="1:10">
      <c r="A165" s="4" t="str">
        <f>'EN60'!A$3</f>
        <v>EN60</v>
      </c>
      <c r="B165" s="4">
        <f t="shared" si="21"/>
        <v>28</v>
      </c>
      <c r="C165" s="4">
        <f t="shared" si="22"/>
        <v>43</v>
      </c>
      <c r="D165" s="4">
        <f t="shared" si="16"/>
        <v>8</v>
      </c>
      <c r="E165" s="4" t="s">
        <v>27</v>
      </c>
      <c r="F165" s="4">
        <f t="shared" si="17"/>
        <v>800</v>
      </c>
      <c r="G165" s="5">
        <f t="shared" si="23"/>
        <v>1.01</v>
      </c>
      <c r="H165" s="6" t="str">
        <f t="shared" si="18"/>
        <v>INSERT INTO public.coupon (plancode, age, "year", couponrate, benefittype, benefitrate, premiumrate) VALUES('EN60', 28, 43, 8, 'A',800, 1.01);</v>
      </c>
      <c r="I165" s="6" t="str">
        <f t="shared" si="19"/>
        <v>{"age":"28", "year":"43", "couponrate":"8", "benefittype":"A", "benefitrate":"800", "premiumrate":"1.01"}</v>
      </c>
      <c r="J165" s="6" t="str">
        <f t="shared" si="20"/>
        <v>,</v>
      </c>
    </row>
    <row r="166" spans="1:10">
      <c r="A166" s="4" t="str">
        <f>'EN60'!A$3</f>
        <v>EN60</v>
      </c>
      <c r="B166" s="4">
        <f t="shared" si="21"/>
        <v>28</v>
      </c>
      <c r="C166" s="4">
        <f t="shared" si="22"/>
        <v>44</v>
      </c>
      <c r="D166" s="4">
        <f t="shared" si="16"/>
        <v>8</v>
      </c>
      <c r="E166" s="4" t="s">
        <v>27</v>
      </c>
      <c r="F166" s="4">
        <f t="shared" si="17"/>
        <v>800</v>
      </c>
      <c r="G166" s="5">
        <f t="shared" si="23"/>
        <v>1.01</v>
      </c>
      <c r="H166" s="6" t="str">
        <f t="shared" si="18"/>
        <v>INSERT INTO public.coupon (plancode, age, "year", couponrate, benefittype, benefitrate, premiumrate) VALUES('EN60', 28, 44, 8, 'A',800, 1.01);</v>
      </c>
      <c r="I166" s="6" t="str">
        <f t="shared" si="19"/>
        <v>{"age":"28", "year":"44", "couponrate":"8", "benefittype":"A", "benefitrate":"800", "premiumrate":"1.01"}</v>
      </c>
      <c r="J166" s="6" t="str">
        <f t="shared" si="20"/>
        <v>,</v>
      </c>
    </row>
    <row r="167" spans="1:10">
      <c r="A167" s="4" t="str">
        <f>'EN60'!A$3</f>
        <v>EN60</v>
      </c>
      <c r="B167" s="4">
        <f t="shared" si="21"/>
        <v>28</v>
      </c>
      <c r="C167" s="4">
        <f t="shared" si="22"/>
        <v>45</v>
      </c>
      <c r="D167" s="4">
        <f t="shared" si="16"/>
        <v>8</v>
      </c>
      <c r="E167" s="4" t="s">
        <v>27</v>
      </c>
      <c r="F167" s="4">
        <f t="shared" si="17"/>
        <v>800</v>
      </c>
      <c r="G167" s="5">
        <f t="shared" si="23"/>
        <v>1.01</v>
      </c>
      <c r="H167" s="6" t="str">
        <f t="shared" si="18"/>
        <v>INSERT INTO public.coupon (plancode, age, "year", couponrate, benefittype, benefitrate, premiumrate) VALUES('EN60', 28, 45, 8, 'A',800, 1.01);</v>
      </c>
      <c r="I167" s="6" t="str">
        <f t="shared" si="19"/>
        <v>{"age":"28", "year":"45", "couponrate":"8", "benefittype":"A", "benefitrate":"800", "premiumrate":"1.01"}</v>
      </c>
      <c r="J167" s="6" t="str">
        <f t="shared" si="20"/>
        <v>,</v>
      </c>
    </row>
    <row r="168" spans="1:10">
      <c r="A168" s="4" t="str">
        <f>'EN60'!A$3</f>
        <v>EN60</v>
      </c>
      <c r="B168" s="4">
        <f t="shared" si="21"/>
        <v>28</v>
      </c>
      <c r="C168" s="4">
        <f t="shared" si="22"/>
        <v>46</v>
      </c>
      <c r="D168" s="4">
        <f t="shared" si="16"/>
        <v>8</v>
      </c>
      <c r="E168" s="4" t="s">
        <v>27</v>
      </c>
      <c r="F168" s="4">
        <f t="shared" si="17"/>
        <v>800</v>
      </c>
      <c r="G168" s="5">
        <f t="shared" si="23"/>
        <v>1.01</v>
      </c>
      <c r="H168" s="6" t="str">
        <f t="shared" si="18"/>
        <v>INSERT INTO public.coupon (plancode, age, "year", couponrate, benefittype, benefitrate, premiumrate) VALUES('EN60', 28, 46, 8, 'A',800, 1.01);</v>
      </c>
      <c r="I168" s="6" t="str">
        <f t="shared" si="19"/>
        <v>{"age":"28", "year":"46", "couponrate":"8", "benefittype":"A", "benefitrate":"800", "premiumrate":"1.01"}</v>
      </c>
      <c r="J168" s="6" t="str">
        <f t="shared" si="20"/>
        <v>,</v>
      </c>
    </row>
    <row r="169" spans="1:10">
      <c r="A169" s="4" t="str">
        <f>'EN60'!A$3</f>
        <v>EN60</v>
      </c>
      <c r="B169" s="4">
        <f t="shared" si="21"/>
        <v>28</v>
      </c>
      <c r="C169" s="4">
        <f t="shared" si="22"/>
        <v>47</v>
      </c>
      <c r="D169" s="4">
        <f t="shared" si="16"/>
        <v>8</v>
      </c>
      <c r="E169" s="4" t="s">
        <v>27</v>
      </c>
      <c r="F169" s="4">
        <f t="shared" si="17"/>
        <v>800</v>
      </c>
      <c r="G169" s="5">
        <f t="shared" si="23"/>
        <v>1.01</v>
      </c>
      <c r="H169" s="6" t="str">
        <f t="shared" si="18"/>
        <v>INSERT INTO public.coupon (plancode, age, "year", couponrate, benefittype, benefitrate, premiumrate) VALUES('EN60', 28, 47, 8, 'A',800, 1.01);</v>
      </c>
      <c r="I169" s="6" t="str">
        <f t="shared" si="19"/>
        <v>{"age":"28", "year":"47", "couponrate":"8", "benefittype":"A", "benefitrate":"800", "premiumrate":"1.01"}</v>
      </c>
      <c r="J169" s="6" t="str">
        <f t="shared" si="20"/>
        <v>,</v>
      </c>
    </row>
    <row r="170" spans="1:10">
      <c r="A170" s="4" t="str">
        <f>'EN60'!A$3</f>
        <v>EN60</v>
      </c>
      <c r="B170" s="4">
        <f t="shared" si="21"/>
        <v>28</v>
      </c>
      <c r="C170" s="4">
        <f t="shared" si="22"/>
        <v>48</v>
      </c>
      <c r="D170" s="4">
        <f t="shared" si="16"/>
        <v>8</v>
      </c>
      <c r="E170" s="4" t="s">
        <v>27</v>
      </c>
      <c r="F170" s="4">
        <f t="shared" si="17"/>
        <v>800</v>
      </c>
      <c r="G170" s="5">
        <f t="shared" si="23"/>
        <v>1.01</v>
      </c>
      <c r="H170" s="6" t="str">
        <f t="shared" si="18"/>
        <v>INSERT INTO public.coupon (plancode, age, "year", couponrate, benefittype, benefitrate, premiumrate) VALUES('EN60', 28, 48, 8, 'A',800, 1.01);</v>
      </c>
      <c r="I170" s="6" t="str">
        <f t="shared" si="19"/>
        <v>{"age":"28", "year":"48", "couponrate":"8", "benefittype":"A", "benefitrate":"800", "premiumrate":"1.01"}</v>
      </c>
      <c r="J170" s="6" t="str">
        <f t="shared" si="20"/>
        <v>,</v>
      </c>
    </row>
    <row r="171" spans="1:10">
      <c r="A171" s="4" t="str">
        <f>'EN60'!A$3</f>
        <v>EN60</v>
      </c>
      <c r="B171" s="4">
        <f t="shared" si="21"/>
        <v>28</v>
      </c>
      <c r="C171" s="4">
        <f t="shared" si="22"/>
        <v>49</v>
      </c>
      <c r="D171" s="4">
        <f t="shared" si="16"/>
        <v>8</v>
      </c>
      <c r="E171" s="4" t="s">
        <v>27</v>
      </c>
      <c r="F171" s="4">
        <f t="shared" si="17"/>
        <v>800</v>
      </c>
      <c r="G171" s="5">
        <f t="shared" si="23"/>
        <v>1.01</v>
      </c>
      <c r="H171" s="6" t="str">
        <f t="shared" si="18"/>
        <v>INSERT INTO public.coupon (plancode, age, "year", couponrate, benefittype, benefitrate, premiumrate) VALUES('EN60', 28, 49, 8, 'A',800, 1.01);</v>
      </c>
      <c r="I171" s="6" t="str">
        <f t="shared" si="19"/>
        <v>{"age":"28", "year":"49", "couponrate":"8", "benefittype":"A", "benefitrate":"800", "premiumrate":"1.01"}</v>
      </c>
      <c r="J171" s="6" t="str">
        <f t="shared" si="20"/>
        <v>,</v>
      </c>
    </row>
    <row r="172" spans="1:10">
      <c r="A172" s="4" t="str">
        <f>'EN60'!A$3</f>
        <v>EN60</v>
      </c>
      <c r="B172" s="4">
        <f t="shared" si="21"/>
        <v>28</v>
      </c>
      <c r="C172" s="4">
        <f t="shared" si="22"/>
        <v>50</v>
      </c>
      <c r="D172" s="4">
        <f t="shared" si="16"/>
        <v>8</v>
      </c>
      <c r="E172" s="4" t="s">
        <v>27</v>
      </c>
      <c r="F172" s="4">
        <f t="shared" si="17"/>
        <v>800</v>
      </c>
      <c r="G172" s="5">
        <f t="shared" si="23"/>
        <v>1.01</v>
      </c>
      <c r="H172" s="6" t="str">
        <f t="shared" si="18"/>
        <v>INSERT INTO public.coupon (plancode, age, "year", couponrate, benefittype, benefitrate, premiumrate) VALUES('EN60', 28, 50, 8, 'A',800, 1.01);</v>
      </c>
      <c r="I172" s="6" t="str">
        <f t="shared" si="19"/>
        <v>{"age":"28", "year":"50", "couponrate":"8", "benefittype":"A", "benefitrate":"800", "premiumrate":"1.01"}</v>
      </c>
      <c r="J172" s="6" t="str">
        <f t="shared" si="20"/>
        <v>,</v>
      </c>
    </row>
    <row r="173" spans="1:10">
      <c r="A173" s="4" t="str">
        <f>'EN60'!A$3</f>
        <v>EN60</v>
      </c>
      <c r="B173" s="4">
        <f t="shared" si="21"/>
        <v>28</v>
      </c>
      <c r="C173" s="4">
        <f t="shared" si="22"/>
        <v>51</v>
      </c>
      <c r="D173" s="4">
        <f t="shared" si="16"/>
        <v>8</v>
      </c>
      <c r="E173" s="4" t="s">
        <v>27</v>
      </c>
      <c r="F173" s="4">
        <f t="shared" si="17"/>
        <v>800</v>
      </c>
      <c r="G173" s="5">
        <f t="shared" si="23"/>
        <v>1.01</v>
      </c>
      <c r="H173" s="6" t="str">
        <f t="shared" si="18"/>
        <v>INSERT INTO public.coupon (plancode, age, "year", couponrate, benefittype, benefitrate, premiumrate) VALUES('EN60', 28, 51, 8, 'A',800, 1.01);</v>
      </c>
      <c r="I173" s="6" t="str">
        <f t="shared" si="19"/>
        <v>{"age":"28", "year":"51", "couponrate":"8", "benefittype":"A", "benefitrate":"800", "premiumrate":"1.01"}</v>
      </c>
      <c r="J173" s="6" t="str">
        <f t="shared" si="20"/>
        <v>,</v>
      </c>
    </row>
    <row r="174" spans="1:10">
      <c r="A174" s="4" t="str">
        <f>'EN60'!A$3</f>
        <v>EN60</v>
      </c>
      <c r="B174" s="4">
        <f t="shared" si="21"/>
        <v>28</v>
      </c>
      <c r="C174" s="4">
        <f t="shared" si="22"/>
        <v>52</v>
      </c>
      <c r="D174" s="4">
        <f t="shared" si="16"/>
        <v>0</v>
      </c>
      <c r="E174" s="4" t="s">
        <v>27</v>
      </c>
      <c r="F174" s="4">
        <f t="shared" si="17"/>
        <v>800</v>
      </c>
      <c r="G174" s="5">
        <f t="shared" si="23"/>
        <v>1.01</v>
      </c>
      <c r="H174" s="6" t="str">
        <f t="shared" si="18"/>
        <v>INSERT INTO public.coupon (plancode, age, "year", couponrate, benefittype, benefitrate, premiumrate) VALUES('EN60', 28, 52, 0, 'A',800, 1.01);</v>
      </c>
      <c r="I174" s="6" t="str">
        <f t="shared" si="19"/>
        <v>{"age":"28", "year":"52", "couponrate":"0", "benefittype":"A", "benefitrate":"800", "premiumrate":"1.01"}</v>
      </c>
    </row>
    <row r="175" spans="1:10">
      <c r="C175" s="6"/>
      <c r="I175" s="6" t="s">
        <v>28</v>
      </c>
    </row>
    <row r="176" spans="1:10">
      <c r="A176" s="3" t="s">
        <v>2</v>
      </c>
      <c r="B176" s="3" t="s">
        <v>23</v>
      </c>
      <c r="C176" s="3" t="s">
        <v>24</v>
      </c>
      <c r="D176" s="3" t="s">
        <v>25</v>
      </c>
      <c r="E176" s="3" t="s">
        <v>8</v>
      </c>
      <c r="F176" s="3" t="s">
        <v>26</v>
      </c>
      <c r="G176" s="3" t="s">
        <v>4</v>
      </c>
      <c r="I176" s="6" t="str">
        <f>"[{""plancode"":"""&amp;A177&amp;""",""returncash"":"""&amp;B$7&amp;""",""ytable"":"""&amp;C$7&amp;""",""maturerate"":"""&amp;B$3&amp;""",""maturepmrate"":"""&amp;C$3&amp;""",""coupon"":["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177" spans="1:10">
      <c r="A177" s="4" t="str">
        <f>'EN60'!A$3</f>
        <v>EN60</v>
      </c>
      <c r="B177" s="8">
        <v>29</v>
      </c>
      <c r="C177" s="4">
        <v>1</v>
      </c>
      <c r="D177" s="4">
        <f t="shared" ref="D177:D227" si="24">IF(C177+B177=80,0,8)</f>
        <v>8</v>
      </c>
      <c r="E177" s="4" t="s">
        <v>27</v>
      </c>
      <c r="F177" s="4">
        <f t="shared" ref="F177:F227" si="25">IF(C177&gt;7, 800, C177*100)</f>
        <v>100</v>
      </c>
      <c r="G177" s="5">
        <f>'EN60'!C$3</f>
        <v>1.01</v>
      </c>
      <c r="H177" s="6" t="str">
        <f t="shared" ref="H177:H227" si="26">"INSERT INTO public.coupon ("&amp;A$11&amp;", "&amp;B$11&amp;", """&amp;C$11&amp;""", "&amp;D$11&amp;", "&amp;E$11&amp;", "&amp;F$11&amp;", "&amp;G$11&amp;") VALUES('"&amp;A177&amp;"', "&amp;B177&amp;", "&amp;C177&amp;", "&amp;D177&amp;", '"&amp;E177&amp;"',"&amp;F177&amp;", "&amp;G177&amp;");"</f>
        <v>INSERT INTO public.coupon (plancode, age, "year", couponrate, benefittype, benefitrate, premiumrate) VALUES('EN60', 29, 1, 8, 'A',100, 1.01);</v>
      </c>
      <c r="I177" s="6" t="str">
        <f t="shared" ref="I177:I227" si="27">"{""age"":"""&amp;B177&amp;""", ""year"":"""&amp;C177&amp;""", ""couponrate"":"""&amp;D177&amp;""", ""benefittype"":"""&amp;E177&amp;""", ""benefitrate"":"""&amp;F177&amp;""", """&amp;G$11&amp;""":"""&amp;G177&amp;"""}"</f>
        <v>{"age":"29", "year":"1", "couponrate":"8", "benefittype":"A", "benefitrate":"100", "premiumrate":"1.01"}</v>
      </c>
      <c r="J177" s="6" t="str">
        <f t="shared" ref="J177:J226" si="28">IF(OR(I178="]", I177="[", I177="]"), "", ",")</f>
        <v>,</v>
      </c>
    </row>
    <row r="178" spans="1:10">
      <c r="A178" s="4" t="str">
        <f>'EN60'!A$3</f>
        <v>EN60</v>
      </c>
      <c r="B178" s="4">
        <f t="shared" ref="B178:B227" si="29">B177</f>
        <v>29</v>
      </c>
      <c r="C178" s="4">
        <f t="shared" ref="C178:C227" si="30">IF(B178+C177+1&gt;80,"",C177+1)</f>
        <v>2</v>
      </c>
      <c r="D178" s="4">
        <f t="shared" si="24"/>
        <v>8</v>
      </c>
      <c r="E178" s="4" t="s">
        <v>27</v>
      </c>
      <c r="F178" s="4">
        <f t="shared" si="25"/>
        <v>200</v>
      </c>
      <c r="G178" s="5">
        <f t="shared" ref="G178:G227" si="31">G177</f>
        <v>1.01</v>
      </c>
      <c r="H178" s="6" t="str">
        <f t="shared" si="26"/>
        <v>INSERT INTO public.coupon (plancode, age, "year", couponrate, benefittype, benefitrate, premiumrate) VALUES('EN60', 29, 2, 8, 'A',200, 1.01);</v>
      </c>
      <c r="I178" s="6" t="str">
        <f t="shared" si="27"/>
        <v>{"age":"29", "year":"2", "couponrate":"8", "benefittype":"A", "benefitrate":"200", "premiumrate":"1.01"}</v>
      </c>
      <c r="J178" s="6" t="str">
        <f t="shared" si="28"/>
        <v>,</v>
      </c>
    </row>
    <row r="179" spans="1:10">
      <c r="A179" s="4" t="str">
        <f>'EN60'!A$3</f>
        <v>EN60</v>
      </c>
      <c r="B179" s="4">
        <f t="shared" si="29"/>
        <v>29</v>
      </c>
      <c r="C179" s="4">
        <f t="shared" si="30"/>
        <v>3</v>
      </c>
      <c r="D179" s="4">
        <f t="shared" si="24"/>
        <v>8</v>
      </c>
      <c r="E179" s="4" t="s">
        <v>27</v>
      </c>
      <c r="F179" s="4">
        <f t="shared" si="25"/>
        <v>300</v>
      </c>
      <c r="G179" s="5">
        <f t="shared" si="31"/>
        <v>1.01</v>
      </c>
      <c r="H179" s="6" t="str">
        <f t="shared" si="26"/>
        <v>INSERT INTO public.coupon (plancode, age, "year", couponrate, benefittype, benefitrate, premiumrate) VALUES('EN60', 29, 3, 8, 'A',300, 1.01);</v>
      </c>
      <c r="I179" s="6" t="str">
        <f t="shared" si="27"/>
        <v>{"age":"29", "year":"3", "couponrate":"8", "benefittype":"A", "benefitrate":"300", "premiumrate":"1.01"}</v>
      </c>
      <c r="J179" s="6" t="str">
        <f t="shared" si="28"/>
        <v>,</v>
      </c>
    </row>
    <row r="180" spans="1:10">
      <c r="A180" s="4" t="str">
        <f>'EN60'!A$3</f>
        <v>EN60</v>
      </c>
      <c r="B180" s="4">
        <f t="shared" si="29"/>
        <v>29</v>
      </c>
      <c r="C180" s="4">
        <f t="shared" si="30"/>
        <v>4</v>
      </c>
      <c r="D180" s="4">
        <f t="shared" si="24"/>
        <v>8</v>
      </c>
      <c r="E180" s="4" t="s">
        <v>27</v>
      </c>
      <c r="F180" s="4">
        <f t="shared" si="25"/>
        <v>400</v>
      </c>
      <c r="G180" s="5">
        <f t="shared" si="31"/>
        <v>1.01</v>
      </c>
      <c r="H180" s="6" t="str">
        <f t="shared" si="26"/>
        <v>INSERT INTO public.coupon (plancode, age, "year", couponrate, benefittype, benefitrate, premiumrate) VALUES('EN60', 29, 4, 8, 'A',400, 1.01);</v>
      </c>
      <c r="I180" s="6" t="str">
        <f t="shared" si="27"/>
        <v>{"age":"29", "year":"4", "couponrate":"8", "benefittype":"A", "benefitrate":"400", "premiumrate":"1.01"}</v>
      </c>
      <c r="J180" s="6" t="str">
        <f t="shared" si="28"/>
        <v>,</v>
      </c>
    </row>
    <row r="181" spans="1:10">
      <c r="A181" s="4" t="str">
        <f>'EN60'!A$3</f>
        <v>EN60</v>
      </c>
      <c r="B181" s="4">
        <f t="shared" si="29"/>
        <v>29</v>
      </c>
      <c r="C181" s="4">
        <f t="shared" si="30"/>
        <v>5</v>
      </c>
      <c r="D181" s="4">
        <f t="shared" si="24"/>
        <v>8</v>
      </c>
      <c r="E181" s="4" t="s">
        <v>27</v>
      </c>
      <c r="F181" s="4">
        <f t="shared" si="25"/>
        <v>500</v>
      </c>
      <c r="G181" s="5">
        <f t="shared" si="31"/>
        <v>1.01</v>
      </c>
      <c r="H181" s="6" t="str">
        <f t="shared" si="26"/>
        <v>INSERT INTO public.coupon (plancode, age, "year", couponrate, benefittype, benefitrate, premiumrate) VALUES('EN60', 29, 5, 8, 'A',500, 1.01);</v>
      </c>
      <c r="I181" s="6" t="str">
        <f t="shared" si="27"/>
        <v>{"age":"29", "year":"5", "couponrate":"8", "benefittype":"A", "benefitrate":"500", "premiumrate":"1.01"}</v>
      </c>
      <c r="J181" s="6" t="str">
        <f t="shared" si="28"/>
        <v>,</v>
      </c>
    </row>
    <row r="182" spans="1:10">
      <c r="A182" s="4" t="str">
        <f>'EN60'!A$3</f>
        <v>EN60</v>
      </c>
      <c r="B182" s="4">
        <f t="shared" si="29"/>
        <v>29</v>
      </c>
      <c r="C182" s="4">
        <f t="shared" si="30"/>
        <v>6</v>
      </c>
      <c r="D182" s="4">
        <f t="shared" si="24"/>
        <v>8</v>
      </c>
      <c r="E182" s="4" t="s">
        <v>27</v>
      </c>
      <c r="F182" s="4">
        <f t="shared" si="25"/>
        <v>600</v>
      </c>
      <c r="G182" s="5">
        <f t="shared" si="31"/>
        <v>1.01</v>
      </c>
      <c r="H182" s="6" t="str">
        <f t="shared" si="26"/>
        <v>INSERT INTO public.coupon (plancode, age, "year", couponrate, benefittype, benefitrate, premiumrate) VALUES('EN60', 29, 6, 8, 'A',600, 1.01);</v>
      </c>
      <c r="I182" s="6" t="str">
        <f t="shared" si="27"/>
        <v>{"age":"29", "year":"6", "couponrate":"8", "benefittype":"A", "benefitrate":"600", "premiumrate":"1.01"}</v>
      </c>
      <c r="J182" s="6" t="str">
        <f t="shared" si="28"/>
        <v>,</v>
      </c>
    </row>
    <row r="183" spans="1:10">
      <c r="A183" s="4" t="str">
        <f>'EN60'!A$3</f>
        <v>EN60</v>
      </c>
      <c r="B183" s="4">
        <f t="shared" si="29"/>
        <v>29</v>
      </c>
      <c r="C183" s="4">
        <f t="shared" si="30"/>
        <v>7</v>
      </c>
      <c r="D183" s="4">
        <f t="shared" si="24"/>
        <v>8</v>
      </c>
      <c r="E183" s="4" t="s">
        <v>27</v>
      </c>
      <c r="F183" s="4">
        <f t="shared" si="25"/>
        <v>700</v>
      </c>
      <c r="G183" s="5">
        <f t="shared" si="31"/>
        <v>1.01</v>
      </c>
      <c r="H183" s="6" t="str">
        <f t="shared" si="26"/>
        <v>INSERT INTO public.coupon (plancode, age, "year", couponrate, benefittype, benefitrate, premiumrate) VALUES('EN60', 29, 7, 8, 'A',700, 1.01);</v>
      </c>
      <c r="I183" s="6" t="str">
        <f t="shared" si="27"/>
        <v>{"age":"29", "year":"7", "couponrate":"8", "benefittype":"A", "benefitrate":"700", "premiumrate":"1.01"}</v>
      </c>
      <c r="J183" s="6" t="str">
        <f t="shared" si="28"/>
        <v>,</v>
      </c>
    </row>
    <row r="184" spans="1:10">
      <c r="A184" s="4" t="str">
        <f>'EN60'!A$3</f>
        <v>EN60</v>
      </c>
      <c r="B184" s="4">
        <f t="shared" si="29"/>
        <v>29</v>
      </c>
      <c r="C184" s="4">
        <f t="shared" si="30"/>
        <v>8</v>
      </c>
      <c r="D184" s="4">
        <f t="shared" si="24"/>
        <v>8</v>
      </c>
      <c r="E184" s="4" t="s">
        <v>27</v>
      </c>
      <c r="F184" s="4">
        <f t="shared" si="25"/>
        <v>800</v>
      </c>
      <c r="G184" s="5">
        <f t="shared" si="31"/>
        <v>1.01</v>
      </c>
      <c r="H184" s="6" t="str">
        <f t="shared" si="26"/>
        <v>INSERT INTO public.coupon (plancode, age, "year", couponrate, benefittype, benefitrate, premiumrate) VALUES('EN60', 29, 8, 8, 'A',800, 1.01);</v>
      </c>
      <c r="I184" s="6" t="str">
        <f t="shared" si="27"/>
        <v>{"age":"29", "year":"8", "couponrate":"8", "benefittype":"A", "benefitrate":"800", "premiumrate":"1.01"}</v>
      </c>
      <c r="J184" s="6" t="str">
        <f t="shared" si="28"/>
        <v>,</v>
      </c>
    </row>
    <row r="185" spans="1:10">
      <c r="A185" s="4" t="str">
        <f>'EN60'!A$3</f>
        <v>EN60</v>
      </c>
      <c r="B185" s="4">
        <f t="shared" si="29"/>
        <v>29</v>
      </c>
      <c r="C185" s="4">
        <f t="shared" si="30"/>
        <v>9</v>
      </c>
      <c r="D185" s="4">
        <f t="shared" si="24"/>
        <v>8</v>
      </c>
      <c r="E185" s="4" t="s">
        <v>27</v>
      </c>
      <c r="F185" s="4">
        <f t="shared" si="25"/>
        <v>800</v>
      </c>
      <c r="G185" s="5">
        <f t="shared" si="31"/>
        <v>1.01</v>
      </c>
      <c r="H185" s="6" t="str">
        <f t="shared" si="26"/>
        <v>INSERT INTO public.coupon (plancode, age, "year", couponrate, benefittype, benefitrate, premiumrate) VALUES('EN60', 29, 9, 8, 'A',800, 1.01);</v>
      </c>
      <c r="I185" s="6" t="str">
        <f t="shared" si="27"/>
        <v>{"age":"29", "year":"9", "couponrate":"8", "benefittype":"A", "benefitrate":"800", "premiumrate":"1.01"}</v>
      </c>
      <c r="J185" s="6" t="str">
        <f t="shared" si="28"/>
        <v>,</v>
      </c>
    </row>
    <row r="186" spans="1:10">
      <c r="A186" s="4" t="str">
        <f>'EN60'!A$3</f>
        <v>EN60</v>
      </c>
      <c r="B186" s="4">
        <f t="shared" si="29"/>
        <v>29</v>
      </c>
      <c r="C186" s="4">
        <f t="shared" si="30"/>
        <v>10</v>
      </c>
      <c r="D186" s="4">
        <f t="shared" si="24"/>
        <v>8</v>
      </c>
      <c r="E186" s="4" t="s">
        <v>27</v>
      </c>
      <c r="F186" s="4">
        <f t="shared" si="25"/>
        <v>800</v>
      </c>
      <c r="G186" s="5">
        <f t="shared" si="31"/>
        <v>1.01</v>
      </c>
      <c r="H186" s="6" t="str">
        <f t="shared" si="26"/>
        <v>INSERT INTO public.coupon (plancode, age, "year", couponrate, benefittype, benefitrate, premiumrate) VALUES('EN60', 29, 10, 8, 'A',800, 1.01);</v>
      </c>
      <c r="I186" s="6" t="str">
        <f t="shared" si="27"/>
        <v>{"age":"29", "year":"10", "couponrate":"8", "benefittype":"A", "benefitrate":"800", "premiumrate":"1.01"}</v>
      </c>
      <c r="J186" s="6" t="str">
        <f t="shared" si="28"/>
        <v>,</v>
      </c>
    </row>
    <row r="187" spans="1:10">
      <c r="A187" s="4" t="str">
        <f>'EN60'!A$3</f>
        <v>EN60</v>
      </c>
      <c r="B187" s="4">
        <f t="shared" si="29"/>
        <v>29</v>
      </c>
      <c r="C187" s="4">
        <f t="shared" si="30"/>
        <v>11</v>
      </c>
      <c r="D187" s="4">
        <f t="shared" si="24"/>
        <v>8</v>
      </c>
      <c r="E187" s="4" t="s">
        <v>27</v>
      </c>
      <c r="F187" s="4">
        <f t="shared" si="25"/>
        <v>800</v>
      </c>
      <c r="G187" s="5">
        <f t="shared" si="31"/>
        <v>1.01</v>
      </c>
      <c r="H187" s="6" t="str">
        <f t="shared" si="26"/>
        <v>INSERT INTO public.coupon (plancode, age, "year", couponrate, benefittype, benefitrate, premiumrate) VALUES('EN60', 29, 11, 8, 'A',800, 1.01);</v>
      </c>
      <c r="I187" s="6" t="str">
        <f t="shared" si="27"/>
        <v>{"age":"29", "year":"11", "couponrate":"8", "benefittype":"A", "benefitrate":"800", "premiumrate":"1.01"}</v>
      </c>
      <c r="J187" s="6" t="str">
        <f t="shared" si="28"/>
        <v>,</v>
      </c>
    </row>
    <row r="188" spans="1:10">
      <c r="A188" s="4" t="str">
        <f>'EN60'!A$3</f>
        <v>EN60</v>
      </c>
      <c r="B188" s="4">
        <f t="shared" si="29"/>
        <v>29</v>
      </c>
      <c r="C188" s="4">
        <f t="shared" si="30"/>
        <v>12</v>
      </c>
      <c r="D188" s="4">
        <f t="shared" si="24"/>
        <v>8</v>
      </c>
      <c r="E188" s="4" t="s">
        <v>27</v>
      </c>
      <c r="F188" s="4">
        <f t="shared" si="25"/>
        <v>800</v>
      </c>
      <c r="G188" s="5">
        <f t="shared" si="31"/>
        <v>1.01</v>
      </c>
      <c r="H188" s="6" t="str">
        <f t="shared" si="26"/>
        <v>INSERT INTO public.coupon (plancode, age, "year", couponrate, benefittype, benefitrate, premiumrate) VALUES('EN60', 29, 12, 8, 'A',800, 1.01);</v>
      </c>
      <c r="I188" s="6" t="str">
        <f t="shared" si="27"/>
        <v>{"age":"29", "year":"12", "couponrate":"8", "benefittype":"A", "benefitrate":"800", "premiumrate":"1.01"}</v>
      </c>
      <c r="J188" s="6" t="str">
        <f t="shared" si="28"/>
        <v>,</v>
      </c>
    </row>
    <row r="189" spans="1:10">
      <c r="A189" s="4" t="str">
        <f>'EN60'!A$3</f>
        <v>EN60</v>
      </c>
      <c r="B189" s="4">
        <f t="shared" si="29"/>
        <v>29</v>
      </c>
      <c r="C189" s="4">
        <f t="shared" si="30"/>
        <v>13</v>
      </c>
      <c r="D189" s="4">
        <f t="shared" si="24"/>
        <v>8</v>
      </c>
      <c r="E189" s="4" t="s">
        <v>27</v>
      </c>
      <c r="F189" s="4">
        <f t="shared" si="25"/>
        <v>800</v>
      </c>
      <c r="G189" s="5">
        <f t="shared" si="31"/>
        <v>1.01</v>
      </c>
      <c r="H189" s="6" t="str">
        <f t="shared" si="26"/>
        <v>INSERT INTO public.coupon (plancode, age, "year", couponrate, benefittype, benefitrate, premiumrate) VALUES('EN60', 29, 13, 8, 'A',800, 1.01);</v>
      </c>
      <c r="I189" s="6" t="str">
        <f t="shared" si="27"/>
        <v>{"age":"29", "year":"13", "couponrate":"8", "benefittype":"A", "benefitrate":"800", "premiumrate":"1.01"}</v>
      </c>
      <c r="J189" s="6" t="str">
        <f t="shared" si="28"/>
        <v>,</v>
      </c>
    </row>
    <row r="190" spans="1:10">
      <c r="A190" s="4" t="str">
        <f>'EN60'!A$3</f>
        <v>EN60</v>
      </c>
      <c r="B190" s="4">
        <f t="shared" si="29"/>
        <v>29</v>
      </c>
      <c r="C190" s="4">
        <f t="shared" si="30"/>
        <v>14</v>
      </c>
      <c r="D190" s="4">
        <f t="shared" si="24"/>
        <v>8</v>
      </c>
      <c r="E190" s="4" t="s">
        <v>27</v>
      </c>
      <c r="F190" s="4">
        <f t="shared" si="25"/>
        <v>800</v>
      </c>
      <c r="G190" s="5">
        <f t="shared" si="31"/>
        <v>1.01</v>
      </c>
      <c r="H190" s="6" t="str">
        <f t="shared" si="26"/>
        <v>INSERT INTO public.coupon (plancode, age, "year", couponrate, benefittype, benefitrate, premiumrate) VALUES('EN60', 29, 14, 8, 'A',800, 1.01);</v>
      </c>
      <c r="I190" s="6" t="str">
        <f t="shared" si="27"/>
        <v>{"age":"29", "year":"14", "couponrate":"8", "benefittype":"A", "benefitrate":"800", "premiumrate":"1.01"}</v>
      </c>
      <c r="J190" s="6" t="str">
        <f t="shared" si="28"/>
        <v>,</v>
      </c>
    </row>
    <row r="191" spans="1:10">
      <c r="A191" s="4" t="str">
        <f>'EN60'!A$3</f>
        <v>EN60</v>
      </c>
      <c r="B191" s="4">
        <f t="shared" si="29"/>
        <v>29</v>
      </c>
      <c r="C191" s="4">
        <f t="shared" si="30"/>
        <v>15</v>
      </c>
      <c r="D191" s="4">
        <f t="shared" si="24"/>
        <v>8</v>
      </c>
      <c r="E191" s="4" t="s">
        <v>27</v>
      </c>
      <c r="F191" s="4">
        <f t="shared" si="25"/>
        <v>800</v>
      </c>
      <c r="G191" s="5">
        <f t="shared" si="31"/>
        <v>1.01</v>
      </c>
      <c r="H191" s="6" t="str">
        <f t="shared" si="26"/>
        <v>INSERT INTO public.coupon (plancode, age, "year", couponrate, benefittype, benefitrate, premiumrate) VALUES('EN60', 29, 15, 8, 'A',800, 1.01);</v>
      </c>
      <c r="I191" s="6" t="str">
        <f t="shared" si="27"/>
        <v>{"age":"29", "year":"15", "couponrate":"8", "benefittype":"A", "benefitrate":"800", "premiumrate":"1.01"}</v>
      </c>
      <c r="J191" s="6" t="str">
        <f t="shared" si="28"/>
        <v>,</v>
      </c>
    </row>
    <row r="192" spans="1:10">
      <c r="A192" s="4" t="str">
        <f>'EN60'!A$3</f>
        <v>EN60</v>
      </c>
      <c r="B192" s="4">
        <f t="shared" si="29"/>
        <v>29</v>
      </c>
      <c r="C192" s="4">
        <f t="shared" si="30"/>
        <v>16</v>
      </c>
      <c r="D192" s="4">
        <f t="shared" si="24"/>
        <v>8</v>
      </c>
      <c r="E192" s="4" t="s">
        <v>27</v>
      </c>
      <c r="F192" s="4">
        <f t="shared" si="25"/>
        <v>800</v>
      </c>
      <c r="G192" s="5">
        <f t="shared" si="31"/>
        <v>1.01</v>
      </c>
      <c r="H192" s="6" t="str">
        <f t="shared" si="26"/>
        <v>INSERT INTO public.coupon (plancode, age, "year", couponrate, benefittype, benefitrate, premiumrate) VALUES('EN60', 29, 16, 8, 'A',800, 1.01);</v>
      </c>
      <c r="I192" s="6" t="str">
        <f t="shared" si="27"/>
        <v>{"age":"29", "year":"16", "couponrate":"8", "benefittype":"A", "benefitrate":"800", "premiumrate":"1.01"}</v>
      </c>
      <c r="J192" s="6" t="str">
        <f t="shared" si="28"/>
        <v>,</v>
      </c>
    </row>
    <row r="193" spans="1:10">
      <c r="A193" s="4" t="str">
        <f>'EN60'!A$3</f>
        <v>EN60</v>
      </c>
      <c r="B193" s="4">
        <f t="shared" si="29"/>
        <v>29</v>
      </c>
      <c r="C193" s="4">
        <f t="shared" si="30"/>
        <v>17</v>
      </c>
      <c r="D193" s="4">
        <f t="shared" si="24"/>
        <v>8</v>
      </c>
      <c r="E193" s="4" t="s">
        <v>27</v>
      </c>
      <c r="F193" s="4">
        <f t="shared" si="25"/>
        <v>800</v>
      </c>
      <c r="G193" s="5">
        <f t="shared" si="31"/>
        <v>1.01</v>
      </c>
      <c r="H193" s="6" t="str">
        <f t="shared" si="26"/>
        <v>INSERT INTO public.coupon (plancode, age, "year", couponrate, benefittype, benefitrate, premiumrate) VALUES('EN60', 29, 17, 8, 'A',800, 1.01);</v>
      </c>
      <c r="I193" s="6" t="str">
        <f t="shared" si="27"/>
        <v>{"age":"29", "year":"17", "couponrate":"8", "benefittype":"A", "benefitrate":"800", "premiumrate":"1.01"}</v>
      </c>
      <c r="J193" s="6" t="str">
        <f t="shared" si="28"/>
        <v>,</v>
      </c>
    </row>
    <row r="194" spans="1:10">
      <c r="A194" s="4" t="str">
        <f>'EN60'!A$3</f>
        <v>EN60</v>
      </c>
      <c r="B194" s="4">
        <f t="shared" si="29"/>
        <v>29</v>
      </c>
      <c r="C194" s="4">
        <f t="shared" si="30"/>
        <v>18</v>
      </c>
      <c r="D194" s="4">
        <f t="shared" si="24"/>
        <v>8</v>
      </c>
      <c r="E194" s="4" t="s">
        <v>27</v>
      </c>
      <c r="F194" s="4">
        <f t="shared" si="25"/>
        <v>800</v>
      </c>
      <c r="G194" s="5">
        <f t="shared" si="31"/>
        <v>1.01</v>
      </c>
      <c r="H194" s="6" t="str">
        <f t="shared" si="26"/>
        <v>INSERT INTO public.coupon (plancode, age, "year", couponrate, benefittype, benefitrate, premiumrate) VALUES('EN60', 29, 18, 8, 'A',800, 1.01);</v>
      </c>
      <c r="I194" s="6" t="str">
        <f t="shared" si="27"/>
        <v>{"age":"29", "year":"18", "couponrate":"8", "benefittype":"A", "benefitrate":"800", "premiumrate":"1.01"}</v>
      </c>
      <c r="J194" s="6" t="str">
        <f t="shared" si="28"/>
        <v>,</v>
      </c>
    </row>
    <row r="195" spans="1:10">
      <c r="A195" s="4" t="str">
        <f>'EN60'!A$3</f>
        <v>EN60</v>
      </c>
      <c r="B195" s="4">
        <f t="shared" si="29"/>
        <v>29</v>
      </c>
      <c r="C195" s="4">
        <f t="shared" si="30"/>
        <v>19</v>
      </c>
      <c r="D195" s="4">
        <f t="shared" si="24"/>
        <v>8</v>
      </c>
      <c r="E195" s="4" t="s">
        <v>27</v>
      </c>
      <c r="F195" s="4">
        <f t="shared" si="25"/>
        <v>800</v>
      </c>
      <c r="G195" s="5">
        <f t="shared" si="31"/>
        <v>1.01</v>
      </c>
      <c r="H195" s="6" t="str">
        <f t="shared" si="26"/>
        <v>INSERT INTO public.coupon (plancode, age, "year", couponrate, benefittype, benefitrate, premiumrate) VALUES('EN60', 29, 19, 8, 'A',800, 1.01);</v>
      </c>
      <c r="I195" s="6" t="str">
        <f t="shared" si="27"/>
        <v>{"age":"29", "year":"19", "couponrate":"8", "benefittype":"A", "benefitrate":"800", "premiumrate":"1.01"}</v>
      </c>
      <c r="J195" s="6" t="str">
        <f t="shared" si="28"/>
        <v>,</v>
      </c>
    </row>
    <row r="196" spans="1:10">
      <c r="A196" s="4" t="str">
        <f>'EN60'!A$3</f>
        <v>EN60</v>
      </c>
      <c r="B196" s="4">
        <f t="shared" si="29"/>
        <v>29</v>
      </c>
      <c r="C196" s="4">
        <f t="shared" si="30"/>
        <v>20</v>
      </c>
      <c r="D196" s="4">
        <f t="shared" si="24"/>
        <v>8</v>
      </c>
      <c r="E196" s="4" t="s">
        <v>27</v>
      </c>
      <c r="F196" s="4">
        <f t="shared" si="25"/>
        <v>800</v>
      </c>
      <c r="G196" s="5">
        <f t="shared" si="31"/>
        <v>1.01</v>
      </c>
      <c r="H196" s="6" t="str">
        <f t="shared" si="26"/>
        <v>INSERT INTO public.coupon (plancode, age, "year", couponrate, benefittype, benefitrate, premiumrate) VALUES('EN60', 29, 20, 8, 'A',800, 1.01);</v>
      </c>
      <c r="I196" s="6" t="str">
        <f t="shared" si="27"/>
        <v>{"age":"29", "year":"20", "couponrate":"8", "benefittype":"A", "benefitrate":"800", "premiumrate":"1.01"}</v>
      </c>
      <c r="J196" s="6" t="str">
        <f t="shared" si="28"/>
        <v>,</v>
      </c>
    </row>
    <row r="197" spans="1:10">
      <c r="A197" s="4" t="str">
        <f>'EN60'!A$3</f>
        <v>EN60</v>
      </c>
      <c r="B197" s="4">
        <f t="shared" si="29"/>
        <v>29</v>
      </c>
      <c r="C197" s="4">
        <f t="shared" si="30"/>
        <v>21</v>
      </c>
      <c r="D197" s="4">
        <f t="shared" si="24"/>
        <v>8</v>
      </c>
      <c r="E197" s="4" t="s">
        <v>27</v>
      </c>
      <c r="F197" s="4">
        <f t="shared" si="25"/>
        <v>800</v>
      </c>
      <c r="G197" s="5">
        <f t="shared" si="31"/>
        <v>1.01</v>
      </c>
      <c r="H197" s="6" t="str">
        <f t="shared" si="26"/>
        <v>INSERT INTO public.coupon (plancode, age, "year", couponrate, benefittype, benefitrate, premiumrate) VALUES('EN60', 29, 21, 8, 'A',800, 1.01);</v>
      </c>
      <c r="I197" s="6" t="str">
        <f t="shared" si="27"/>
        <v>{"age":"29", "year":"21", "couponrate":"8", "benefittype":"A", "benefitrate":"800", "premiumrate":"1.01"}</v>
      </c>
      <c r="J197" s="6" t="str">
        <f t="shared" si="28"/>
        <v>,</v>
      </c>
    </row>
    <row r="198" spans="1:10">
      <c r="A198" s="4" t="str">
        <f>'EN60'!A$3</f>
        <v>EN60</v>
      </c>
      <c r="B198" s="4">
        <f t="shared" si="29"/>
        <v>29</v>
      </c>
      <c r="C198" s="4">
        <f t="shared" si="30"/>
        <v>22</v>
      </c>
      <c r="D198" s="4">
        <f t="shared" si="24"/>
        <v>8</v>
      </c>
      <c r="E198" s="4" t="s">
        <v>27</v>
      </c>
      <c r="F198" s="4">
        <f t="shared" si="25"/>
        <v>800</v>
      </c>
      <c r="G198" s="5">
        <f t="shared" si="31"/>
        <v>1.01</v>
      </c>
      <c r="H198" s="6" t="str">
        <f t="shared" si="26"/>
        <v>INSERT INTO public.coupon (plancode, age, "year", couponrate, benefittype, benefitrate, premiumrate) VALUES('EN60', 29, 22, 8, 'A',800, 1.01);</v>
      </c>
      <c r="I198" s="6" t="str">
        <f t="shared" si="27"/>
        <v>{"age":"29", "year":"22", "couponrate":"8", "benefittype":"A", "benefitrate":"800", "premiumrate":"1.01"}</v>
      </c>
      <c r="J198" s="6" t="str">
        <f t="shared" si="28"/>
        <v>,</v>
      </c>
    </row>
    <row r="199" spans="1:10">
      <c r="A199" s="4" t="str">
        <f>'EN60'!A$3</f>
        <v>EN60</v>
      </c>
      <c r="B199" s="4">
        <f t="shared" si="29"/>
        <v>29</v>
      </c>
      <c r="C199" s="4">
        <f t="shared" si="30"/>
        <v>23</v>
      </c>
      <c r="D199" s="4">
        <f t="shared" si="24"/>
        <v>8</v>
      </c>
      <c r="E199" s="4" t="s">
        <v>27</v>
      </c>
      <c r="F199" s="4">
        <f t="shared" si="25"/>
        <v>800</v>
      </c>
      <c r="G199" s="5">
        <f t="shared" si="31"/>
        <v>1.01</v>
      </c>
      <c r="H199" s="6" t="str">
        <f t="shared" si="26"/>
        <v>INSERT INTO public.coupon (plancode, age, "year", couponrate, benefittype, benefitrate, premiumrate) VALUES('EN60', 29, 23, 8, 'A',800, 1.01);</v>
      </c>
      <c r="I199" s="6" t="str">
        <f t="shared" si="27"/>
        <v>{"age":"29", "year":"23", "couponrate":"8", "benefittype":"A", "benefitrate":"800", "premiumrate":"1.01"}</v>
      </c>
      <c r="J199" s="6" t="str">
        <f t="shared" si="28"/>
        <v>,</v>
      </c>
    </row>
    <row r="200" spans="1:10">
      <c r="A200" s="4" t="str">
        <f>'EN60'!A$3</f>
        <v>EN60</v>
      </c>
      <c r="B200" s="4">
        <f t="shared" si="29"/>
        <v>29</v>
      </c>
      <c r="C200" s="4">
        <f t="shared" si="30"/>
        <v>24</v>
      </c>
      <c r="D200" s="4">
        <f t="shared" si="24"/>
        <v>8</v>
      </c>
      <c r="E200" s="4" t="s">
        <v>27</v>
      </c>
      <c r="F200" s="4">
        <f t="shared" si="25"/>
        <v>800</v>
      </c>
      <c r="G200" s="5">
        <f t="shared" si="31"/>
        <v>1.01</v>
      </c>
      <c r="H200" s="6" t="str">
        <f t="shared" si="26"/>
        <v>INSERT INTO public.coupon (plancode, age, "year", couponrate, benefittype, benefitrate, premiumrate) VALUES('EN60', 29, 24, 8, 'A',800, 1.01);</v>
      </c>
      <c r="I200" s="6" t="str">
        <f t="shared" si="27"/>
        <v>{"age":"29", "year":"24", "couponrate":"8", "benefittype":"A", "benefitrate":"800", "premiumrate":"1.01"}</v>
      </c>
      <c r="J200" s="6" t="str">
        <f t="shared" si="28"/>
        <v>,</v>
      </c>
    </row>
    <row r="201" spans="1:10">
      <c r="A201" s="4" t="str">
        <f>'EN60'!A$3</f>
        <v>EN60</v>
      </c>
      <c r="B201" s="4">
        <f t="shared" si="29"/>
        <v>29</v>
      </c>
      <c r="C201" s="4">
        <f t="shared" si="30"/>
        <v>25</v>
      </c>
      <c r="D201" s="4">
        <f t="shared" si="24"/>
        <v>8</v>
      </c>
      <c r="E201" s="4" t="s">
        <v>27</v>
      </c>
      <c r="F201" s="4">
        <f t="shared" si="25"/>
        <v>800</v>
      </c>
      <c r="G201" s="5">
        <f t="shared" si="31"/>
        <v>1.01</v>
      </c>
      <c r="H201" s="6" t="str">
        <f t="shared" si="26"/>
        <v>INSERT INTO public.coupon (plancode, age, "year", couponrate, benefittype, benefitrate, premiumrate) VALUES('EN60', 29, 25, 8, 'A',800, 1.01);</v>
      </c>
      <c r="I201" s="6" t="str">
        <f t="shared" si="27"/>
        <v>{"age":"29", "year":"25", "couponrate":"8", "benefittype":"A", "benefitrate":"800", "premiumrate":"1.01"}</v>
      </c>
      <c r="J201" s="6" t="str">
        <f t="shared" si="28"/>
        <v>,</v>
      </c>
    </row>
    <row r="202" spans="1:10">
      <c r="A202" s="4" t="str">
        <f>'EN60'!A$3</f>
        <v>EN60</v>
      </c>
      <c r="B202" s="4">
        <f t="shared" si="29"/>
        <v>29</v>
      </c>
      <c r="C202" s="4">
        <f t="shared" si="30"/>
        <v>26</v>
      </c>
      <c r="D202" s="4">
        <f t="shared" si="24"/>
        <v>8</v>
      </c>
      <c r="E202" s="4" t="s">
        <v>27</v>
      </c>
      <c r="F202" s="4">
        <f t="shared" si="25"/>
        <v>800</v>
      </c>
      <c r="G202" s="5">
        <f t="shared" si="31"/>
        <v>1.01</v>
      </c>
      <c r="H202" s="6" t="str">
        <f t="shared" si="26"/>
        <v>INSERT INTO public.coupon (plancode, age, "year", couponrate, benefittype, benefitrate, premiumrate) VALUES('EN60', 29, 26, 8, 'A',800, 1.01);</v>
      </c>
      <c r="I202" s="6" t="str">
        <f t="shared" si="27"/>
        <v>{"age":"29", "year":"26", "couponrate":"8", "benefittype":"A", "benefitrate":"800", "premiumrate":"1.01"}</v>
      </c>
      <c r="J202" s="6" t="str">
        <f t="shared" si="28"/>
        <v>,</v>
      </c>
    </row>
    <row r="203" spans="1:10">
      <c r="A203" s="4" t="str">
        <f>'EN60'!A$3</f>
        <v>EN60</v>
      </c>
      <c r="B203" s="4">
        <f t="shared" si="29"/>
        <v>29</v>
      </c>
      <c r="C203" s="4">
        <f t="shared" si="30"/>
        <v>27</v>
      </c>
      <c r="D203" s="4">
        <f t="shared" si="24"/>
        <v>8</v>
      </c>
      <c r="E203" s="4" t="s">
        <v>27</v>
      </c>
      <c r="F203" s="4">
        <f t="shared" si="25"/>
        <v>800</v>
      </c>
      <c r="G203" s="5">
        <f t="shared" si="31"/>
        <v>1.01</v>
      </c>
      <c r="H203" s="6" t="str">
        <f t="shared" si="26"/>
        <v>INSERT INTO public.coupon (plancode, age, "year", couponrate, benefittype, benefitrate, premiumrate) VALUES('EN60', 29, 27, 8, 'A',800, 1.01);</v>
      </c>
      <c r="I203" s="6" t="str">
        <f t="shared" si="27"/>
        <v>{"age":"29", "year":"27", "couponrate":"8", "benefittype":"A", "benefitrate":"800", "premiumrate":"1.01"}</v>
      </c>
      <c r="J203" s="6" t="str">
        <f t="shared" si="28"/>
        <v>,</v>
      </c>
    </row>
    <row r="204" spans="1:10">
      <c r="A204" s="4" t="str">
        <f>'EN60'!A$3</f>
        <v>EN60</v>
      </c>
      <c r="B204" s="4">
        <f t="shared" si="29"/>
        <v>29</v>
      </c>
      <c r="C204" s="4">
        <f t="shared" si="30"/>
        <v>28</v>
      </c>
      <c r="D204" s="4">
        <f t="shared" si="24"/>
        <v>8</v>
      </c>
      <c r="E204" s="4" t="s">
        <v>27</v>
      </c>
      <c r="F204" s="4">
        <f t="shared" si="25"/>
        <v>800</v>
      </c>
      <c r="G204" s="5">
        <f t="shared" si="31"/>
        <v>1.01</v>
      </c>
      <c r="H204" s="6" t="str">
        <f t="shared" si="26"/>
        <v>INSERT INTO public.coupon (plancode, age, "year", couponrate, benefittype, benefitrate, premiumrate) VALUES('EN60', 29, 28, 8, 'A',800, 1.01);</v>
      </c>
      <c r="I204" s="6" t="str">
        <f t="shared" si="27"/>
        <v>{"age":"29", "year":"28", "couponrate":"8", "benefittype":"A", "benefitrate":"800", "premiumrate":"1.01"}</v>
      </c>
      <c r="J204" s="6" t="str">
        <f t="shared" si="28"/>
        <v>,</v>
      </c>
    </row>
    <row r="205" spans="1:10">
      <c r="A205" s="4" t="str">
        <f>'EN60'!A$3</f>
        <v>EN60</v>
      </c>
      <c r="B205" s="4">
        <f t="shared" si="29"/>
        <v>29</v>
      </c>
      <c r="C205" s="4">
        <f t="shared" si="30"/>
        <v>29</v>
      </c>
      <c r="D205" s="4">
        <f t="shared" si="24"/>
        <v>8</v>
      </c>
      <c r="E205" s="4" t="s">
        <v>27</v>
      </c>
      <c r="F205" s="4">
        <f t="shared" si="25"/>
        <v>800</v>
      </c>
      <c r="G205" s="5">
        <f t="shared" si="31"/>
        <v>1.01</v>
      </c>
      <c r="H205" s="6" t="str">
        <f t="shared" si="26"/>
        <v>INSERT INTO public.coupon (plancode, age, "year", couponrate, benefittype, benefitrate, premiumrate) VALUES('EN60', 29, 29, 8, 'A',800, 1.01);</v>
      </c>
      <c r="I205" s="6" t="str">
        <f t="shared" si="27"/>
        <v>{"age":"29", "year":"29", "couponrate":"8", "benefittype":"A", "benefitrate":"800", "premiumrate":"1.01"}</v>
      </c>
      <c r="J205" s="6" t="str">
        <f t="shared" si="28"/>
        <v>,</v>
      </c>
    </row>
    <row r="206" spans="1:10">
      <c r="A206" s="4" t="str">
        <f>'EN60'!A$3</f>
        <v>EN60</v>
      </c>
      <c r="B206" s="4">
        <f t="shared" si="29"/>
        <v>29</v>
      </c>
      <c r="C206" s="4">
        <f t="shared" si="30"/>
        <v>30</v>
      </c>
      <c r="D206" s="4">
        <f t="shared" si="24"/>
        <v>8</v>
      </c>
      <c r="E206" s="4" t="s">
        <v>27</v>
      </c>
      <c r="F206" s="4">
        <f t="shared" si="25"/>
        <v>800</v>
      </c>
      <c r="G206" s="5">
        <f t="shared" si="31"/>
        <v>1.01</v>
      </c>
      <c r="H206" s="6" t="str">
        <f t="shared" si="26"/>
        <v>INSERT INTO public.coupon (plancode, age, "year", couponrate, benefittype, benefitrate, premiumrate) VALUES('EN60', 29, 30, 8, 'A',800, 1.01);</v>
      </c>
      <c r="I206" s="6" t="str">
        <f t="shared" si="27"/>
        <v>{"age":"29", "year":"30", "couponrate":"8", "benefittype":"A", "benefitrate":"800", "premiumrate":"1.01"}</v>
      </c>
      <c r="J206" s="6" t="str">
        <f t="shared" si="28"/>
        <v>,</v>
      </c>
    </row>
    <row r="207" spans="1:10">
      <c r="A207" s="4" t="str">
        <f>'EN60'!A$3</f>
        <v>EN60</v>
      </c>
      <c r="B207" s="4">
        <f t="shared" si="29"/>
        <v>29</v>
      </c>
      <c r="C207" s="4">
        <f t="shared" si="30"/>
        <v>31</v>
      </c>
      <c r="D207" s="4">
        <f t="shared" si="24"/>
        <v>8</v>
      </c>
      <c r="E207" s="4" t="s">
        <v>27</v>
      </c>
      <c r="F207" s="4">
        <f t="shared" si="25"/>
        <v>800</v>
      </c>
      <c r="G207" s="5">
        <f t="shared" si="31"/>
        <v>1.01</v>
      </c>
      <c r="H207" s="6" t="str">
        <f t="shared" si="26"/>
        <v>INSERT INTO public.coupon (plancode, age, "year", couponrate, benefittype, benefitrate, premiumrate) VALUES('EN60', 29, 31, 8, 'A',800, 1.01);</v>
      </c>
      <c r="I207" s="6" t="str">
        <f t="shared" si="27"/>
        <v>{"age":"29", "year":"31", "couponrate":"8", "benefittype":"A", "benefitrate":"800", "premiumrate":"1.01"}</v>
      </c>
      <c r="J207" s="6" t="str">
        <f t="shared" si="28"/>
        <v>,</v>
      </c>
    </row>
    <row r="208" spans="1:10">
      <c r="A208" s="4" t="str">
        <f>'EN60'!A$3</f>
        <v>EN60</v>
      </c>
      <c r="B208" s="4">
        <f t="shared" si="29"/>
        <v>29</v>
      </c>
      <c r="C208" s="4">
        <f t="shared" si="30"/>
        <v>32</v>
      </c>
      <c r="D208" s="4">
        <f t="shared" si="24"/>
        <v>8</v>
      </c>
      <c r="E208" s="4" t="s">
        <v>27</v>
      </c>
      <c r="F208" s="4">
        <f t="shared" si="25"/>
        <v>800</v>
      </c>
      <c r="G208" s="5">
        <f t="shared" si="31"/>
        <v>1.01</v>
      </c>
      <c r="H208" s="6" t="str">
        <f t="shared" si="26"/>
        <v>INSERT INTO public.coupon (plancode, age, "year", couponrate, benefittype, benefitrate, premiumrate) VALUES('EN60', 29, 32, 8, 'A',800, 1.01);</v>
      </c>
      <c r="I208" s="6" t="str">
        <f t="shared" si="27"/>
        <v>{"age":"29", "year":"32", "couponrate":"8", "benefittype":"A", "benefitrate":"800", "premiumrate":"1.01"}</v>
      </c>
      <c r="J208" s="6" t="str">
        <f t="shared" si="28"/>
        <v>,</v>
      </c>
    </row>
    <row r="209" spans="1:10">
      <c r="A209" s="4" t="str">
        <f>'EN60'!A$3</f>
        <v>EN60</v>
      </c>
      <c r="B209" s="4">
        <f t="shared" si="29"/>
        <v>29</v>
      </c>
      <c r="C209" s="4">
        <f t="shared" si="30"/>
        <v>33</v>
      </c>
      <c r="D209" s="4">
        <f t="shared" si="24"/>
        <v>8</v>
      </c>
      <c r="E209" s="4" t="s">
        <v>27</v>
      </c>
      <c r="F209" s="4">
        <f t="shared" si="25"/>
        <v>800</v>
      </c>
      <c r="G209" s="5">
        <f t="shared" si="31"/>
        <v>1.01</v>
      </c>
      <c r="H209" s="6" t="str">
        <f t="shared" si="26"/>
        <v>INSERT INTO public.coupon (plancode, age, "year", couponrate, benefittype, benefitrate, premiumrate) VALUES('EN60', 29, 33, 8, 'A',800, 1.01);</v>
      </c>
      <c r="I209" s="6" t="str">
        <f t="shared" si="27"/>
        <v>{"age":"29", "year":"33", "couponrate":"8", "benefittype":"A", "benefitrate":"800", "premiumrate":"1.01"}</v>
      </c>
      <c r="J209" s="6" t="str">
        <f t="shared" si="28"/>
        <v>,</v>
      </c>
    </row>
    <row r="210" spans="1:10">
      <c r="A210" s="4" t="str">
        <f>'EN60'!A$3</f>
        <v>EN60</v>
      </c>
      <c r="B210" s="4">
        <f t="shared" si="29"/>
        <v>29</v>
      </c>
      <c r="C210" s="4">
        <f t="shared" si="30"/>
        <v>34</v>
      </c>
      <c r="D210" s="4">
        <f t="shared" si="24"/>
        <v>8</v>
      </c>
      <c r="E210" s="4" t="s">
        <v>27</v>
      </c>
      <c r="F210" s="4">
        <f t="shared" si="25"/>
        <v>800</v>
      </c>
      <c r="G210" s="5">
        <f t="shared" si="31"/>
        <v>1.01</v>
      </c>
      <c r="H210" s="6" t="str">
        <f t="shared" si="26"/>
        <v>INSERT INTO public.coupon (plancode, age, "year", couponrate, benefittype, benefitrate, premiumrate) VALUES('EN60', 29, 34, 8, 'A',800, 1.01);</v>
      </c>
      <c r="I210" s="6" t="str">
        <f t="shared" si="27"/>
        <v>{"age":"29", "year":"34", "couponrate":"8", "benefittype":"A", "benefitrate":"800", "premiumrate":"1.01"}</v>
      </c>
      <c r="J210" s="6" t="str">
        <f t="shared" si="28"/>
        <v>,</v>
      </c>
    </row>
    <row r="211" spans="1:10">
      <c r="A211" s="4" t="str">
        <f>'EN60'!A$3</f>
        <v>EN60</v>
      </c>
      <c r="B211" s="4">
        <f t="shared" si="29"/>
        <v>29</v>
      </c>
      <c r="C211" s="4">
        <f t="shared" si="30"/>
        <v>35</v>
      </c>
      <c r="D211" s="4">
        <f t="shared" si="24"/>
        <v>8</v>
      </c>
      <c r="E211" s="4" t="s">
        <v>27</v>
      </c>
      <c r="F211" s="4">
        <f t="shared" si="25"/>
        <v>800</v>
      </c>
      <c r="G211" s="5">
        <f t="shared" si="31"/>
        <v>1.01</v>
      </c>
      <c r="H211" s="6" t="str">
        <f t="shared" si="26"/>
        <v>INSERT INTO public.coupon (plancode, age, "year", couponrate, benefittype, benefitrate, premiumrate) VALUES('EN60', 29, 35, 8, 'A',800, 1.01);</v>
      </c>
      <c r="I211" s="6" t="str">
        <f t="shared" si="27"/>
        <v>{"age":"29", "year":"35", "couponrate":"8", "benefittype":"A", "benefitrate":"800", "premiumrate":"1.01"}</v>
      </c>
      <c r="J211" s="6" t="str">
        <f t="shared" si="28"/>
        <v>,</v>
      </c>
    </row>
    <row r="212" spans="1:10">
      <c r="A212" s="4" t="str">
        <f>'EN60'!A$3</f>
        <v>EN60</v>
      </c>
      <c r="B212" s="4">
        <f t="shared" si="29"/>
        <v>29</v>
      </c>
      <c r="C212" s="4">
        <f t="shared" si="30"/>
        <v>36</v>
      </c>
      <c r="D212" s="4">
        <f t="shared" si="24"/>
        <v>8</v>
      </c>
      <c r="E212" s="4" t="s">
        <v>27</v>
      </c>
      <c r="F212" s="4">
        <f t="shared" si="25"/>
        <v>800</v>
      </c>
      <c r="G212" s="5">
        <f t="shared" si="31"/>
        <v>1.01</v>
      </c>
      <c r="H212" s="6" t="str">
        <f t="shared" si="26"/>
        <v>INSERT INTO public.coupon (plancode, age, "year", couponrate, benefittype, benefitrate, premiumrate) VALUES('EN60', 29, 36, 8, 'A',800, 1.01);</v>
      </c>
      <c r="I212" s="6" t="str">
        <f t="shared" si="27"/>
        <v>{"age":"29", "year":"36", "couponrate":"8", "benefittype":"A", "benefitrate":"800", "premiumrate":"1.01"}</v>
      </c>
      <c r="J212" s="6" t="str">
        <f t="shared" si="28"/>
        <v>,</v>
      </c>
    </row>
    <row r="213" spans="1:10">
      <c r="A213" s="4" t="str">
        <f>'EN60'!A$3</f>
        <v>EN60</v>
      </c>
      <c r="B213" s="4">
        <f t="shared" si="29"/>
        <v>29</v>
      </c>
      <c r="C213" s="4">
        <f t="shared" si="30"/>
        <v>37</v>
      </c>
      <c r="D213" s="4">
        <f t="shared" si="24"/>
        <v>8</v>
      </c>
      <c r="E213" s="4" t="s">
        <v>27</v>
      </c>
      <c r="F213" s="4">
        <f t="shared" si="25"/>
        <v>800</v>
      </c>
      <c r="G213" s="5">
        <f t="shared" si="31"/>
        <v>1.01</v>
      </c>
      <c r="H213" s="6" t="str">
        <f t="shared" si="26"/>
        <v>INSERT INTO public.coupon (plancode, age, "year", couponrate, benefittype, benefitrate, premiumrate) VALUES('EN60', 29, 37, 8, 'A',800, 1.01);</v>
      </c>
      <c r="I213" s="6" t="str">
        <f t="shared" si="27"/>
        <v>{"age":"29", "year":"37", "couponrate":"8", "benefittype":"A", "benefitrate":"800", "premiumrate":"1.01"}</v>
      </c>
      <c r="J213" s="6" t="str">
        <f t="shared" si="28"/>
        <v>,</v>
      </c>
    </row>
    <row r="214" spans="1:10">
      <c r="A214" s="4" t="str">
        <f>'EN60'!A$3</f>
        <v>EN60</v>
      </c>
      <c r="B214" s="4">
        <f t="shared" si="29"/>
        <v>29</v>
      </c>
      <c r="C214" s="4">
        <f t="shared" si="30"/>
        <v>38</v>
      </c>
      <c r="D214" s="4">
        <f t="shared" si="24"/>
        <v>8</v>
      </c>
      <c r="E214" s="4" t="s">
        <v>27</v>
      </c>
      <c r="F214" s="4">
        <f t="shared" si="25"/>
        <v>800</v>
      </c>
      <c r="G214" s="5">
        <f t="shared" si="31"/>
        <v>1.01</v>
      </c>
      <c r="H214" s="6" t="str">
        <f t="shared" si="26"/>
        <v>INSERT INTO public.coupon (plancode, age, "year", couponrate, benefittype, benefitrate, premiumrate) VALUES('EN60', 29, 38, 8, 'A',800, 1.01);</v>
      </c>
      <c r="I214" s="6" t="str">
        <f t="shared" si="27"/>
        <v>{"age":"29", "year":"38", "couponrate":"8", "benefittype":"A", "benefitrate":"800", "premiumrate":"1.01"}</v>
      </c>
      <c r="J214" s="6" t="str">
        <f t="shared" si="28"/>
        <v>,</v>
      </c>
    </row>
    <row r="215" spans="1:10">
      <c r="A215" s="4" t="str">
        <f>'EN60'!A$3</f>
        <v>EN60</v>
      </c>
      <c r="B215" s="4">
        <f t="shared" si="29"/>
        <v>29</v>
      </c>
      <c r="C215" s="4">
        <f t="shared" si="30"/>
        <v>39</v>
      </c>
      <c r="D215" s="4">
        <f t="shared" si="24"/>
        <v>8</v>
      </c>
      <c r="E215" s="4" t="s">
        <v>27</v>
      </c>
      <c r="F215" s="4">
        <f t="shared" si="25"/>
        <v>800</v>
      </c>
      <c r="G215" s="5">
        <f t="shared" si="31"/>
        <v>1.01</v>
      </c>
      <c r="H215" s="6" t="str">
        <f t="shared" si="26"/>
        <v>INSERT INTO public.coupon (plancode, age, "year", couponrate, benefittype, benefitrate, premiumrate) VALUES('EN60', 29, 39, 8, 'A',800, 1.01);</v>
      </c>
      <c r="I215" s="6" t="str">
        <f t="shared" si="27"/>
        <v>{"age":"29", "year":"39", "couponrate":"8", "benefittype":"A", "benefitrate":"800", "premiumrate":"1.01"}</v>
      </c>
      <c r="J215" s="6" t="str">
        <f t="shared" si="28"/>
        <v>,</v>
      </c>
    </row>
    <row r="216" spans="1:10">
      <c r="A216" s="4" t="str">
        <f>'EN60'!A$3</f>
        <v>EN60</v>
      </c>
      <c r="B216" s="4">
        <f t="shared" si="29"/>
        <v>29</v>
      </c>
      <c r="C216" s="4">
        <f t="shared" si="30"/>
        <v>40</v>
      </c>
      <c r="D216" s="4">
        <f t="shared" si="24"/>
        <v>8</v>
      </c>
      <c r="E216" s="4" t="s">
        <v>27</v>
      </c>
      <c r="F216" s="4">
        <f t="shared" si="25"/>
        <v>800</v>
      </c>
      <c r="G216" s="5">
        <f t="shared" si="31"/>
        <v>1.01</v>
      </c>
      <c r="H216" s="6" t="str">
        <f t="shared" si="26"/>
        <v>INSERT INTO public.coupon (plancode, age, "year", couponrate, benefittype, benefitrate, premiumrate) VALUES('EN60', 29, 40, 8, 'A',800, 1.01);</v>
      </c>
      <c r="I216" s="6" t="str">
        <f t="shared" si="27"/>
        <v>{"age":"29", "year":"40", "couponrate":"8", "benefittype":"A", "benefitrate":"800", "premiumrate":"1.01"}</v>
      </c>
      <c r="J216" s="6" t="str">
        <f t="shared" si="28"/>
        <v>,</v>
      </c>
    </row>
    <row r="217" spans="1:10">
      <c r="A217" s="4" t="str">
        <f>'EN60'!A$3</f>
        <v>EN60</v>
      </c>
      <c r="B217" s="4">
        <f t="shared" si="29"/>
        <v>29</v>
      </c>
      <c r="C217" s="4">
        <f t="shared" si="30"/>
        <v>41</v>
      </c>
      <c r="D217" s="4">
        <f t="shared" si="24"/>
        <v>8</v>
      </c>
      <c r="E217" s="4" t="s">
        <v>27</v>
      </c>
      <c r="F217" s="4">
        <f t="shared" si="25"/>
        <v>800</v>
      </c>
      <c r="G217" s="5">
        <f t="shared" si="31"/>
        <v>1.01</v>
      </c>
      <c r="H217" s="6" t="str">
        <f t="shared" si="26"/>
        <v>INSERT INTO public.coupon (plancode, age, "year", couponrate, benefittype, benefitrate, premiumrate) VALUES('EN60', 29, 41, 8, 'A',800, 1.01);</v>
      </c>
      <c r="I217" s="6" t="str">
        <f t="shared" si="27"/>
        <v>{"age":"29", "year":"41", "couponrate":"8", "benefittype":"A", "benefitrate":"800", "premiumrate":"1.01"}</v>
      </c>
      <c r="J217" s="6" t="str">
        <f t="shared" si="28"/>
        <v>,</v>
      </c>
    </row>
    <row r="218" spans="1:10">
      <c r="A218" s="4" t="str">
        <f>'EN60'!A$3</f>
        <v>EN60</v>
      </c>
      <c r="B218" s="4">
        <f t="shared" si="29"/>
        <v>29</v>
      </c>
      <c r="C218" s="4">
        <f t="shared" si="30"/>
        <v>42</v>
      </c>
      <c r="D218" s="4">
        <f t="shared" si="24"/>
        <v>8</v>
      </c>
      <c r="E218" s="4" t="s">
        <v>27</v>
      </c>
      <c r="F218" s="4">
        <f t="shared" si="25"/>
        <v>800</v>
      </c>
      <c r="G218" s="5">
        <f t="shared" si="31"/>
        <v>1.01</v>
      </c>
      <c r="H218" s="6" t="str">
        <f t="shared" si="26"/>
        <v>INSERT INTO public.coupon (plancode, age, "year", couponrate, benefittype, benefitrate, premiumrate) VALUES('EN60', 29, 42, 8, 'A',800, 1.01);</v>
      </c>
      <c r="I218" s="6" t="str">
        <f t="shared" si="27"/>
        <v>{"age":"29", "year":"42", "couponrate":"8", "benefittype":"A", "benefitrate":"800", "premiumrate":"1.01"}</v>
      </c>
      <c r="J218" s="6" t="str">
        <f t="shared" si="28"/>
        <v>,</v>
      </c>
    </row>
    <row r="219" spans="1:10">
      <c r="A219" s="4" t="str">
        <f>'EN60'!A$3</f>
        <v>EN60</v>
      </c>
      <c r="B219" s="4">
        <f t="shared" si="29"/>
        <v>29</v>
      </c>
      <c r="C219" s="4">
        <f t="shared" si="30"/>
        <v>43</v>
      </c>
      <c r="D219" s="4">
        <f t="shared" si="24"/>
        <v>8</v>
      </c>
      <c r="E219" s="4" t="s">
        <v>27</v>
      </c>
      <c r="F219" s="4">
        <f t="shared" si="25"/>
        <v>800</v>
      </c>
      <c r="G219" s="5">
        <f t="shared" si="31"/>
        <v>1.01</v>
      </c>
      <c r="H219" s="6" t="str">
        <f t="shared" si="26"/>
        <v>INSERT INTO public.coupon (plancode, age, "year", couponrate, benefittype, benefitrate, premiumrate) VALUES('EN60', 29, 43, 8, 'A',800, 1.01);</v>
      </c>
      <c r="I219" s="6" t="str">
        <f t="shared" si="27"/>
        <v>{"age":"29", "year":"43", "couponrate":"8", "benefittype":"A", "benefitrate":"800", "premiumrate":"1.01"}</v>
      </c>
      <c r="J219" s="6" t="str">
        <f t="shared" si="28"/>
        <v>,</v>
      </c>
    </row>
    <row r="220" spans="1:10">
      <c r="A220" s="4" t="str">
        <f>'EN60'!A$3</f>
        <v>EN60</v>
      </c>
      <c r="B220" s="4">
        <f t="shared" si="29"/>
        <v>29</v>
      </c>
      <c r="C220" s="4">
        <f t="shared" si="30"/>
        <v>44</v>
      </c>
      <c r="D220" s="4">
        <f t="shared" si="24"/>
        <v>8</v>
      </c>
      <c r="E220" s="4" t="s">
        <v>27</v>
      </c>
      <c r="F220" s="4">
        <f t="shared" si="25"/>
        <v>800</v>
      </c>
      <c r="G220" s="5">
        <f t="shared" si="31"/>
        <v>1.01</v>
      </c>
      <c r="H220" s="6" t="str">
        <f t="shared" si="26"/>
        <v>INSERT INTO public.coupon (plancode, age, "year", couponrate, benefittype, benefitrate, premiumrate) VALUES('EN60', 29, 44, 8, 'A',800, 1.01);</v>
      </c>
      <c r="I220" s="6" t="str">
        <f t="shared" si="27"/>
        <v>{"age":"29", "year":"44", "couponrate":"8", "benefittype":"A", "benefitrate":"800", "premiumrate":"1.01"}</v>
      </c>
      <c r="J220" s="6" t="str">
        <f t="shared" si="28"/>
        <v>,</v>
      </c>
    </row>
    <row r="221" spans="1:10">
      <c r="A221" s="4" t="str">
        <f>'EN60'!A$3</f>
        <v>EN60</v>
      </c>
      <c r="B221" s="4">
        <f t="shared" si="29"/>
        <v>29</v>
      </c>
      <c r="C221" s="4">
        <f t="shared" si="30"/>
        <v>45</v>
      </c>
      <c r="D221" s="4">
        <f t="shared" si="24"/>
        <v>8</v>
      </c>
      <c r="E221" s="4" t="s">
        <v>27</v>
      </c>
      <c r="F221" s="4">
        <f t="shared" si="25"/>
        <v>800</v>
      </c>
      <c r="G221" s="5">
        <f t="shared" si="31"/>
        <v>1.01</v>
      </c>
      <c r="H221" s="6" t="str">
        <f t="shared" si="26"/>
        <v>INSERT INTO public.coupon (plancode, age, "year", couponrate, benefittype, benefitrate, premiumrate) VALUES('EN60', 29, 45, 8, 'A',800, 1.01);</v>
      </c>
      <c r="I221" s="6" t="str">
        <f t="shared" si="27"/>
        <v>{"age":"29", "year":"45", "couponrate":"8", "benefittype":"A", "benefitrate":"800", "premiumrate":"1.01"}</v>
      </c>
      <c r="J221" s="6" t="str">
        <f t="shared" si="28"/>
        <v>,</v>
      </c>
    </row>
    <row r="222" spans="1:10">
      <c r="A222" s="4" t="str">
        <f>'EN60'!A$3</f>
        <v>EN60</v>
      </c>
      <c r="B222" s="4">
        <f t="shared" si="29"/>
        <v>29</v>
      </c>
      <c r="C222" s="4">
        <f t="shared" si="30"/>
        <v>46</v>
      </c>
      <c r="D222" s="4">
        <f t="shared" si="24"/>
        <v>8</v>
      </c>
      <c r="E222" s="4" t="s">
        <v>27</v>
      </c>
      <c r="F222" s="4">
        <f t="shared" si="25"/>
        <v>800</v>
      </c>
      <c r="G222" s="5">
        <f t="shared" si="31"/>
        <v>1.01</v>
      </c>
      <c r="H222" s="6" t="str">
        <f t="shared" si="26"/>
        <v>INSERT INTO public.coupon (plancode, age, "year", couponrate, benefittype, benefitrate, premiumrate) VALUES('EN60', 29, 46, 8, 'A',800, 1.01);</v>
      </c>
      <c r="I222" s="6" t="str">
        <f t="shared" si="27"/>
        <v>{"age":"29", "year":"46", "couponrate":"8", "benefittype":"A", "benefitrate":"800", "premiumrate":"1.01"}</v>
      </c>
      <c r="J222" s="6" t="str">
        <f t="shared" si="28"/>
        <v>,</v>
      </c>
    </row>
    <row r="223" spans="1:10">
      <c r="A223" s="4" t="str">
        <f>'EN60'!A$3</f>
        <v>EN60</v>
      </c>
      <c r="B223" s="4">
        <f t="shared" si="29"/>
        <v>29</v>
      </c>
      <c r="C223" s="4">
        <f t="shared" si="30"/>
        <v>47</v>
      </c>
      <c r="D223" s="4">
        <f t="shared" si="24"/>
        <v>8</v>
      </c>
      <c r="E223" s="4" t="s">
        <v>27</v>
      </c>
      <c r="F223" s="4">
        <f t="shared" si="25"/>
        <v>800</v>
      </c>
      <c r="G223" s="5">
        <f t="shared" si="31"/>
        <v>1.01</v>
      </c>
      <c r="H223" s="6" t="str">
        <f t="shared" si="26"/>
        <v>INSERT INTO public.coupon (plancode, age, "year", couponrate, benefittype, benefitrate, premiumrate) VALUES('EN60', 29, 47, 8, 'A',800, 1.01);</v>
      </c>
      <c r="I223" s="6" t="str">
        <f t="shared" si="27"/>
        <v>{"age":"29", "year":"47", "couponrate":"8", "benefittype":"A", "benefitrate":"800", "premiumrate":"1.01"}</v>
      </c>
      <c r="J223" s="6" t="str">
        <f t="shared" si="28"/>
        <v>,</v>
      </c>
    </row>
    <row r="224" spans="1:10">
      <c r="A224" s="4" t="str">
        <f>'EN60'!A$3</f>
        <v>EN60</v>
      </c>
      <c r="B224" s="4">
        <f t="shared" si="29"/>
        <v>29</v>
      </c>
      <c r="C224" s="4">
        <f t="shared" si="30"/>
        <v>48</v>
      </c>
      <c r="D224" s="4">
        <f t="shared" si="24"/>
        <v>8</v>
      </c>
      <c r="E224" s="4" t="s">
        <v>27</v>
      </c>
      <c r="F224" s="4">
        <f t="shared" si="25"/>
        <v>800</v>
      </c>
      <c r="G224" s="5">
        <f t="shared" si="31"/>
        <v>1.01</v>
      </c>
      <c r="H224" s="6" t="str">
        <f t="shared" si="26"/>
        <v>INSERT INTO public.coupon (plancode, age, "year", couponrate, benefittype, benefitrate, premiumrate) VALUES('EN60', 29, 48, 8, 'A',800, 1.01);</v>
      </c>
      <c r="I224" s="6" t="str">
        <f t="shared" si="27"/>
        <v>{"age":"29", "year":"48", "couponrate":"8", "benefittype":"A", "benefitrate":"800", "premiumrate":"1.01"}</v>
      </c>
      <c r="J224" s="6" t="str">
        <f t="shared" si="28"/>
        <v>,</v>
      </c>
    </row>
    <row r="225" spans="1:10">
      <c r="A225" s="4" t="str">
        <f>'EN60'!A$3</f>
        <v>EN60</v>
      </c>
      <c r="B225" s="4">
        <f t="shared" si="29"/>
        <v>29</v>
      </c>
      <c r="C225" s="4">
        <f t="shared" si="30"/>
        <v>49</v>
      </c>
      <c r="D225" s="4">
        <f t="shared" si="24"/>
        <v>8</v>
      </c>
      <c r="E225" s="4" t="s">
        <v>27</v>
      </c>
      <c r="F225" s="4">
        <f t="shared" si="25"/>
        <v>800</v>
      </c>
      <c r="G225" s="5">
        <f t="shared" si="31"/>
        <v>1.01</v>
      </c>
      <c r="H225" s="6" t="str">
        <f t="shared" si="26"/>
        <v>INSERT INTO public.coupon (plancode, age, "year", couponrate, benefittype, benefitrate, premiumrate) VALUES('EN60', 29, 49, 8, 'A',800, 1.01);</v>
      </c>
      <c r="I225" s="6" t="str">
        <f t="shared" si="27"/>
        <v>{"age":"29", "year":"49", "couponrate":"8", "benefittype":"A", "benefitrate":"800", "premiumrate":"1.01"}</v>
      </c>
      <c r="J225" s="6" t="str">
        <f t="shared" si="28"/>
        <v>,</v>
      </c>
    </row>
    <row r="226" spans="1:10">
      <c r="A226" s="4" t="str">
        <f>'EN60'!A$3</f>
        <v>EN60</v>
      </c>
      <c r="B226" s="4">
        <f t="shared" si="29"/>
        <v>29</v>
      </c>
      <c r="C226" s="4">
        <f t="shared" si="30"/>
        <v>50</v>
      </c>
      <c r="D226" s="4">
        <f t="shared" si="24"/>
        <v>8</v>
      </c>
      <c r="E226" s="4" t="s">
        <v>27</v>
      </c>
      <c r="F226" s="4">
        <f t="shared" si="25"/>
        <v>800</v>
      </c>
      <c r="G226" s="5">
        <f t="shared" si="31"/>
        <v>1.01</v>
      </c>
      <c r="H226" s="6" t="str">
        <f t="shared" si="26"/>
        <v>INSERT INTO public.coupon (plancode, age, "year", couponrate, benefittype, benefitrate, premiumrate) VALUES('EN60', 29, 50, 8, 'A',800, 1.01);</v>
      </c>
      <c r="I226" s="6" t="str">
        <f t="shared" si="27"/>
        <v>{"age":"29", "year":"50", "couponrate":"8", "benefittype":"A", "benefitrate":"800", "premiumrate":"1.01"}</v>
      </c>
      <c r="J226" s="6" t="str">
        <f t="shared" si="28"/>
        <v>,</v>
      </c>
    </row>
    <row r="227" spans="1:10">
      <c r="A227" s="4" t="str">
        <f>'EN60'!A$3</f>
        <v>EN60</v>
      </c>
      <c r="B227" s="4">
        <f t="shared" si="29"/>
        <v>29</v>
      </c>
      <c r="C227" s="4">
        <f t="shared" si="30"/>
        <v>51</v>
      </c>
      <c r="D227" s="4">
        <f t="shared" si="24"/>
        <v>0</v>
      </c>
      <c r="E227" s="4" t="s">
        <v>27</v>
      </c>
      <c r="F227" s="4">
        <f t="shared" si="25"/>
        <v>800</v>
      </c>
      <c r="G227" s="5">
        <f t="shared" si="31"/>
        <v>1.01</v>
      </c>
      <c r="H227" s="6" t="str">
        <f t="shared" si="26"/>
        <v>INSERT INTO public.coupon (plancode, age, "year", couponrate, benefittype, benefitrate, premiumrate) VALUES('EN60', 29, 51, 0, 'A',800, 1.01);</v>
      </c>
      <c r="I227" s="6" t="str">
        <f t="shared" si="27"/>
        <v>{"age":"29", "year":"51", "couponrate":"0", "benefittype":"A", "benefitrate":"800", "premiumrate":"1.01"}</v>
      </c>
    </row>
    <row r="228" spans="1:10">
      <c r="C228" s="6"/>
      <c r="I228" s="6" t="s">
        <v>28</v>
      </c>
    </row>
    <row r="229" spans="1:10">
      <c r="A229" s="3" t="s">
        <v>2</v>
      </c>
      <c r="B229" s="3" t="s">
        <v>23</v>
      </c>
      <c r="C229" s="3" t="s">
        <v>24</v>
      </c>
      <c r="D229" s="3" t="s">
        <v>25</v>
      </c>
      <c r="E229" s="3" t="s">
        <v>8</v>
      </c>
      <c r="F229" s="3" t="s">
        <v>26</v>
      </c>
      <c r="G229" s="3" t="s">
        <v>4</v>
      </c>
      <c r="I229" s="6" t="str">
        <f>"[{""plancode"":"""&amp;A230&amp;""",""returncash"":"""&amp;B$7&amp;""",""ytable"":"""&amp;C$7&amp;""",""maturerate"":"""&amp;B$3&amp;""",""maturepmrate"":"""&amp;C$3&amp;""",""coupon"":["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230" spans="1:10">
      <c r="A230" s="4" t="str">
        <f>'EN60'!A$3</f>
        <v>EN60</v>
      </c>
      <c r="B230" s="8">
        <v>30</v>
      </c>
      <c r="C230" s="4">
        <v>1</v>
      </c>
      <c r="D230" s="4">
        <f t="shared" ref="D230:D279" si="32">IF(C230+B230=80,0,8)</f>
        <v>8</v>
      </c>
      <c r="E230" s="4" t="s">
        <v>27</v>
      </c>
      <c r="F230" s="4">
        <f t="shared" ref="F230:F279" si="33">IF(C230&gt;7, 800, C230*100)</f>
        <v>100</v>
      </c>
      <c r="G230" s="5">
        <f>'EN60'!C$3</f>
        <v>1.01</v>
      </c>
      <c r="H230" s="6" t="str">
        <f t="shared" ref="H230:H279" si="34">"INSERT INTO public.coupon ("&amp;A$11&amp;", "&amp;B$11&amp;", """&amp;C$11&amp;""", "&amp;D$11&amp;", "&amp;E$11&amp;", "&amp;F$11&amp;", "&amp;G$11&amp;") VALUES('"&amp;A230&amp;"', "&amp;B230&amp;", "&amp;C230&amp;", "&amp;D230&amp;", '"&amp;E230&amp;"',"&amp;F230&amp;", "&amp;G230&amp;");"</f>
        <v>INSERT INTO public.coupon (plancode, age, "year", couponrate, benefittype, benefitrate, premiumrate) VALUES('EN60', 30, 1, 8, 'A',100, 1.01);</v>
      </c>
      <c r="I230" s="6" t="str">
        <f t="shared" ref="I230:I279" si="35">"{""age"":"""&amp;B230&amp;""", ""year"":"""&amp;C230&amp;""", ""couponrate"":"""&amp;D230&amp;""", ""benefittype"":"""&amp;E230&amp;""", ""benefitrate"":"""&amp;F230&amp;""", """&amp;G$11&amp;""":"""&amp;G230&amp;"""}"</f>
        <v>{"age":"30", "year":"1", "couponrate":"8", "benefittype":"A", "benefitrate":"100", "premiumrate":"1.01"}</v>
      </c>
      <c r="J230" s="6" t="str">
        <f t="shared" ref="J230:J278" si="36">IF(OR(I231="]", I230="[", I230="]"), "", ",")</f>
        <v>,</v>
      </c>
    </row>
    <row r="231" spans="1:10">
      <c r="A231" s="4" t="str">
        <f>'EN60'!A$3</f>
        <v>EN60</v>
      </c>
      <c r="B231" s="4">
        <f t="shared" ref="B231:B279" si="37">B230</f>
        <v>30</v>
      </c>
      <c r="C231" s="4">
        <f t="shared" ref="C231:C279" si="38">IF(B231+C230+1&gt;80,"",C230+1)</f>
        <v>2</v>
      </c>
      <c r="D231" s="4">
        <f t="shared" si="32"/>
        <v>8</v>
      </c>
      <c r="E231" s="4" t="s">
        <v>27</v>
      </c>
      <c r="F231" s="4">
        <f t="shared" si="33"/>
        <v>200</v>
      </c>
      <c r="G231" s="5">
        <f t="shared" ref="G231:G279" si="39">G230</f>
        <v>1.01</v>
      </c>
      <c r="H231" s="6" t="str">
        <f t="shared" si="34"/>
        <v>INSERT INTO public.coupon (plancode, age, "year", couponrate, benefittype, benefitrate, premiumrate) VALUES('EN60', 30, 2, 8, 'A',200, 1.01);</v>
      </c>
      <c r="I231" s="6" t="str">
        <f t="shared" si="35"/>
        <v>{"age":"30", "year":"2", "couponrate":"8", "benefittype":"A", "benefitrate":"200", "premiumrate":"1.01"}</v>
      </c>
      <c r="J231" s="6" t="str">
        <f t="shared" si="36"/>
        <v>,</v>
      </c>
    </row>
    <row r="232" spans="1:10">
      <c r="A232" s="4" t="str">
        <f>'EN60'!A$3</f>
        <v>EN60</v>
      </c>
      <c r="B232" s="4">
        <f t="shared" si="37"/>
        <v>30</v>
      </c>
      <c r="C232" s="4">
        <f t="shared" si="38"/>
        <v>3</v>
      </c>
      <c r="D232" s="4">
        <f t="shared" si="32"/>
        <v>8</v>
      </c>
      <c r="E232" s="4" t="s">
        <v>27</v>
      </c>
      <c r="F232" s="4">
        <f t="shared" si="33"/>
        <v>300</v>
      </c>
      <c r="G232" s="5">
        <f t="shared" si="39"/>
        <v>1.01</v>
      </c>
      <c r="H232" s="6" t="str">
        <f t="shared" si="34"/>
        <v>INSERT INTO public.coupon (plancode, age, "year", couponrate, benefittype, benefitrate, premiumrate) VALUES('EN60', 30, 3, 8, 'A',300, 1.01);</v>
      </c>
      <c r="I232" s="6" t="str">
        <f t="shared" si="35"/>
        <v>{"age":"30", "year":"3", "couponrate":"8", "benefittype":"A", "benefitrate":"300", "premiumrate":"1.01"}</v>
      </c>
      <c r="J232" s="6" t="str">
        <f t="shared" si="36"/>
        <v>,</v>
      </c>
    </row>
    <row r="233" spans="1:10">
      <c r="A233" s="4" t="str">
        <f>'EN60'!A$3</f>
        <v>EN60</v>
      </c>
      <c r="B233" s="4">
        <f t="shared" si="37"/>
        <v>30</v>
      </c>
      <c r="C233" s="4">
        <f t="shared" si="38"/>
        <v>4</v>
      </c>
      <c r="D233" s="4">
        <f t="shared" si="32"/>
        <v>8</v>
      </c>
      <c r="E233" s="4" t="s">
        <v>27</v>
      </c>
      <c r="F233" s="4">
        <f t="shared" si="33"/>
        <v>400</v>
      </c>
      <c r="G233" s="5">
        <f t="shared" si="39"/>
        <v>1.01</v>
      </c>
      <c r="H233" s="6" t="str">
        <f t="shared" si="34"/>
        <v>INSERT INTO public.coupon (plancode, age, "year", couponrate, benefittype, benefitrate, premiumrate) VALUES('EN60', 30, 4, 8, 'A',400, 1.01);</v>
      </c>
      <c r="I233" s="6" t="str">
        <f t="shared" si="35"/>
        <v>{"age":"30", "year":"4", "couponrate":"8", "benefittype":"A", "benefitrate":"400", "premiumrate":"1.01"}</v>
      </c>
      <c r="J233" s="6" t="str">
        <f t="shared" si="36"/>
        <v>,</v>
      </c>
    </row>
    <row r="234" spans="1:10">
      <c r="A234" s="4" t="str">
        <f>'EN60'!A$3</f>
        <v>EN60</v>
      </c>
      <c r="B234" s="4">
        <f t="shared" si="37"/>
        <v>30</v>
      </c>
      <c r="C234" s="4">
        <f t="shared" si="38"/>
        <v>5</v>
      </c>
      <c r="D234" s="4">
        <f t="shared" si="32"/>
        <v>8</v>
      </c>
      <c r="E234" s="4" t="s">
        <v>27</v>
      </c>
      <c r="F234" s="4">
        <f t="shared" si="33"/>
        <v>500</v>
      </c>
      <c r="G234" s="5">
        <f t="shared" si="39"/>
        <v>1.01</v>
      </c>
      <c r="H234" s="6" t="str">
        <f t="shared" si="34"/>
        <v>INSERT INTO public.coupon (plancode, age, "year", couponrate, benefittype, benefitrate, premiumrate) VALUES('EN60', 30, 5, 8, 'A',500, 1.01);</v>
      </c>
      <c r="I234" s="6" t="str">
        <f t="shared" si="35"/>
        <v>{"age":"30", "year":"5", "couponrate":"8", "benefittype":"A", "benefitrate":"500", "premiumrate":"1.01"}</v>
      </c>
      <c r="J234" s="6" t="str">
        <f t="shared" si="36"/>
        <v>,</v>
      </c>
    </row>
    <row r="235" spans="1:10">
      <c r="A235" s="4" t="str">
        <f>'EN60'!A$3</f>
        <v>EN60</v>
      </c>
      <c r="B235" s="4">
        <f t="shared" si="37"/>
        <v>30</v>
      </c>
      <c r="C235" s="4">
        <f t="shared" si="38"/>
        <v>6</v>
      </c>
      <c r="D235" s="4">
        <f t="shared" si="32"/>
        <v>8</v>
      </c>
      <c r="E235" s="4" t="s">
        <v>27</v>
      </c>
      <c r="F235" s="4">
        <f t="shared" si="33"/>
        <v>600</v>
      </c>
      <c r="G235" s="5">
        <f t="shared" si="39"/>
        <v>1.01</v>
      </c>
      <c r="H235" s="6" t="str">
        <f t="shared" si="34"/>
        <v>INSERT INTO public.coupon (plancode, age, "year", couponrate, benefittype, benefitrate, premiumrate) VALUES('EN60', 30, 6, 8, 'A',600, 1.01);</v>
      </c>
      <c r="I235" s="6" t="str">
        <f t="shared" si="35"/>
        <v>{"age":"30", "year":"6", "couponrate":"8", "benefittype":"A", "benefitrate":"600", "premiumrate":"1.01"}</v>
      </c>
      <c r="J235" s="6" t="str">
        <f t="shared" si="36"/>
        <v>,</v>
      </c>
    </row>
    <row r="236" spans="1:10">
      <c r="A236" s="4" t="str">
        <f>'EN60'!A$3</f>
        <v>EN60</v>
      </c>
      <c r="B236" s="4">
        <f t="shared" si="37"/>
        <v>30</v>
      </c>
      <c r="C236" s="4">
        <f t="shared" si="38"/>
        <v>7</v>
      </c>
      <c r="D236" s="4">
        <f t="shared" si="32"/>
        <v>8</v>
      </c>
      <c r="E236" s="4" t="s">
        <v>27</v>
      </c>
      <c r="F236" s="4">
        <f t="shared" si="33"/>
        <v>700</v>
      </c>
      <c r="G236" s="5">
        <f t="shared" si="39"/>
        <v>1.01</v>
      </c>
      <c r="H236" s="6" t="str">
        <f t="shared" si="34"/>
        <v>INSERT INTO public.coupon (plancode, age, "year", couponrate, benefittype, benefitrate, premiumrate) VALUES('EN60', 30, 7, 8, 'A',700, 1.01);</v>
      </c>
      <c r="I236" s="6" t="str">
        <f t="shared" si="35"/>
        <v>{"age":"30", "year":"7", "couponrate":"8", "benefittype":"A", "benefitrate":"700", "premiumrate":"1.01"}</v>
      </c>
      <c r="J236" s="6" t="str">
        <f t="shared" si="36"/>
        <v>,</v>
      </c>
    </row>
    <row r="237" spans="1:10">
      <c r="A237" s="4" t="str">
        <f>'EN60'!A$3</f>
        <v>EN60</v>
      </c>
      <c r="B237" s="4">
        <f t="shared" si="37"/>
        <v>30</v>
      </c>
      <c r="C237" s="4">
        <f t="shared" si="38"/>
        <v>8</v>
      </c>
      <c r="D237" s="4">
        <f t="shared" si="32"/>
        <v>8</v>
      </c>
      <c r="E237" s="4" t="s">
        <v>27</v>
      </c>
      <c r="F237" s="4">
        <f t="shared" si="33"/>
        <v>800</v>
      </c>
      <c r="G237" s="5">
        <f t="shared" si="39"/>
        <v>1.01</v>
      </c>
      <c r="H237" s="6" t="str">
        <f t="shared" si="34"/>
        <v>INSERT INTO public.coupon (plancode, age, "year", couponrate, benefittype, benefitrate, premiumrate) VALUES('EN60', 30, 8, 8, 'A',800, 1.01);</v>
      </c>
      <c r="I237" s="6" t="str">
        <f t="shared" si="35"/>
        <v>{"age":"30", "year":"8", "couponrate":"8", "benefittype":"A", "benefitrate":"800", "premiumrate":"1.01"}</v>
      </c>
      <c r="J237" s="6" t="str">
        <f t="shared" si="36"/>
        <v>,</v>
      </c>
    </row>
    <row r="238" spans="1:10">
      <c r="A238" s="4" t="str">
        <f>'EN60'!A$3</f>
        <v>EN60</v>
      </c>
      <c r="B238" s="4">
        <f t="shared" si="37"/>
        <v>30</v>
      </c>
      <c r="C238" s="4">
        <f t="shared" si="38"/>
        <v>9</v>
      </c>
      <c r="D238" s="4">
        <f t="shared" si="32"/>
        <v>8</v>
      </c>
      <c r="E238" s="4" t="s">
        <v>27</v>
      </c>
      <c r="F238" s="4">
        <f t="shared" si="33"/>
        <v>800</v>
      </c>
      <c r="G238" s="5">
        <f t="shared" si="39"/>
        <v>1.01</v>
      </c>
      <c r="H238" s="6" t="str">
        <f t="shared" si="34"/>
        <v>INSERT INTO public.coupon (plancode, age, "year", couponrate, benefittype, benefitrate, premiumrate) VALUES('EN60', 30, 9, 8, 'A',800, 1.01);</v>
      </c>
      <c r="I238" s="6" t="str">
        <f t="shared" si="35"/>
        <v>{"age":"30", "year":"9", "couponrate":"8", "benefittype":"A", "benefitrate":"800", "premiumrate":"1.01"}</v>
      </c>
      <c r="J238" s="6" t="str">
        <f t="shared" si="36"/>
        <v>,</v>
      </c>
    </row>
    <row r="239" spans="1:10">
      <c r="A239" s="4" t="str">
        <f>'EN60'!A$3</f>
        <v>EN60</v>
      </c>
      <c r="B239" s="4">
        <f t="shared" si="37"/>
        <v>30</v>
      </c>
      <c r="C239" s="4">
        <f t="shared" si="38"/>
        <v>10</v>
      </c>
      <c r="D239" s="4">
        <f t="shared" si="32"/>
        <v>8</v>
      </c>
      <c r="E239" s="4" t="s">
        <v>27</v>
      </c>
      <c r="F239" s="4">
        <f t="shared" si="33"/>
        <v>800</v>
      </c>
      <c r="G239" s="5">
        <f t="shared" si="39"/>
        <v>1.01</v>
      </c>
      <c r="H239" s="6" t="str">
        <f t="shared" si="34"/>
        <v>INSERT INTO public.coupon (plancode, age, "year", couponrate, benefittype, benefitrate, premiumrate) VALUES('EN60', 30, 10, 8, 'A',800, 1.01);</v>
      </c>
      <c r="I239" s="6" t="str">
        <f t="shared" si="35"/>
        <v>{"age":"30", "year":"10", "couponrate":"8", "benefittype":"A", "benefitrate":"800", "premiumrate":"1.01"}</v>
      </c>
      <c r="J239" s="6" t="str">
        <f t="shared" si="36"/>
        <v>,</v>
      </c>
    </row>
    <row r="240" spans="1:10">
      <c r="A240" s="4" t="str">
        <f>'EN60'!A$3</f>
        <v>EN60</v>
      </c>
      <c r="B240" s="4">
        <f t="shared" si="37"/>
        <v>30</v>
      </c>
      <c r="C240" s="4">
        <f t="shared" si="38"/>
        <v>11</v>
      </c>
      <c r="D240" s="4">
        <f t="shared" si="32"/>
        <v>8</v>
      </c>
      <c r="E240" s="4" t="s">
        <v>27</v>
      </c>
      <c r="F240" s="4">
        <f t="shared" si="33"/>
        <v>800</v>
      </c>
      <c r="G240" s="5">
        <f t="shared" si="39"/>
        <v>1.01</v>
      </c>
      <c r="H240" s="6" t="str">
        <f t="shared" si="34"/>
        <v>INSERT INTO public.coupon (plancode, age, "year", couponrate, benefittype, benefitrate, premiumrate) VALUES('EN60', 30, 11, 8, 'A',800, 1.01);</v>
      </c>
      <c r="I240" s="6" t="str">
        <f t="shared" si="35"/>
        <v>{"age":"30", "year":"11", "couponrate":"8", "benefittype":"A", "benefitrate":"800", "premiumrate":"1.01"}</v>
      </c>
      <c r="J240" s="6" t="str">
        <f t="shared" si="36"/>
        <v>,</v>
      </c>
    </row>
    <row r="241" spans="1:10">
      <c r="A241" s="4" t="str">
        <f>'EN60'!A$3</f>
        <v>EN60</v>
      </c>
      <c r="B241" s="4">
        <f t="shared" si="37"/>
        <v>30</v>
      </c>
      <c r="C241" s="4">
        <f t="shared" si="38"/>
        <v>12</v>
      </c>
      <c r="D241" s="4">
        <f t="shared" si="32"/>
        <v>8</v>
      </c>
      <c r="E241" s="4" t="s">
        <v>27</v>
      </c>
      <c r="F241" s="4">
        <f t="shared" si="33"/>
        <v>800</v>
      </c>
      <c r="G241" s="5">
        <f t="shared" si="39"/>
        <v>1.01</v>
      </c>
      <c r="H241" s="6" t="str">
        <f t="shared" si="34"/>
        <v>INSERT INTO public.coupon (plancode, age, "year", couponrate, benefittype, benefitrate, premiumrate) VALUES('EN60', 30, 12, 8, 'A',800, 1.01);</v>
      </c>
      <c r="I241" s="6" t="str">
        <f t="shared" si="35"/>
        <v>{"age":"30", "year":"12", "couponrate":"8", "benefittype":"A", "benefitrate":"800", "premiumrate":"1.01"}</v>
      </c>
      <c r="J241" s="6" t="str">
        <f t="shared" si="36"/>
        <v>,</v>
      </c>
    </row>
    <row r="242" spans="1:10">
      <c r="A242" s="4" t="str">
        <f>'EN60'!A$3</f>
        <v>EN60</v>
      </c>
      <c r="B242" s="4">
        <f t="shared" si="37"/>
        <v>30</v>
      </c>
      <c r="C242" s="4">
        <f t="shared" si="38"/>
        <v>13</v>
      </c>
      <c r="D242" s="4">
        <f t="shared" si="32"/>
        <v>8</v>
      </c>
      <c r="E242" s="4" t="s">
        <v>27</v>
      </c>
      <c r="F242" s="4">
        <f t="shared" si="33"/>
        <v>800</v>
      </c>
      <c r="G242" s="5">
        <f t="shared" si="39"/>
        <v>1.01</v>
      </c>
      <c r="H242" s="6" t="str">
        <f t="shared" si="34"/>
        <v>INSERT INTO public.coupon (plancode, age, "year", couponrate, benefittype, benefitrate, premiumrate) VALUES('EN60', 30, 13, 8, 'A',800, 1.01);</v>
      </c>
      <c r="I242" s="6" t="str">
        <f t="shared" si="35"/>
        <v>{"age":"30", "year":"13", "couponrate":"8", "benefittype":"A", "benefitrate":"800", "premiumrate":"1.01"}</v>
      </c>
      <c r="J242" s="6" t="str">
        <f t="shared" si="36"/>
        <v>,</v>
      </c>
    </row>
    <row r="243" spans="1:10">
      <c r="A243" s="4" t="str">
        <f>'EN60'!A$3</f>
        <v>EN60</v>
      </c>
      <c r="B243" s="4">
        <f t="shared" si="37"/>
        <v>30</v>
      </c>
      <c r="C243" s="4">
        <f t="shared" si="38"/>
        <v>14</v>
      </c>
      <c r="D243" s="4">
        <f t="shared" si="32"/>
        <v>8</v>
      </c>
      <c r="E243" s="4" t="s">
        <v>27</v>
      </c>
      <c r="F243" s="4">
        <f t="shared" si="33"/>
        <v>800</v>
      </c>
      <c r="G243" s="5">
        <f t="shared" si="39"/>
        <v>1.01</v>
      </c>
      <c r="H243" s="6" t="str">
        <f t="shared" si="34"/>
        <v>INSERT INTO public.coupon (plancode, age, "year", couponrate, benefittype, benefitrate, premiumrate) VALUES('EN60', 30, 14, 8, 'A',800, 1.01);</v>
      </c>
      <c r="I243" s="6" t="str">
        <f t="shared" si="35"/>
        <v>{"age":"30", "year":"14", "couponrate":"8", "benefittype":"A", "benefitrate":"800", "premiumrate":"1.01"}</v>
      </c>
      <c r="J243" s="6" t="str">
        <f t="shared" si="36"/>
        <v>,</v>
      </c>
    </row>
    <row r="244" spans="1:10">
      <c r="A244" s="4" t="str">
        <f>'EN60'!A$3</f>
        <v>EN60</v>
      </c>
      <c r="B244" s="4">
        <f t="shared" si="37"/>
        <v>30</v>
      </c>
      <c r="C244" s="4">
        <f t="shared" si="38"/>
        <v>15</v>
      </c>
      <c r="D244" s="4">
        <f t="shared" si="32"/>
        <v>8</v>
      </c>
      <c r="E244" s="4" t="s">
        <v>27</v>
      </c>
      <c r="F244" s="4">
        <f t="shared" si="33"/>
        <v>800</v>
      </c>
      <c r="G244" s="5">
        <f t="shared" si="39"/>
        <v>1.01</v>
      </c>
      <c r="H244" s="6" t="str">
        <f t="shared" si="34"/>
        <v>INSERT INTO public.coupon (plancode, age, "year", couponrate, benefittype, benefitrate, premiumrate) VALUES('EN60', 30, 15, 8, 'A',800, 1.01);</v>
      </c>
      <c r="I244" s="6" t="str">
        <f t="shared" si="35"/>
        <v>{"age":"30", "year":"15", "couponrate":"8", "benefittype":"A", "benefitrate":"800", "premiumrate":"1.01"}</v>
      </c>
      <c r="J244" s="6" t="str">
        <f t="shared" si="36"/>
        <v>,</v>
      </c>
    </row>
    <row r="245" spans="1:10">
      <c r="A245" s="4" t="str">
        <f>'EN60'!A$3</f>
        <v>EN60</v>
      </c>
      <c r="B245" s="4">
        <f t="shared" si="37"/>
        <v>30</v>
      </c>
      <c r="C245" s="4">
        <f t="shared" si="38"/>
        <v>16</v>
      </c>
      <c r="D245" s="4">
        <f t="shared" si="32"/>
        <v>8</v>
      </c>
      <c r="E245" s="4" t="s">
        <v>27</v>
      </c>
      <c r="F245" s="4">
        <f t="shared" si="33"/>
        <v>800</v>
      </c>
      <c r="G245" s="5">
        <f t="shared" si="39"/>
        <v>1.01</v>
      </c>
      <c r="H245" s="6" t="str">
        <f t="shared" si="34"/>
        <v>INSERT INTO public.coupon (plancode, age, "year", couponrate, benefittype, benefitrate, premiumrate) VALUES('EN60', 30, 16, 8, 'A',800, 1.01);</v>
      </c>
      <c r="I245" s="6" t="str">
        <f t="shared" si="35"/>
        <v>{"age":"30", "year":"16", "couponrate":"8", "benefittype":"A", "benefitrate":"800", "premiumrate":"1.01"}</v>
      </c>
      <c r="J245" s="6" t="str">
        <f t="shared" si="36"/>
        <v>,</v>
      </c>
    </row>
    <row r="246" spans="1:10">
      <c r="A246" s="4" t="str">
        <f>'EN60'!A$3</f>
        <v>EN60</v>
      </c>
      <c r="B246" s="4">
        <f t="shared" si="37"/>
        <v>30</v>
      </c>
      <c r="C246" s="4">
        <f t="shared" si="38"/>
        <v>17</v>
      </c>
      <c r="D246" s="4">
        <f t="shared" si="32"/>
        <v>8</v>
      </c>
      <c r="E246" s="4" t="s">
        <v>27</v>
      </c>
      <c r="F246" s="4">
        <f t="shared" si="33"/>
        <v>800</v>
      </c>
      <c r="G246" s="5">
        <f t="shared" si="39"/>
        <v>1.01</v>
      </c>
      <c r="H246" s="6" t="str">
        <f t="shared" si="34"/>
        <v>INSERT INTO public.coupon (plancode, age, "year", couponrate, benefittype, benefitrate, premiumrate) VALUES('EN60', 30, 17, 8, 'A',800, 1.01);</v>
      </c>
      <c r="I246" s="6" t="str">
        <f t="shared" si="35"/>
        <v>{"age":"30", "year":"17", "couponrate":"8", "benefittype":"A", "benefitrate":"800", "premiumrate":"1.01"}</v>
      </c>
      <c r="J246" s="6" t="str">
        <f t="shared" si="36"/>
        <v>,</v>
      </c>
    </row>
    <row r="247" spans="1:10">
      <c r="A247" s="4" t="str">
        <f>'EN60'!A$3</f>
        <v>EN60</v>
      </c>
      <c r="B247" s="4">
        <f t="shared" si="37"/>
        <v>30</v>
      </c>
      <c r="C247" s="4">
        <f t="shared" si="38"/>
        <v>18</v>
      </c>
      <c r="D247" s="4">
        <f t="shared" si="32"/>
        <v>8</v>
      </c>
      <c r="E247" s="4" t="s">
        <v>27</v>
      </c>
      <c r="F247" s="4">
        <f t="shared" si="33"/>
        <v>800</v>
      </c>
      <c r="G247" s="5">
        <f t="shared" si="39"/>
        <v>1.01</v>
      </c>
      <c r="H247" s="6" t="str">
        <f t="shared" si="34"/>
        <v>INSERT INTO public.coupon (plancode, age, "year", couponrate, benefittype, benefitrate, premiumrate) VALUES('EN60', 30, 18, 8, 'A',800, 1.01);</v>
      </c>
      <c r="I247" s="6" t="str">
        <f t="shared" si="35"/>
        <v>{"age":"30", "year":"18", "couponrate":"8", "benefittype":"A", "benefitrate":"800", "premiumrate":"1.01"}</v>
      </c>
      <c r="J247" s="6" t="str">
        <f t="shared" si="36"/>
        <v>,</v>
      </c>
    </row>
    <row r="248" spans="1:10">
      <c r="A248" s="4" t="str">
        <f>'EN60'!A$3</f>
        <v>EN60</v>
      </c>
      <c r="B248" s="4">
        <f t="shared" si="37"/>
        <v>30</v>
      </c>
      <c r="C248" s="4">
        <f t="shared" si="38"/>
        <v>19</v>
      </c>
      <c r="D248" s="4">
        <f t="shared" si="32"/>
        <v>8</v>
      </c>
      <c r="E248" s="4" t="s">
        <v>27</v>
      </c>
      <c r="F248" s="4">
        <f t="shared" si="33"/>
        <v>800</v>
      </c>
      <c r="G248" s="5">
        <f t="shared" si="39"/>
        <v>1.01</v>
      </c>
      <c r="H248" s="6" t="str">
        <f t="shared" si="34"/>
        <v>INSERT INTO public.coupon (plancode, age, "year", couponrate, benefittype, benefitrate, premiumrate) VALUES('EN60', 30, 19, 8, 'A',800, 1.01);</v>
      </c>
      <c r="I248" s="6" t="str">
        <f t="shared" si="35"/>
        <v>{"age":"30", "year":"19", "couponrate":"8", "benefittype":"A", "benefitrate":"800", "premiumrate":"1.01"}</v>
      </c>
      <c r="J248" s="6" t="str">
        <f t="shared" si="36"/>
        <v>,</v>
      </c>
    </row>
    <row r="249" spans="1:10">
      <c r="A249" s="4" t="str">
        <f>'EN60'!A$3</f>
        <v>EN60</v>
      </c>
      <c r="B249" s="4">
        <f t="shared" si="37"/>
        <v>30</v>
      </c>
      <c r="C249" s="4">
        <f t="shared" si="38"/>
        <v>20</v>
      </c>
      <c r="D249" s="4">
        <f t="shared" si="32"/>
        <v>8</v>
      </c>
      <c r="E249" s="4" t="s">
        <v>27</v>
      </c>
      <c r="F249" s="4">
        <f t="shared" si="33"/>
        <v>800</v>
      </c>
      <c r="G249" s="5">
        <f t="shared" si="39"/>
        <v>1.01</v>
      </c>
      <c r="H249" s="6" t="str">
        <f t="shared" si="34"/>
        <v>INSERT INTO public.coupon (plancode, age, "year", couponrate, benefittype, benefitrate, premiumrate) VALUES('EN60', 30, 20, 8, 'A',800, 1.01);</v>
      </c>
      <c r="I249" s="6" t="str">
        <f t="shared" si="35"/>
        <v>{"age":"30", "year":"20", "couponrate":"8", "benefittype":"A", "benefitrate":"800", "premiumrate":"1.01"}</v>
      </c>
      <c r="J249" s="6" t="str">
        <f t="shared" si="36"/>
        <v>,</v>
      </c>
    </row>
    <row r="250" spans="1:10">
      <c r="A250" s="4" t="str">
        <f>'EN60'!A$3</f>
        <v>EN60</v>
      </c>
      <c r="B250" s="4">
        <f t="shared" si="37"/>
        <v>30</v>
      </c>
      <c r="C250" s="4">
        <f t="shared" si="38"/>
        <v>21</v>
      </c>
      <c r="D250" s="4">
        <f t="shared" si="32"/>
        <v>8</v>
      </c>
      <c r="E250" s="4" t="s">
        <v>27</v>
      </c>
      <c r="F250" s="4">
        <f t="shared" si="33"/>
        <v>800</v>
      </c>
      <c r="G250" s="5">
        <f t="shared" si="39"/>
        <v>1.01</v>
      </c>
      <c r="H250" s="6" t="str">
        <f t="shared" si="34"/>
        <v>INSERT INTO public.coupon (plancode, age, "year", couponrate, benefittype, benefitrate, premiumrate) VALUES('EN60', 30, 21, 8, 'A',800, 1.01);</v>
      </c>
      <c r="I250" s="6" t="str">
        <f t="shared" si="35"/>
        <v>{"age":"30", "year":"21", "couponrate":"8", "benefittype":"A", "benefitrate":"800", "premiumrate":"1.01"}</v>
      </c>
      <c r="J250" s="6" t="str">
        <f t="shared" si="36"/>
        <v>,</v>
      </c>
    </row>
    <row r="251" spans="1:10">
      <c r="A251" s="4" t="str">
        <f>'EN60'!A$3</f>
        <v>EN60</v>
      </c>
      <c r="B251" s="4">
        <f t="shared" si="37"/>
        <v>30</v>
      </c>
      <c r="C251" s="4">
        <f t="shared" si="38"/>
        <v>22</v>
      </c>
      <c r="D251" s="4">
        <f t="shared" si="32"/>
        <v>8</v>
      </c>
      <c r="E251" s="4" t="s">
        <v>27</v>
      </c>
      <c r="F251" s="4">
        <f t="shared" si="33"/>
        <v>800</v>
      </c>
      <c r="G251" s="5">
        <f t="shared" si="39"/>
        <v>1.01</v>
      </c>
      <c r="H251" s="6" t="str">
        <f t="shared" si="34"/>
        <v>INSERT INTO public.coupon (plancode, age, "year", couponrate, benefittype, benefitrate, premiumrate) VALUES('EN60', 30, 22, 8, 'A',800, 1.01);</v>
      </c>
      <c r="I251" s="6" t="str">
        <f t="shared" si="35"/>
        <v>{"age":"30", "year":"22", "couponrate":"8", "benefittype":"A", "benefitrate":"800", "premiumrate":"1.01"}</v>
      </c>
      <c r="J251" s="6" t="str">
        <f t="shared" si="36"/>
        <v>,</v>
      </c>
    </row>
    <row r="252" spans="1:10">
      <c r="A252" s="4" t="str">
        <f>'EN60'!A$3</f>
        <v>EN60</v>
      </c>
      <c r="B252" s="4">
        <f t="shared" si="37"/>
        <v>30</v>
      </c>
      <c r="C252" s="4">
        <f t="shared" si="38"/>
        <v>23</v>
      </c>
      <c r="D252" s="4">
        <f t="shared" si="32"/>
        <v>8</v>
      </c>
      <c r="E252" s="4" t="s">
        <v>27</v>
      </c>
      <c r="F252" s="4">
        <f t="shared" si="33"/>
        <v>800</v>
      </c>
      <c r="G252" s="5">
        <f t="shared" si="39"/>
        <v>1.01</v>
      </c>
      <c r="H252" s="6" t="str">
        <f t="shared" si="34"/>
        <v>INSERT INTO public.coupon (plancode, age, "year", couponrate, benefittype, benefitrate, premiumrate) VALUES('EN60', 30, 23, 8, 'A',800, 1.01);</v>
      </c>
      <c r="I252" s="6" t="str">
        <f t="shared" si="35"/>
        <v>{"age":"30", "year":"23", "couponrate":"8", "benefittype":"A", "benefitrate":"800", "premiumrate":"1.01"}</v>
      </c>
      <c r="J252" s="6" t="str">
        <f t="shared" si="36"/>
        <v>,</v>
      </c>
    </row>
    <row r="253" spans="1:10">
      <c r="A253" s="4" t="str">
        <f>'EN60'!A$3</f>
        <v>EN60</v>
      </c>
      <c r="B253" s="4">
        <f t="shared" si="37"/>
        <v>30</v>
      </c>
      <c r="C253" s="4">
        <f t="shared" si="38"/>
        <v>24</v>
      </c>
      <c r="D253" s="4">
        <f t="shared" si="32"/>
        <v>8</v>
      </c>
      <c r="E253" s="4" t="s">
        <v>27</v>
      </c>
      <c r="F253" s="4">
        <f t="shared" si="33"/>
        <v>800</v>
      </c>
      <c r="G253" s="5">
        <f t="shared" si="39"/>
        <v>1.01</v>
      </c>
      <c r="H253" s="6" t="str">
        <f t="shared" si="34"/>
        <v>INSERT INTO public.coupon (plancode, age, "year", couponrate, benefittype, benefitrate, premiumrate) VALUES('EN60', 30, 24, 8, 'A',800, 1.01);</v>
      </c>
      <c r="I253" s="6" t="str">
        <f t="shared" si="35"/>
        <v>{"age":"30", "year":"24", "couponrate":"8", "benefittype":"A", "benefitrate":"800", "premiumrate":"1.01"}</v>
      </c>
      <c r="J253" s="6" t="str">
        <f t="shared" si="36"/>
        <v>,</v>
      </c>
    </row>
    <row r="254" spans="1:10">
      <c r="A254" s="4" t="str">
        <f>'EN60'!A$3</f>
        <v>EN60</v>
      </c>
      <c r="B254" s="4">
        <f t="shared" si="37"/>
        <v>30</v>
      </c>
      <c r="C254" s="4">
        <f t="shared" si="38"/>
        <v>25</v>
      </c>
      <c r="D254" s="4">
        <f t="shared" si="32"/>
        <v>8</v>
      </c>
      <c r="E254" s="4" t="s">
        <v>27</v>
      </c>
      <c r="F254" s="4">
        <f t="shared" si="33"/>
        <v>800</v>
      </c>
      <c r="G254" s="5">
        <f t="shared" si="39"/>
        <v>1.01</v>
      </c>
      <c r="H254" s="6" t="str">
        <f t="shared" si="34"/>
        <v>INSERT INTO public.coupon (plancode, age, "year", couponrate, benefittype, benefitrate, premiumrate) VALUES('EN60', 30, 25, 8, 'A',800, 1.01);</v>
      </c>
      <c r="I254" s="6" t="str">
        <f t="shared" si="35"/>
        <v>{"age":"30", "year":"25", "couponrate":"8", "benefittype":"A", "benefitrate":"800", "premiumrate":"1.01"}</v>
      </c>
      <c r="J254" s="6" t="str">
        <f t="shared" si="36"/>
        <v>,</v>
      </c>
    </row>
    <row r="255" spans="1:10">
      <c r="A255" s="4" t="str">
        <f>'EN60'!A$3</f>
        <v>EN60</v>
      </c>
      <c r="B255" s="4">
        <f t="shared" si="37"/>
        <v>30</v>
      </c>
      <c r="C255" s="4">
        <f t="shared" si="38"/>
        <v>26</v>
      </c>
      <c r="D255" s="4">
        <f t="shared" si="32"/>
        <v>8</v>
      </c>
      <c r="E255" s="4" t="s">
        <v>27</v>
      </c>
      <c r="F255" s="4">
        <f t="shared" si="33"/>
        <v>800</v>
      </c>
      <c r="G255" s="5">
        <f t="shared" si="39"/>
        <v>1.01</v>
      </c>
      <c r="H255" s="6" t="str">
        <f t="shared" si="34"/>
        <v>INSERT INTO public.coupon (plancode, age, "year", couponrate, benefittype, benefitrate, premiumrate) VALUES('EN60', 30, 26, 8, 'A',800, 1.01);</v>
      </c>
      <c r="I255" s="6" t="str">
        <f t="shared" si="35"/>
        <v>{"age":"30", "year":"26", "couponrate":"8", "benefittype":"A", "benefitrate":"800", "premiumrate":"1.01"}</v>
      </c>
      <c r="J255" s="6" t="str">
        <f t="shared" si="36"/>
        <v>,</v>
      </c>
    </row>
    <row r="256" spans="1:10">
      <c r="A256" s="4" t="str">
        <f>'EN60'!A$3</f>
        <v>EN60</v>
      </c>
      <c r="B256" s="4">
        <f t="shared" si="37"/>
        <v>30</v>
      </c>
      <c r="C256" s="4">
        <f t="shared" si="38"/>
        <v>27</v>
      </c>
      <c r="D256" s="4">
        <f t="shared" si="32"/>
        <v>8</v>
      </c>
      <c r="E256" s="4" t="s">
        <v>27</v>
      </c>
      <c r="F256" s="4">
        <f t="shared" si="33"/>
        <v>800</v>
      </c>
      <c r="G256" s="5">
        <f t="shared" si="39"/>
        <v>1.01</v>
      </c>
      <c r="H256" s="6" t="str">
        <f t="shared" si="34"/>
        <v>INSERT INTO public.coupon (plancode, age, "year", couponrate, benefittype, benefitrate, premiumrate) VALUES('EN60', 30, 27, 8, 'A',800, 1.01);</v>
      </c>
      <c r="I256" s="6" t="str">
        <f t="shared" si="35"/>
        <v>{"age":"30", "year":"27", "couponrate":"8", "benefittype":"A", "benefitrate":"800", "premiumrate":"1.01"}</v>
      </c>
      <c r="J256" s="6" t="str">
        <f t="shared" si="36"/>
        <v>,</v>
      </c>
    </row>
    <row r="257" spans="1:10">
      <c r="A257" s="4" t="str">
        <f>'EN60'!A$3</f>
        <v>EN60</v>
      </c>
      <c r="B257" s="4">
        <f t="shared" si="37"/>
        <v>30</v>
      </c>
      <c r="C257" s="4">
        <f t="shared" si="38"/>
        <v>28</v>
      </c>
      <c r="D257" s="4">
        <f t="shared" si="32"/>
        <v>8</v>
      </c>
      <c r="E257" s="4" t="s">
        <v>27</v>
      </c>
      <c r="F257" s="4">
        <f t="shared" si="33"/>
        <v>800</v>
      </c>
      <c r="G257" s="5">
        <f t="shared" si="39"/>
        <v>1.01</v>
      </c>
      <c r="H257" s="6" t="str">
        <f t="shared" si="34"/>
        <v>INSERT INTO public.coupon (plancode, age, "year", couponrate, benefittype, benefitrate, premiumrate) VALUES('EN60', 30, 28, 8, 'A',800, 1.01);</v>
      </c>
      <c r="I257" s="6" t="str">
        <f t="shared" si="35"/>
        <v>{"age":"30", "year":"28", "couponrate":"8", "benefittype":"A", "benefitrate":"800", "premiumrate":"1.01"}</v>
      </c>
      <c r="J257" s="6" t="str">
        <f t="shared" si="36"/>
        <v>,</v>
      </c>
    </row>
    <row r="258" spans="1:10">
      <c r="A258" s="4" t="str">
        <f>'EN60'!A$3</f>
        <v>EN60</v>
      </c>
      <c r="B258" s="4">
        <f t="shared" si="37"/>
        <v>30</v>
      </c>
      <c r="C258" s="4">
        <f t="shared" si="38"/>
        <v>29</v>
      </c>
      <c r="D258" s="4">
        <f t="shared" si="32"/>
        <v>8</v>
      </c>
      <c r="E258" s="4" t="s">
        <v>27</v>
      </c>
      <c r="F258" s="4">
        <f t="shared" si="33"/>
        <v>800</v>
      </c>
      <c r="G258" s="5">
        <f t="shared" si="39"/>
        <v>1.01</v>
      </c>
      <c r="H258" s="6" t="str">
        <f t="shared" si="34"/>
        <v>INSERT INTO public.coupon (plancode, age, "year", couponrate, benefittype, benefitrate, premiumrate) VALUES('EN60', 30, 29, 8, 'A',800, 1.01);</v>
      </c>
      <c r="I258" s="6" t="str">
        <f t="shared" si="35"/>
        <v>{"age":"30", "year":"29", "couponrate":"8", "benefittype":"A", "benefitrate":"800", "premiumrate":"1.01"}</v>
      </c>
      <c r="J258" s="6" t="str">
        <f t="shared" si="36"/>
        <v>,</v>
      </c>
    </row>
    <row r="259" spans="1:10">
      <c r="A259" s="4" t="str">
        <f>'EN60'!A$3</f>
        <v>EN60</v>
      </c>
      <c r="B259" s="4">
        <f t="shared" si="37"/>
        <v>30</v>
      </c>
      <c r="C259" s="4">
        <f t="shared" si="38"/>
        <v>30</v>
      </c>
      <c r="D259" s="4">
        <f t="shared" si="32"/>
        <v>8</v>
      </c>
      <c r="E259" s="4" t="s">
        <v>27</v>
      </c>
      <c r="F259" s="4">
        <f t="shared" si="33"/>
        <v>800</v>
      </c>
      <c r="G259" s="5">
        <f t="shared" si="39"/>
        <v>1.01</v>
      </c>
      <c r="H259" s="6" t="str">
        <f t="shared" si="34"/>
        <v>INSERT INTO public.coupon (plancode, age, "year", couponrate, benefittype, benefitrate, premiumrate) VALUES('EN60', 30, 30, 8, 'A',800, 1.01);</v>
      </c>
      <c r="I259" s="6" t="str">
        <f t="shared" si="35"/>
        <v>{"age":"30", "year":"30", "couponrate":"8", "benefittype":"A", "benefitrate":"800", "premiumrate":"1.01"}</v>
      </c>
      <c r="J259" s="6" t="str">
        <f t="shared" si="36"/>
        <v>,</v>
      </c>
    </row>
    <row r="260" spans="1:10">
      <c r="A260" s="4" t="str">
        <f>'EN60'!A$3</f>
        <v>EN60</v>
      </c>
      <c r="B260" s="4">
        <f t="shared" si="37"/>
        <v>30</v>
      </c>
      <c r="C260" s="4">
        <f t="shared" si="38"/>
        <v>31</v>
      </c>
      <c r="D260" s="4">
        <f t="shared" si="32"/>
        <v>8</v>
      </c>
      <c r="E260" s="4" t="s">
        <v>27</v>
      </c>
      <c r="F260" s="4">
        <f t="shared" si="33"/>
        <v>800</v>
      </c>
      <c r="G260" s="5">
        <f t="shared" si="39"/>
        <v>1.01</v>
      </c>
      <c r="H260" s="6" t="str">
        <f t="shared" si="34"/>
        <v>INSERT INTO public.coupon (plancode, age, "year", couponrate, benefittype, benefitrate, premiumrate) VALUES('EN60', 30, 31, 8, 'A',800, 1.01);</v>
      </c>
      <c r="I260" s="6" t="str">
        <f t="shared" si="35"/>
        <v>{"age":"30", "year":"31", "couponrate":"8", "benefittype":"A", "benefitrate":"800", "premiumrate":"1.01"}</v>
      </c>
      <c r="J260" s="6" t="str">
        <f t="shared" si="36"/>
        <v>,</v>
      </c>
    </row>
    <row r="261" spans="1:10">
      <c r="A261" s="4" t="str">
        <f>'EN60'!A$3</f>
        <v>EN60</v>
      </c>
      <c r="B261" s="4">
        <f t="shared" si="37"/>
        <v>30</v>
      </c>
      <c r="C261" s="4">
        <f t="shared" si="38"/>
        <v>32</v>
      </c>
      <c r="D261" s="4">
        <f t="shared" si="32"/>
        <v>8</v>
      </c>
      <c r="E261" s="4" t="s">
        <v>27</v>
      </c>
      <c r="F261" s="4">
        <f t="shared" si="33"/>
        <v>800</v>
      </c>
      <c r="G261" s="5">
        <f t="shared" si="39"/>
        <v>1.01</v>
      </c>
      <c r="H261" s="6" t="str">
        <f t="shared" si="34"/>
        <v>INSERT INTO public.coupon (plancode, age, "year", couponrate, benefittype, benefitrate, premiumrate) VALUES('EN60', 30, 32, 8, 'A',800, 1.01);</v>
      </c>
      <c r="I261" s="6" t="str">
        <f t="shared" si="35"/>
        <v>{"age":"30", "year":"32", "couponrate":"8", "benefittype":"A", "benefitrate":"800", "premiumrate":"1.01"}</v>
      </c>
      <c r="J261" s="6" t="str">
        <f t="shared" si="36"/>
        <v>,</v>
      </c>
    </row>
    <row r="262" spans="1:10">
      <c r="A262" s="4" t="str">
        <f>'EN60'!A$3</f>
        <v>EN60</v>
      </c>
      <c r="B262" s="4">
        <f t="shared" si="37"/>
        <v>30</v>
      </c>
      <c r="C262" s="4">
        <f t="shared" si="38"/>
        <v>33</v>
      </c>
      <c r="D262" s="4">
        <f t="shared" si="32"/>
        <v>8</v>
      </c>
      <c r="E262" s="4" t="s">
        <v>27</v>
      </c>
      <c r="F262" s="4">
        <f t="shared" si="33"/>
        <v>800</v>
      </c>
      <c r="G262" s="5">
        <f t="shared" si="39"/>
        <v>1.01</v>
      </c>
      <c r="H262" s="6" t="str">
        <f t="shared" si="34"/>
        <v>INSERT INTO public.coupon (plancode, age, "year", couponrate, benefittype, benefitrate, premiumrate) VALUES('EN60', 30, 33, 8, 'A',800, 1.01);</v>
      </c>
      <c r="I262" s="6" t="str">
        <f t="shared" si="35"/>
        <v>{"age":"30", "year":"33", "couponrate":"8", "benefittype":"A", "benefitrate":"800", "premiumrate":"1.01"}</v>
      </c>
      <c r="J262" s="6" t="str">
        <f t="shared" si="36"/>
        <v>,</v>
      </c>
    </row>
    <row r="263" spans="1:10">
      <c r="A263" s="4" t="str">
        <f>'EN60'!A$3</f>
        <v>EN60</v>
      </c>
      <c r="B263" s="4">
        <f t="shared" si="37"/>
        <v>30</v>
      </c>
      <c r="C263" s="4">
        <f t="shared" si="38"/>
        <v>34</v>
      </c>
      <c r="D263" s="4">
        <f t="shared" si="32"/>
        <v>8</v>
      </c>
      <c r="E263" s="4" t="s">
        <v>27</v>
      </c>
      <c r="F263" s="4">
        <f t="shared" si="33"/>
        <v>800</v>
      </c>
      <c r="G263" s="5">
        <f t="shared" si="39"/>
        <v>1.01</v>
      </c>
      <c r="H263" s="6" t="str">
        <f t="shared" si="34"/>
        <v>INSERT INTO public.coupon (plancode, age, "year", couponrate, benefittype, benefitrate, premiumrate) VALUES('EN60', 30, 34, 8, 'A',800, 1.01);</v>
      </c>
      <c r="I263" s="6" t="str">
        <f t="shared" si="35"/>
        <v>{"age":"30", "year":"34", "couponrate":"8", "benefittype":"A", "benefitrate":"800", "premiumrate":"1.01"}</v>
      </c>
      <c r="J263" s="6" t="str">
        <f t="shared" si="36"/>
        <v>,</v>
      </c>
    </row>
    <row r="264" spans="1:10">
      <c r="A264" s="4" t="str">
        <f>'EN60'!A$3</f>
        <v>EN60</v>
      </c>
      <c r="B264" s="4">
        <f t="shared" si="37"/>
        <v>30</v>
      </c>
      <c r="C264" s="4">
        <f t="shared" si="38"/>
        <v>35</v>
      </c>
      <c r="D264" s="4">
        <f t="shared" si="32"/>
        <v>8</v>
      </c>
      <c r="E264" s="4" t="s">
        <v>27</v>
      </c>
      <c r="F264" s="4">
        <f t="shared" si="33"/>
        <v>800</v>
      </c>
      <c r="G264" s="5">
        <f t="shared" si="39"/>
        <v>1.01</v>
      </c>
      <c r="H264" s="6" t="str">
        <f t="shared" si="34"/>
        <v>INSERT INTO public.coupon (plancode, age, "year", couponrate, benefittype, benefitrate, premiumrate) VALUES('EN60', 30, 35, 8, 'A',800, 1.01);</v>
      </c>
      <c r="I264" s="6" t="str">
        <f t="shared" si="35"/>
        <v>{"age":"30", "year":"35", "couponrate":"8", "benefittype":"A", "benefitrate":"800", "premiumrate":"1.01"}</v>
      </c>
      <c r="J264" s="6" t="str">
        <f t="shared" si="36"/>
        <v>,</v>
      </c>
    </row>
    <row r="265" spans="1:10">
      <c r="A265" s="4" t="str">
        <f>'EN60'!A$3</f>
        <v>EN60</v>
      </c>
      <c r="B265" s="4">
        <f t="shared" si="37"/>
        <v>30</v>
      </c>
      <c r="C265" s="4">
        <f t="shared" si="38"/>
        <v>36</v>
      </c>
      <c r="D265" s="4">
        <f t="shared" si="32"/>
        <v>8</v>
      </c>
      <c r="E265" s="4" t="s">
        <v>27</v>
      </c>
      <c r="F265" s="4">
        <f t="shared" si="33"/>
        <v>800</v>
      </c>
      <c r="G265" s="5">
        <f t="shared" si="39"/>
        <v>1.01</v>
      </c>
      <c r="H265" s="6" t="str">
        <f t="shared" si="34"/>
        <v>INSERT INTO public.coupon (plancode, age, "year", couponrate, benefittype, benefitrate, premiumrate) VALUES('EN60', 30, 36, 8, 'A',800, 1.01);</v>
      </c>
      <c r="I265" s="6" t="str">
        <f t="shared" si="35"/>
        <v>{"age":"30", "year":"36", "couponrate":"8", "benefittype":"A", "benefitrate":"800", "premiumrate":"1.01"}</v>
      </c>
      <c r="J265" s="6" t="str">
        <f t="shared" si="36"/>
        <v>,</v>
      </c>
    </row>
    <row r="266" spans="1:10">
      <c r="A266" s="4" t="str">
        <f>'EN60'!A$3</f>
        <v>EN60</v>
      </c>
      <c r="B266" s="4">
        <f t="shared" si="37"/>
        <v>30</v>
      </c>
      <c r="C266" s="4">
        <f t="shared" si="38"/>
        <v>37</v>
      </c>
      <c r="D266" s="4">
        <f t="shared" si="32"/>
        <v>8</v>
      </c>
      <c r="E266" s="4" t="s">
        <v>27</v>
      </c>
      <c r="F266" s="4">
        <f t="shared" si="33"/>
        <v>800</v>
      </c>
      <c r="G266" s="5">
        <f t="shared" si="39"/>
        <v>1.01</v>
      </c>
      <c r="H266" s="6" t="str">
        <f t="shared" si="34"/>
        <v>INSERT INTO public.coupon (plancode, age, "year", couponrate, benefittype, benefitrate, premiumrate) VALUES('EN60', 30, 37, 8, 'A',800, 1.01);</v>
      </c>
      <c r="I266" s="6" t="str">
        <f t="shared" si="35"/>
        <v>{"age":"30", "year":"37", "couponrate":"8", "benefittype":"A", "benefitrate":"800", "premiumrate":"1.01"}</v>
      </c>
      <c r="J266" s="6" t="str">
        <f t="shared" si="36"/>
        <v>,</v>
      </c>
    </row>
    <row r="267" spans="1:10">
      <c r="A267" s="4" t="str">
        <f>'EN60'!A$3</f>
        <v>EN60</v>
      </c>
      <c r="B267" s="4">
        <f t="shared" si="37"/>
        <v>30</v>
      </c>
      <c r="C267" s="4">
        <f t="shared" si="38"/>
        <v>38</v>
      </c>
      <c r="D267" s="4">
        <f t="shared" si="32"/>
        <v>8</v>
      </c>
      <c r="E267" s="4" t="s">
        <v>27</v>
      </c>
      <c r="F267" s="4">
        <f t="shared" si="33"/>
        <v>800</v>
      </c>
      <c r="G267" s="5">
        <f t="shared" si="39"/>
        <v>1.01</v>
      </c>
      <c r="H267" s="6" t="str">
        <f t="shared" si="34"/>
        <v>INSERT INTO public.coupon (plancode, age, "year", couponrate, benefittype, benefitrate, premiumrate) VALUES('EN60', 30, 38, 8, 'A',800, 1.01);</v>
      </c>
      <c r="I267" s="6" t="str">
        <f t="shared" si="35"/>
        <v>{"age":"30", "year":"38", "couponrate":"8", "benefittype":"A", "benefitrate":"800", "premiumrate":"1.01"}</v>
      </c>
      <c r="J267" s="6" t="str">
        <f t="shared" si="36"/>
        <v>,</v>
      </c>
    </row>
    <row r="268" spans="1:10">
      <c r="A268" s="4" t="str">
        <f>'EN60'!A$3</f>
        <v>EN60</v>
      </c>
      <c r="B268" s="4">
        <f t="shared" si="37"/>
        <v>30</v>
      </c>
      <c r="C268" s="4">
        <f t="shared" si="38"/>
        <v>39</v>
      </c>
      <c r="D268" s="4">
        <f t="shared" si="32"/>
        <v>8</v>
      </c>
      <c r="E268" s="4" t="s">
        <v>27</v>
      </c>
      <c r="F268" s="4">
        <f t="shared" si="33"/>
        <v>800</v>
      </c>
      <c r="G268" s="5">
        <f t="shared" si="39"/>
        <v>1.01</v>
      </c>
      <c r="H268" s="6" t="str">
        <f t="shared" si="34"/>
        <v>INSERT INTO public.coupon (plancode, age, "year", couponrate, benefittype, benefitrate, premiumrate) VALUES('EN60', 30, 39, 8, 'A',800, 1.01);</v>
      </c>
      <c r="I268" s="6" t="str">
        <f t="shared" si="35"/>
        <v>{"age":"30", "year":"39", "couponrate":"8", "benefittype":"A", "benefitrate":"800", "premiumrate":"1.01"}</v>
      </c>
      <c r="J268" s="6" t="str">
        <f t="shared" si="36"/>
        <v>,</v>
      </c>
    </row>
    <row r="269" spans="1:10">
      <c r="A269" s="4" t="str">
        <f>'EN60'!A$3</f>
        <v>EN60</v>
      </c>
      <c r="B269" s="4">
        <f t="shared" si="37"/>
        <v>30</v>
      </c>
      <c r="C269" s="4">
        <f t="shared" si="38"/>
        <v>40</v>
      </c>
      <c r="D269" s="4">
        <f t="shared" si="32"/>
        <v>8</v>
      </c>
      <c r="E269" s="4" t="s">
        <v>27</v>
      </c>
      <c r="F269" s="4">
        <f t="shared" si="33"/>
        <v>800</v>
      </c>
      <c r="G269" s="5">
        <f t="shared" si="39"/>
        <v>1.01</v>
      </c>
      <c r="H269" s="6" t="str">
        <f t="shared" si="34"/>
        <v>INSERT INTO public.coupon (plancode, age, "year", couponrate, benefittype, benefitrate, premiumrate) VALUES('EN60', 30, 40, 8, 'A',800, 1.01);</v>
      </c>
      <c r="I269" s="6" t="str">
        <f t="shared" si="35"/>
        <v>{"age":"30", "year":"40", "couponrate":"8", "benefittype":"A", "benefitrate":"800", "premiumrate":"1.01"}</v>
      </c>
      <c r="J269" s="6" t="str">
        <f t="shared" si="36"/>
        <v>,</v>
      </c>
    </row>
    <row r="270" spans="1:10">
      <c r="A270" s="4" t="str">
        <f>'EN60'!A$3</f>
        <v>EN60</v>
      </c>
      <c r="B270" s="4">
        <f t="shared" si="37"/>
        <v>30</v>
      </c>
      <c r="C270" s="4">
        <f t="shared" si="38"/>
        <v>41</v>
      </c>
      <c r="D270" s="4">
        <f t="shared" si="32"/>
        <v>8</v>
      </c>
      <c r="E270" s="4" t="s">
        <v>27</v>
      </c>
      <c r="F270" s="4">
        <f t="shared" si="33"/>
        <v>800</v>
      </c>
      <c r="G270" s="5">
        <f t="shared" si="39"/>
        <v>1.01</v>
      </c>
      <c r="H270" s="6" t="str">
        <f t="shared" si="34"/>
        <v>INSERT INTO public.coupon (plancode, age, "year", couponrate, benefittype, benefitrate, premiumrate) VALUES('EN60', 30, 41, 8, 'A',800, 1.01);</v>
      </c>
      <c r="I270" s="6" t="str">
        <f t="shared" si="35"/>
        <v>{"age":"30", "year":"41", "couponrate":"8", "benefittype":"A", "benefitrate":"800", "premiumrate":"1.01"}</v>
      </c>
      <c r="J270" s="6" t="str">
        <f t="shared" si="36"/>
        <v>,</v>
      </c>
    </row>
    <row r="271" spans="1:10">
      <c r="A271" s="4" t="str">
        <f>'EN60'!A$3</f>
        <v>EN60</v>
      </c>
      <c r="B271" s="4">
        <f t="shared" si="37"/>
        <v>30</v>
      </c>
      <c r="C271" s="4">
        <f t="shared" si="38"/>
        <v>42</v>
      </c>
      <c r="D271" s="4">
        <f t="shared" si="32"/>
        <v>8</v>
      </c>
      <c r="E271" s="4" t="s">
        <v>27</v>
      </c>
      <c r="F271" s="4">
        <f t="shared" si="33"/>
        <v>800</v>
      </c>
      <c r="G271" s="5">
        <f t="shared" si="39"/>
        <v>1.01</v>
      </c>
      <c r="H271" s="6" t="str">
        <f t="shared" si="34"/>
        <v>INSERT INTO public.coupon (plancode, age, "year", couponrate, benefittype, benefitrate, premiumrate) VALUES('EN60', 30, 42, 8, 'A',800, 1.01);</v>
      </c>
      <c r="I271" s="6" t="str">
        <f t="shared" si="35"/>
        <v>{"age":"30", "year":"42", "couponrate":"8", "benefittype":"A", "benefitrate":"800", "premiumrate":"1.01"}</v>
      </c>
      <c r="J271" s="6" t="str">
        <f t="shared" si="36"/>
        <v>,</v>
      </c>
    </row>
    <row r="272" spans="1:10">
      <c r="A272" s="4" t="str">
        <f>'EN60'!A$3</f>
        <v>EN60</v>
      </c>
      <c r="B272" s="4">
        <f t="shared" si="37"/>
        <v>30</v>
      </c>
      <c r="C272" s="4">
        <f t="shared" si="38"/>
        <v>43</v>
      </c>
      <c r="D272" s="4">
        <f t="shared" si="32"/>
        <v>8</v>
      </c>
      <c r="E272" s="4" t="s">
        <v>27</v>
      </c>
      <c r="F272" s="4">
        <f t="shared" si="33"/>
        <v>800</v>
      </c>
      <c r="G272" s="5">
        <f t="shared" si="39"/>
        <v>1.01</v>
      </c>
      <c r="H272" s="6" t="str">
        <f t="shared" si="34"/>
        <v>INSERT INTO public.coupon (plancode, age, "year", couponrate, benefittype, benefitrate, premiumrate) VALUES('EN60', 30, 43, 8, 'A',800, 1.01);</v>
      </c>
      <c r="I272" s="6" t="str">
        <f t="shared" si="35"/>
        <v>{"age":"30", "year":"43", "couponrate":"8", "benefittype":"A", "benefitrate":"800", "premiumrate":"1.01"}</v>
      </c>
      <c r="J272" s="6" t="str">
        <f t="shared" si="36"/>
        <v>,</v>
      </c>
    </row>
    <row r="273" spans="1:10">
      <c r="A273" s="4" t="str">
        <f>'EN60'!A$3</f>
        <v>EN60</v>
      </c>
      <c r="B273" s="4">
        <f t="shared" si="37"/>
        <v>30</v>
      </c>
      <c r="C273" s="4">
        <f t="shared" si="38"/>
        <v>44</v>
      </c>
      <c r="D273" s="4">
        <f t="shared" si="32"/>
        <v>8</v>
      </c>
      <c r="E273" s="4" t="s">
        <v>27</v>
      </c>
      <c r="F273" s="4">
        <f t="shared" si="33"/>
        <v>800</v>
      </c>
      <c r="G273" s="5">
        <f t="shared" si="39"/>
        <v>1.01</v>
      </c>
      <c r="H273" s="6" t="str">
        <f t="shared" si="34"/>
        <v>INSERT INTO public.coupon (plancode, age, "year", couponrate, benefittype, benefitrate, premiumrate) VALUES('EN60', 30, 44, 8, 'A',800, 1.01);</v>
      </c>
      <c r="I273" s="6" t="str">
        <f t="shared" si="35"/>
        <v>{"age":"30", "year":"44", "couponrate":"8", "benefittype":"A", "benefitrate":"800", "premiumrate":"1.01"}</v>
      </c>
      <c r="J273" s="6" t="str">
        <f t="shared" si="36"/>
        <v>,</v>
      </c>
    </row>
    <row r="274" spans="1:10">
      <c r="A274" s="4" t="str">
        <f>'EN60'!A$3</f>
        <v>EN60</v>
      </c>
      <c r="B274" s="4">
        <f t="shared" si="37"/>
        <v>30</v>
      </c>
      <c r="C274" s="4">
        <f t="shared" si="38"/>
        <v>45</v>
      </c>
      <c r="D274" s="4">
        <f t="shared" si="32"/>
        <v>8</v>
      </c>
      <c r="E274" s="4" t="s">
        <v>27</v>
      </c>
      <c r="F274" s="4">
        <f t="shared" si="33"/>
        <v>800</v>
      </c>
      <c r="G274" s="5">
        <f t="shared" si="39"/>
        <v>1.01</v>
      </c>
      <c r="H274" s="6" t="str">
        <f t="shared" si="34"/>
        <v>INSERT INTO public.coupon (plancode, age, "year", couponrate, benefittype, benefitrate, premiumrate) VALUES('EN60', 30, 45, 8, 'A',800, 1.01);</v>
      </c>
      <c r="I274" s="6" t="str">
        <f t="shared" si="35"/>
        <v>{"age":"30", "year":"45", "couponrate":"8", "benefittype":"A", "benefitrate":"800", "premiumrate":"1.01"}</v>
      </c>
      <c r="J274" s="6" t="str">
        <f t="shared" si="36"/>
        <v>,</v>
      </c>
    </row>
    <row r="275" spans="1:10">
      <c r="A275" s="4" t="str">
        <f>'EN60'!A$3</f>
        <v>EN60</v>
      </c>
      <c r="B275" s="4">
        <f t="shared" si="37"/>
        <v>30</v>
      </c>
      <c r="C275" s="4">
        <f t="shared" si="38"/>
        <v>46</v>
      </c>
      <c r="D275" s="4">
        <f t="shared" si="32"/>
        <v>8</v>
      </c>
      <c r="E275" s="4" t="s">
        <v>27</v>
      </c>
      <c r="F275" s="4">
        <f t="shared" si="33"/>
        <v>800</v>
      </c>
      <c r="G275" s="5">
        <f t="shared" si="39"/>
        <v>1.01</v>
      </c>
      <c r="H275" s="6" t="str">
        <f t="shared" si="34"/>
        <v>INSERT INTO public.coupon (plancode, age, "year", couponrate, benefittype, benefitrate, premiumrate) VALUES('EN60', 30, 46, 8, 'A',800, 1.01);</v>
      </c>
      <c r="I275" s="6" t="str">
        <f t="shared" si="35"/>
        <v>{"age":"30", "year":"46", "couponrate":"8", "benefittype":"A", "benefitrate":"800", "premiumrate":"1.01"}</v>
      </c>
      <c r="J275" s="6" t="str">
        <f t="shared" si="36"/>
        <v>,</v>
      </c>
    </row>
    <row r="276" spans="1:10">
      <c r="A276" s="4" t="str">
        <f>'EN60'!A$3</f>
        <v>EN60</v>
      </c>
      <c r="B276" s="4">
        <f t="shared" si="37"/>
        <v>30</v>
      </c>
      <c r="C276" s="4">
        <f t="shared" si="38"/>
        <v>47</v>
      </c>
      <c r="D276" s="4">
        <f t="shared" si="32"/>
        <v>8</v>
      </c>
      <c r="E276" s="4" t="s">
        <v>27</v>
      </c>
      <c r="F276" s="4">
        <f t="shared" si="33"/>
        <v>800</v>
      </c>
      <c r="G276" s="5">
        <f t="shared" si="39"/>
        <v>1.01</v>
      </c>
      <c r="H276" s="6" t="str">
        <f t="shared" si="34"/>
        <v>INSERT INTO public.coupon (plancode, age, "year", couponrate, benefittype, benefitrate, premiumrate) VALUES('EN60', 30, 47, 8, 'A',800, 1.01);</v>
      </c>
      <c r="I276" s="6" t="str">
        <f t="shared" si="35"/>
        <v>{"age":"30", "year":"47", "couponrate":"8", "benefittype":"A", "benefitrate":"800", "premiumrate":"1.01"}</v>
      </c>
      <c r="J276" s="6" t="str">
        <f t="shared" si="36"/>
        <v>,</v>
      </c>
    </row>
    <row r="277" spans="1:10">
      <c r="A277" s="4" t="str">
        <f>'EN60'!A$3</f>
        <v>EN60</v>
      </c>
      <c r="B277" s="4">
        <f t="shared" si="37"/>
        <v>30</v>
      </c>
      <c r="C277" s="4">
        <f t="shared" si="38"/>
        <v>48</v>
      </c>
      <c r="D277" s="4">
        <f t="shared" si="32"/>
        <v>8</v>
      </c>
      <c r="E277" s="4" t="s">
        <v>27</v>
      </c>
      <c r="F277" s="4">
        <f t="shared" si="33"/>
        <v>800</v>
      </c>
      <c r="G277" s="5">
        <f t="shared" si="39"/>
        <v>1.01</v>
      </c>
      <c r="H277" s="6" t="str">
        <f t="shared" si="34"/>
        <v>INSERT INTO public.coupon (plancode, age, "year", couponrate, benefittype, benefitrate, premiumrate) VALUES('EN60', 30, 48, 8, 'A',800, 1.01);</v>
      </c>
      <c r="I277" s="6" t="str">
        <f t="shared" si="35"/>
        <v>{"age":"30", "year":"48", "couponrate":"8", "benefittype":"A", "benefitrate":"800", "premiumrate":"1.01"}</v>
      </c>
      <c r="J277" s="6" t="str">
        <f t="shared" si="36"/>
        <v>,</v>
      </c>
    </row>
    <row r="278" spans="1:10">
      <c r="A278" s="4" t="str">
        <f>'EN60'!A$3</f>
        <v>EN60</v>
      </c>
      <c r="B278" s="4">
        <f t="shared" si="37"/>
        <v>30</v>
      </c>
      <c r="C278" s="4">
        <f t="shared" si="38"/>
        <v>49</v>
      </c>
      <c r="D278" s="4">
        <f t="shared" si="32"/>
        <v>8</v>
      </c>
      <c r="E278" s="4" t="s">
        <v>27</v>
      </c>
      <c r="F278" s="4">
        <f t="shared" si="33"/>
        <v>800</v>
      </c>
      <c r="G278" s="5">
        <f t="shared" si="39"/>
        <v>1.01</v>
      </c>
      <c r="H278" s="6" t="str">
        <f t="shared" si="34"/>
        <v>INSERT INTO public.coupon (plancode, age, "year", couponrate, benefittype, benefitrate, premiumrate) VALUES('EN60', 30, 49, 8, 'A',800, 1.01);</v>
      </c>
      <c r="I278" s="6" t="str">
        <f t="shared" si="35"/>
        <v>{"age":"30", "year":"49", "couponrate":"8", "benefittype":"A", "benefitrate":"800", "premiumrate":"1.01"}</v>
      </c>
      <c r="J278" s="6" t="str">
        <f t="shared" si="36"/>
        <v>,</v>
      </c>
    </row>
    <row r="279" spans="1:10">
      <c r="A279" s="4" t="str">
        <f>'EN60'!A$3</f>
        <v>EN60</v>
      </c>
      <c r="B279" s="4">
        <f t="shared" si="37"/>
        <v>30</v>
      </c>
      <c r="C279" s="4">
        <f t="shared" si="38"/>
        <v>50</v>
      </c>
      <c r="D279" s="4">
        <f t="shared" si="32"/>
        <v>0</v>
      </c>
      <c r="E279" s="4" t="s">
        <v>27</v>
      </c>
      <c r="F279" s="4">
        <f t="shared" si="33"/>
        <v>800</v>
      </c>
      <c r="G279" s="5">
        <f t="shared" si="39"/>
        <v>1.01</v>
      </c>
      <c r="H279" s="6" t="str">
        <f t="shared" si="34"/>
        <v>INSERT INTO public.coupon (plancode, age, "year", couponrate, benefittype, benefitrate, premiumrate) VALUES('EN60', 30, 50, 0, 'A',800, 1.01);</v>
      </c>
      <c r="I279" s="6" t="str">
        <f t="shared" si="35"/>
        <v>{"age":"30", "year":"50", "couponrate":"0", "benefittype":"A", "benefitrate":"800", "premiumrate":"1.01"}</v>
      </c>
    </row>
    <row r="280" spans="1:10">
      <c r="C280" s="6"/>
      <c r="I280" s="6" t="s">
        <v>28</v>
      </c>
    </row>
    <row r="281" spans="1:10">
      <c r="A281" s="3" t="s">
        <v>2</v>
      </c>
      <c r="B281" s="3" t="s">
        <v>23</v>
      </c>
      <c r="C281" s="3" t="s">
        <v>24</v>
      </c>
      <c r="D281" s="3" t="s">
        <v>25</v>
      </c>
      <c r="E281" s="3" t="s">
        <v>8</v>
      </c>
      <c r="F281" s="3" t="s">
        <v>26</v>
      </c>
      <c r="G281" s="3" t="s">
        <v>4</v>
      </c>
      <c r="I281" s="6" t="str">
        <f>"[{""plancode"":"""&amp;A282&amp;""",""returncash"":"""&amp;B$7&amp;""",""ytable"":"""&amp;C$7&amp;""",""maturerate"":"""&amp;B$3&amp;""",""maturepmrate"":"""&amp;C$3&amp;""",""coupon"":["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282" spans="1:10">
      <c r="A282" s="4" t="str">
        <f>'EN60'!A$3</f>
        <v>EN60</v>
      </c>
      <c r="B282" s="8">
        <v>31</v>
      </c>
      <c r="C282" s="4">
        <v>1</v>
      </c>
      <c r="D282" s="4">
        <f t="shared" ref="D282:D330" si="40">IF(C282+B282=80,0,8)</f>
        <v>8</v>
      </c>
      <c r="E282" s="4" t="s">
        <v>27</v>
      </c>
      <c r="F282" s="4">
        <f t="shared" ref="F282:F330" si="41">IF(C282&gt;7, 800, C282*100)</f>
        <v>100</v>
      </c>
      <c r="G282" s="5">
        <f>'EN60'!C$3</f>
        <v>1.01</v>
      </c>
      <c r="H282" s="6" t="str">
        <f t="shared" ref="H282:H330" si="42">"INSERT INTO public.coupon ("&amp;A$11&amp;", "&amp;B$11&amp;", """&amp;C$11&amp;""", "&amp;D$11&amp;", "&amp;E$11&amp;", "&amp;F$11&amp;", "&amp;G$11&amp;") VALUES('"&amp;A282&amp;"', "&amp;B282&amp;", "&amp;C282&amp;", "&amp;D282&amp;", '"&amp;E282&amp;"',"&amp;F282&amp;", "&amp;G282&amp;");"</f>
        <v>INSERT INTO public.coupon (plancode, age, "year", couponrate, benefittype, benefitrate, premiumrate) VALUES('EN60', 31, 1, 8, 'A',100, 1.01);</v>
      </c>
      <c r="I282" s="6" t="str">
        <f t="shared" ref="I282:I330" si="43">"{""age"":"""&amp;B282&amp;""", ""year"":"""&amp;C282&amp;""", ""couponrate"":"""&amp;D282&amp;""", ""benefittype"":"""&amp;E282&amp;""", ""benefitrate"":"""&amp;F282&amp;""", """&amp;G$11&amp;""":"""&amp;G282&amp;"""}"</f>
        <v>{"age":"31", "year":"1", "couponrate":"8", "benefittype":"A", "benefitrate":"100", "premiumrate":"1.01"}</v>
      </c>
      <c r="J282" s="6" t="str">
        <f t="shared" ref="J282:J329" si="44">IF(OR(I283="]", I282="[", I282="]"), "", ",")</f>
        <v>,</v>
      </c>
    </row>
    <row r="283" spans="1:10">
      <c r="A283" s="4" t="str">
        <f>'EN60'!A$3</f>
        <v>EN60</v>
      </c>
      <c r="B283" s="4">
        <f t="shared" ref="B283:B330" si="45">B282</f>
        <v>31</v>
      </c>
      <c r="C283" s="4">
        <f t="shared" ref="C283:C330" si="46">IF(B283+C282+1&gt;80,"",C282+1)</f>
        <v>2</v>
      </c>
      <c r="D283" s="4">
        <f t="shared" si="40"/>
        <v>8</v>
      </c>
      <c r="E283" s="4" t="s">
        <v>27</v>
      </c>
      <c r="F283" s="4">
        <f t="shared" si="41"/>
        <v>200</v>
      </c>
      <c r="G283" s="5">
        <f t="shared" ref="G283:G330" si="47">G282</f>
        <v>1.01</v>
      </c>
      <c r="H283" s="6" t="str">
        <f t="shared" si="42"/>
        <v>INSERT INTO public.coupon (plancode, age, "year", couponrate, benefittype, benefitrate, premiumrate) VALUES('EN60', 31, 2, 8, 'A',200, 1.01);</v>
      </c>
      <c r="I283" s="6" t="str">
        <f t="shared" si="43"/>
        <v>{"age":"31", "year":"2", "couponrate":"8", "benefittype":"A", "benefitrate":"200", "premiumrate":"1.01"}</v>
      </c>
      <c r="J283" s="6" t="str">
        <f t="shared" si="44"/>
        <v>,</v>
      </c>
    </row>
    <row r="284" spans="1:10">
      <c r="A284" s="4" t="str">
        <f>'EN60'!A$3</f>
        <v>EN60</v>
      </c>
      <c r="B284" s="4">
        <f t="shared" si="45"/>
        <v>31</v>
      </c>
      <c r="C284" s="4">
        <f t="shared" si="46"/>
        <v>3</v>
      </c>
      <c r="D284" s="4">
        <f t="shared" si="40"/>
        <v>8</v>
      </c>
      <c r="E284" s="4" t="s">
        <v>27</v>
      </c>
      <c r="F284" s="4">
        <f t="shared" si="41"/>
        <v>300</v>
      </c>
      <c r="G284" s="5">
        <f t="shared" si="47"/>
        <v>1.01</v>
      </c>
      <c r="H284" s="6" t="str">
        <f t="shared" si="42"/>
        <v>INSERT INTO public.coupon (plancode, age, "year", couponrate, benefittype, benefitrate, premiumrate) VALUES('EN60', 31, 3, 8, 'A',300, 1.01);</v>
      </c>
      <c r="I284" s="6" t="str">
        <f t="shared" si="43"/>
        <v>{"age":"31", "year":"3", "couponrate":"8", "benefittype":"A", "benefitrate":"300", "premiumrate":"1.01"}</v>
      </c>
      <c r="J284" s="6" t="str">
        <f t="shared" si="44"/>
        <v>,</v>
      </c>
    </row>
    <row r="285" spans="1:10">
      <c r="A285" s="4" t="str">
        <f>'EN60'!A$3</f>
        <v>EN60</v>
      </c>
      <c r="B285" s="4">
        <f t="shared" si="45"/>
        <v>31</v>
      </c>
      <c r="C285" s="4">
        <f t="shared" si="46"/>
        <v>4</v>
      </c>
      <c r="D285" s="4">
        <f t="shared" si="40"/>
        <v>8</v>
      </c>
      <c r="E285" s="4" t="s">
        <v>27</v>
      </c>
      <c r="F285" s="4">
        <f t="shared" si="41"/>
        <v>400</v>
      </c>
      <c r="G285" s="5">
        <f t="shared" si="47"/>
        <v>1.01</v>
      </c>
      <c r="H285" s="6" t="str">
        <f t="shared" si="42"/>
        <v>INSERT INTO public.coupon (plancode, age, "year", couponrate, benefittype, benefitrate, premiumrate) VALUES('EN60', 31, 4, 8, 'A',400, 1.01);</v>
      </c>
      <c r="I285" s="6" t="str">
        <f t="shared" si="43"/>
        <v>{"age":"31", "year":"4", "couponrate":"8", "benefittype":"A", "benefitrate":"400", "premiumrate":"1.01"}</v>
      </c>
      <c r="J285" s="6" t="str">
        <f t="shared" si="44"/>
        <v>,</v>
      </c>
    </row>
    <row r="286" spans="1:10">
      <c r="A286" s="4" t="str">
        <f>'EN60'!A$3</f>
        <v>EN60</v>
      </c>
      <c r="B286" s="4">
        <f t="shared" si="45"/>
        <v>31</v>
      </c>
      <c r="C286" s="4">
        <f t="shared" si="46"/>
        <v>5</v>
      </c>
      <c r="D286" s="4">
        <f t="shared" si="40"/>
        <v>8</v>
      </c>
      <c r="E286" s="4" t="s">
        <v>27</v>
      </c>
      <c r="F286" s="4">
        <f t="shared" si="41"/>
        <v>500</v>
      </c>
      <c r="G286" s="5">
        <f t="shared" si="47"/>
        <v>1.01</v>
      </c>
      <c r="H286" s="6" t="str">
        <f t="shared" si="42"/>
        <v>INSERT INTO public.coupon (plancode, age, "year", couponrate, benefittype, benefitrate, premiumrate) VALUES('EN60', 31, 5, 8, 'A',500, 1.01);</v>
      </c>
      <c r="I286" s="6" t="str">
        <f t="shared" si="43"/>
        <v>{"age":"31", "year":"5", "couponrate":"8", "benefittype":"A", "benefitrate":"500", "premiumrate":"1.01"}</v>
      </c>
      <c r="J286" s="6" t="str">
        <f t="shared" si="44"/>
        <v>,</v>
      </c>
    </row>
    <row r="287" spans="1:10">
      <c r="A287" s="4" t="str">
        <f>'EN60'!A$3</f>
        <v>EN60</v>
      </c>
      <c r="B287" s="4">
        <f t="shared" si="45"/>
        <v>31</v>
      </c>
      <c r="C287" s="4">
        <f t="shared" si="46"/>
        <v>6</v>
      </c>
      <c r="D287" s="4">
        <f t="shared" si="40"/>
        <v>8</v>
      </c>
      <c r="E287" s="4" t="s">
        <v>27</v>
      </c>
      <c r="F287" s="4">
        <f t="shared" si="41"/>
        <v>600</v>
      </c>
      <c r="G287" s="5">
        <f t="shared" si="47"/>
        <v>1.01</v>
      </c>
      <c r="H287" s="6" t="str">
        <f t="shared" si="42"/>
        <v>INSERT INTO public.coupon (plancode, age, "year", couponrate, benefittype, benefitrate, premiumrate) VALUES('EN60', 31, 6, 8, 'A',600, 1.01);</v>
      </c>
      <c r="I287" s="6" t="str">
        <f t="shared" si="43"/>
        <v>{"age":"31", "year":"6", "couponrate":"8", "benefittype":"A", "benefitrate":"600", "premiumrate":"1.01"}</v>
      </c>
      <c r="J287" s="6" t="str">
        <f t="shared" si="44"/>
        <v>,</v>
      </c>
    </row>
    <row r="288" spans="1:10">
      <c r="A288" s="4" t="str">
        <f>'EN60'!A$3</f>
        <v>EN60</v>
      </c>
      <c r="B288" s="4">
        <f t="shared" si="45"/>
        <v>31</v>
      </c>
      <c r="C288" s="4">
        <f t="shared" si="46"/>
        <v>7</v>
      </c>
      <c r="D288" s="4">
        <f t="shared" si="40"/>
        <v>8</v>
      </c>
      <c r="E288" s="4" t="s">
        <v>27</v>
      </c>
      <c r="F288" s="4">
        <f t="shared" si="41"/>
        <v>700</v>
      </c>
      <c r="G288" s="5">
        <f t="shared" si="47"/>
        <v>1.01</v>
      </c>
      <c r="H288" s="6" t="str">
        <f t="shared" si="42"/>
        <v>INSERT INTO public.coupon (plancode, age, "year", couponrate, benefittype, benefitrate, premiumrate) VALUES('EN60', 31, 7, 8, 'A',700, 1.01);</v>
      </c>
      <c r="I288" s="6" t="str">
        <f t="shared" si="43"/>
        <v>{"age":"31", "year":"7", "couponrate":"8", "benefittype":"A", "benefitrate":"700", "premiumrate":"1.01"}</v>
      </c>
      <c r="J288" s="6" t="str">
        <f t="shared" si="44"/>
        <v>,</v>
      </c>
    </row>
    <row r="289" spans="1:10">
      <c r="A289" s="4" t="str">
        <f>'EN60'!A$3</f>
        <v>EN60</v>
      </c>
      <c r="B289" s="4">
        <f t="shared" si="45"/>
        <v>31</v>
      </c>
      <c r="C289" s="4">
        <f t="shared" si="46"/>
        <v>8</v>
      </c>
      <c r="D289" s="4">
        <f t="shared" si="40"/>
        <v>8</v>
      </c>
      <c r="E289" s="4" t="s">
        <v>27</v>
      </c>
      <c r="F289" s="4">
        <f t="shared" si="41"/>
        <v>800</v>
      </c>
      <c r="G289" s="5">
        <f t="shared" si="47"/>
        <v>1.01</v>
      </c>
      <c r="H289" s="6" t="str">
        <f t="shared" si="42"/>
        <v>INSERT INTO public.coupon (plancode, age, "year", couponrate, benefittype, benefitrate, premiumrate) VALUES('EN60', 31, 8, 8, 'A',800, 1.01);</v>
      </c>
      <c r="I289" s="6" t="str">
        <f t="shared" si="43"/>
        <v>{"age":"31", "year":"8", "couponrate":"8", "benefittype":"A", "benefitrate":"800", "premiumrate":"1.01"}</v>
      </c>
      <c r="J289" s="6" t="str">
        <f t="shared" si="44"/>
        <v>,</v>
      </c>
    </row>
    <row r="290" spans="1:10">
      <c r="A290" s="4" t="str">
        <f>'EN60'!A$3</f>
        <v>EN60</v>
      </c>
      <c r="B290" s="4">
        <f t="shared" si="45"/>
        <v>31</v>
      </c>
      <c r="C290" s="4">
        <f t="shared" si="46"/>
        <v>9</v>
      </c>
      <c r="D290" s="4">
        <f t="shared" si="40"/>
        <v>8</v>
      </c>
      <c r="E290" s="4" t="s">
        <v>27</v>
      </c>
      <c r="F290" s="4">
        <f t="shared" si="41"/>
        <v>800</v>
      </c>
      <c r="G290" s="5">
        <f t="shared" si="47"/>
        <v>1.01</v>
      </c>
      <c r="H290" s="6" t="str">
        <f t="shared" si="42"/>
        <v>INSERT INTO public.coupon (plancode, age, "year", couponrate, benefittype, benefitrate, premiumrate) VALUES('EN60', 31, 9, 8, 'A',800, 1.01);</v>
      </c>
      <c r="I290" s="6" t="str">
        <f t="shared" si="43"/>
        <v>{"age":"31", "year":"9", "couponrate":"8", "benefittype":"A", "benefitrate":"800", "premiumrate":"1.01"}</v>
      </c>
      <c r="J290" s="6" t="str">
        <f t="shared" si="44"/>
        <v>,</v>
      </c>
    </row>
    <row r="291" spans="1:10">
      <c r="A291" s="4" t="str">
        <f>'EN60'!A$3</f>
        <v>EN60</v>
      </c>
      <c r="B291" s="4">
        <f t="shared" si="45"/>
        <v>31</v>
      </c>
      <c r="C291" s="4">
        <f t="shared" si="46"/>
        <v>10</v>
      </c>
      <c r="D291" s="4">
        <f t="shared" si="40"/>
        <v>8</v>
      </c>
      <c r="E291" s="4" t="s">
        <v>27</v>
      </c>
      <c r="F291" s="4">
        <f t="shared" si="41"/>
        <v>800</v>
      </c>
      <c r="G291" s="5">
        <f t="shared" si="47"/>
        <v>1.01</v>
      </c>
      <c r="H291" s="6" t="str">
        <f t="shared" si="42"/>
        <v>INSERT INTO public.coupon (plancode, age, "year", couponrate, benefittype, benefitrate, premiumrate) VALUES('EN60', 31, 10, 8, 'A',800, 1.01);</v>
      </c>
      <c r="I291" s="6" t="str">
        <f t="shared" si="43"/>
        <v>{"age":"31", "year":"10", "couponrate":"8", "benefittype":"A", "benefitrate":"800", "premiumrate":"1.01"}</v>
      </c>
      <c r="J291" s="6" t="str">
        <f t="shared" si="44"/>
        <v>,</v>
      </c>
    </row>
    <row r="292" spans="1:10">
      <c r="A292" s="4" t="str">
        <f>'EN60'!A$3</f>
        <v>EN60</v>
      </c>
      <c r="B292" s="4">
        <f t="shared" si="45"/>
        <v>31</v>
      </c>
      <c r="C292" s="4">
        <f t="shared" si="46"/>
        <v>11</v>
      </c>
      <c r="D292" s="4">
        <f t="shared" si="40"/>
        <v>8</v>
      </c>
      <c r="E292" s="4" t="s">
        <v>27</v>
      </c>
      <c r="F292" s="4">
        <f t="shared" si="41"/>
        <v>800</v>
      </c>
      <c r="G292" s="5">
        <f t="shared" si="47"/>
        <v>1.01</v>
      </c>
      <c r="H292" s="6" t="str">
        <f t="shared" si="42"/>
        <v>INSERT INTO public.coupon (plancode, age, "year", couponrate, benefittype, benefitrate, premiumrate) VALUES('EN60', 31, 11, 8, 'A',800, 1.01);</v>
      </c>
      <c r="I292" s="6" t="str">
        <f t="shared" si="43"/>
        <v>{"age":"31", "year":"11", "couponrate":"8", "benefittype":"A", "benefitrate":"800", "premiumrate":"1.01"}</v>
      </c>
      <c r="J292" s="6" t="str">
        <f t="shared" si="44"/>
        <v>,</v>
      </c>
    </row>
    <row r="293" spans="1:10">
      <c r="A293" s="4" t="str">
        <f>'EN60'!A$3</f>
        <v>EN60</v>
      </c>
      <c r="B293" s="4">
        <f t="shared" si="45"/>
        <v>31</v>
      </c>
      <c r="C293" s="4">
        <f t="shared" si="46"/>
        <v>12</v>
      </c>
      <c r="D293" s="4">
        <f t="shared" si="40"/>
        <v>8</v>
      </c>
      <c r="E293" s="4" t="s">
        <v>27</v>
      </c>
      <c r="F293" s="4">
        <f t="shared" si="41"/>
        <v>800</v>
      </c>
      <c r="G293" s="5">
        <f t="shared" si="47"/>
        <v>1.01</v>
      </c>
      <c r="H293" s="6" t="str">
        <f t="shared" si="42"/>
        <v>INSERT INTO public.coupon (plancode, age, "year", couponrate, benefittype, benefitrate, premiumrate) VALUES('EN60', 31, 12, 8, 'A',800, 1.01);</v>
      </c>
      <c r="I293" s="6" t="str">
        <f t="shared" si="43"/>
        <v>{"age":"31", "year":"12", "couponrate":"8", "benefittype":"A", "benefitrate":"800", "premiumrate":"1.01"}</v>
      </c>
      <c r="J293" s="6" t="str">
        <f t="shared" si="44"/>
        <v>,</v>
      </c>
    </row>
    <row r="294" spans="1:10">
      <c r="A294" s="4" t="str">
        <f>'EN60'!A$3</f>
        <v>EN60</v>
      </c>
      <c r="B294" s="4">
        <f t="shared" si="45"/>
        <v>31</v>
      </c>
      <c r="C294" s="4">
        <f t="shared" si="46"/>
        <v>13</v>
      </c>
      <c r="D294" s="4">
        <f t="shared" si="40"/>
        <v>8</v>
      </c>
      <c r="E294" s="4" t="s">
        <v>27</v>
      </c>
      <c r="F294" s="4">
        <f t="shared" si="41"/>
        <v>800</v>
      </c>
      <c r="G294" s="5">
        <f t="shared" si="47"/>
        <v>1.01</v>
      </c>
      <c r="H294" s="6" t="str">
        <f t="shared" si="42"/>
        <v>INSERT INTO public.coupon (plancode, age, "year", couponrate, benefittype, benefitrate, premiumrate) VALUES('EN60', 31, 13, 8, 'A',800, 1.01);</v>
      </c>
      <c r="I294" s="6" t="str">
        <f t="shared" si="43"/>
        <v>{"age":"31", "year":"13", "couponrate":"8", "benefittype":"A", "benefitrate":"800", "premiumrate":"1.01"}</v>
      </c>
      <c r="J294" s="6" t="str">
        <f t="shared" si="44"/>
        <v>,</v>
      </c>
    </row>
    <row r="295" spans="1:10">
      <c r="A295" s="4" t="str">
        <f>'EN60'!A$3</f>
        <v>EN60</v>
      </c>
      <c r="B295" s="4">
        <f t="shared" si="45"/>
        <v>31</v>
      </c>
      <c r="C295" s="4">
        <f t="shared" si="46"/>
        <v>14</v>
      </c>
      <c r="D295" s="4">
        <f t="shared" si="40"/>
        <v>8</v>
      </c>
      <c r="E295" s="4" t="s">
        <v>27</v>
      </c>
      <c r="F295" s="4">
        <f t="shared" si="41"/>
        <v>800</v>
      </c>
      <c r="G295" s="5">
        <f t="shared" si="47"/>
        <v>1.01</v>
      </c>
      <c r="H295" s="6" t="str">
        <f t="shared" si="42"/>
        <v>INSERT INTO public.coupon (plancode, age, "year", couponrate, benefittype, benefitrate, premiumrate) VALUES('EN60', 31, 14, 8, 'A',800, 1.01);</v>
      </c>
      <c r="I295" s="6" t="str">
        <f t="shared" si="43"/>
        <v>{"age":"31", "year":"14", "couponrate":"8", "benefittype":"A", "benefitrate":"800", "premiumrate":"1.01"}</v>
      </c>
      <c r="J295" s="6" t="str">
        <f t="shared" si="44"/>
        <v>,</v>
      </c>
    </row>
    <row r="296" spans="1:10">
      <c r="A296" s="4" t="str">
        <f>'EN60'!A$3</f>
        <v>EN60</v>
      </c>
      <c r="B296" s="4">
        <f t="shared" si="45"/>
        <v>31</v>
      </c>
      <c r="C296" s="4">
        <f t="shared" si="46"/>
        <v>15</v>
      </c>
      <c r="D296" s="4">
        <f t="shared" si="40"/>
        <v>8</v>
      </c>
      <c r="E296" s="4" t="s">
        <v>27</v>
      </c>
      <c r="F296" s="4">
        <f t="shared" si="41"/>
        <v>800</v>
      </c>
      <c r="G296" s="5">
        <f t="shared" si="47"/>
        <v>1.01</v>
      </c>
      <c r="H296" s="6" t="str">
        <f t="shared" si="42"/>
        <v>INSERT INTO public.coupon (plancode, age, "year", couponrate, benefittype, benefitrate, premiumrate) VALUES('EN60', 31, 15, 8, 'A',800, 1.01);</v>
      </c>
      <c r="I296" s="6" t="str">
        <f t="shared" si="43"/>
        <v>{"age":"31", "year":"15", "couponrate":"8", "benefittype":"A", "benefitrate":"800", "premiumrate":"1.01"}</v>
      </c>
      <c r="J296" s="6" t="str">
        <f t="shared" si="44"/>
        <v>,</v>
      </c>
    </row>
    <row r="297" spans="1:10">
      <c r="A297" s="4" t="str">
        <f>'EN60'!A$3</f>
        <v>EN60</v>
      </c>
      <c r="B297" s="4">
        <f t="shared" si="45"/>
        <v>31</v>
      </c>
      <c r="C297" s="4">
        <f t="shared" si="46"/>
        <v>16</v>
      </c>
      <c r="D297" s="4">
        <f t="shared" si="40"/>
        <v>8</v>
      </c>
      <c r="E297" s="4" t="s">
        <v>27</v>
      </c>
      <c r="F297" s="4">
        <f t="shared" si="41"/>
        <v>800</v>
      </c>
      <c r="G297" s="5">
        <f t="shared" si="47"/>
        <v>1.01</v>
      </c>
      <c r="H297" s="6" t="str">
        <f t="shared" si="42"/>
        <v>INSERT INTO public.coupon (plancode, age, "year", couponrate, benefittype, benefitrate, premiumrate) VALUES('EN60', 31, 16, 8, 'A',800, 1.01);</v>
      </c>
      <c r="I297" s="6" t="str">
        <f t="shared" si="43"/>
        <v>{"age":"31", "year":"16", "couponrate":"8", "benefittype":"A", "benefitrate":"800", "premiumrate":"1.01"}</v>
      </c>
      <c r="J297" s="6" t="str">
        <f t="shared" si="44"/>
        <v>,</v>
      </c>
    </row>
    <row r="298" spans="1:10">
      <c r="A298" s="4" t="str">
        <f>'EN60'!A$3</f>
        <v>EN60</v>
      </c>
      <c r="B298" s="4">
        <f t="shared" si="45"/>
        <v>31</v>
      </c>
      <c r="C298" s="4">
        <f t="shared" si="46"/>
        <v>17</v>
      </c>
      <c r="D298" s="4">
        <f t="shared" si="40"/>
        <v>8</v>
      </c>
      <c r="E298" s="4" t="s">
        <v>27</v>
      </c>
      <c r="F298" s="4">
        <f t="shared" si="41"/>
        <v>800</v>
      </c>
      <c r="G298" s="5">
        <f t="shared" si="47"/>
        <v>1.01</v>
      </c>
      <c r="H298" s="6" t="str">
        <f t="shared" si="42"/>
        <v>INSERT INTO public.coupon (plancode, age, "year", couponrate, benefittype, benefitrate, premiumrate) VALUES('EN60', 31, 17, 8, 'A',800, 1.01);</v>
      </c>
      <c r="I298" s="6" t="str">
        <f t="shared" si="43"/>
        <v>{"age":"31", "year":"17", "couponrate":"8", "benefittype":"A", "benefitrate":"800", "premiumrate":"1.01"}</v>
      </c>
      <c r="J298" s="6" t="str">
        <f t="shared" si="44"/>
        <v>,</v>
      </c>
    </row>
    <row r="299" spans="1:10">
      <c r="A299" s="4" t="str">
        <f>'EN60'!A$3</f>
        <v>EN60</v>
      </c>
      <c r="B299" s="4">
        <f t="shared" si="45"/>
        <v>31</v>
      </c>
      <c r="C299" s="4">
        <f t="shared" si="46"/>
        <v>18</v>
      </c>
      <c r="D299" s="4">
        <f t="shared" si="40"/>
        <v>8</v>
      </c>
      <c r="E299" s="4" t="s">
        <v>27</v>
      </c>
      <c r="F299" s="4">
        <f t="shared" si="41"/>
        <v>800</v>
      </c>
      <c r="G299" s="5">
        <f t="shared" si="47"/>
        <v>1.01</v>
      </c>
      <c r="H299" s="6" t="str">
        <f t="shared" si="42"/>
        <v>INSERT INTO public.coupon (plancode, age, "year", couponrate, benefittype, benefitrate, premiumrate) VALUES('EN60', 31, 18, 8, 'A',800, 1.01);</v>
      </c>
      <c r="I299" s="6" t="str">
        <f t="shared" si="43"/>
        <v>{"age":"31", "year":"18", "couponrate":"8", "benefittype":"A", "benefitrate":"800", "premiumrate":"1.01"}</v>
      </c>
      <c r="J299" s="6" t="str">
        <f t="shared" si="44"/>
        <v>,</v>
      </c>
    </row>
    <row r="300" spans="1:10">
      <c r="A300" s="4" t="str">
        <f>'EN60'!A$3</f>
        <v>EN60</v>
      </c>
      <c r="B300" s="4">
        <f t="shared" si="45"/>
        <v>31</v>
      </c>
      <c r="C300" s="4">
        <f t="shared" si="46"/>
        <v>19</v>
      </c>
      <c r="D300" s="4">
        <f t="shared" si="40"/>
        <v>8</v>
      </c>
      <c r="E300" s="4" t="s">
        <v>27</v>
      </c>
      <c r="F300" s="4">
        <f t="shared" si="41"/>
        <v>800</v>
      </c>
      <c r="G300" s="5">
        <f t="shared" si="47"/>
        <v>1.01</v>
      </c>
      <c r="H300" s="6" t="str">
        <f t="shared" si="42"/>
        <v>INSERT INTO public.coupon (plancode, age, "year", couponrate, benefittype, benefitrate, premiumrate) VALUES('EN60', 31, 19, 8, 'A',800, 1.01);</v>
      </c>
      <c r="I300" s="6" t="str">
        <f t="shared" si="43"/>
        <v>{"age":"31", "year":"19", "couponrate":"8", "benefittype":"A", "benefitrate":"800", "premiumrate":"1.01"}</v>
      </c>
      <c r="J300" s="6" t="str">
        <f t="shared" si="44"/>
        <v>,</v>
      </c>
    </row>
    <row r="301" spans="1:10">
      <c r="A301" s="4" t="str">
        <f>'EN60'!A$3</f>
        <v>EN60</v>
      </c>
      <c r="B301" s="4">
        <f t="shared" si="45"/>
        <v>31</v>
      </c>
      <c r="C301" s="4">
        <f t="shared" si="46"/>
        <v>20</v>
      </c>
      <c r="D301" s="4">
        <f t="shared" si="40"/>
        <v>8</v>
      </c>
      <c r="E301" s="4" t="s">
        <v>27</v>
      </c>
      <c r="F301" s="4">
        <f t="shared" si="41"/>
        <v>800</v>
      </c>
      <c r="G301" s="5">
        <f t="shared" si="47"/>
        <v>1.01</v>
      </c>
      <c r="H301" s="6" t="str">
        <f t="shared" si="42"/>
        <v>INSERT INTO public.coupon (plancode, age, "year", couponrate, benefittype, benefitrate, premiumrate) VALUES('EN60', 31, 20, 8, 'A',800, 1.01);</v>
      </c>
      <c r="I301" s="6" t="str">
        <f t="shared" si="43"/>
        <v>{"age":"31", "year":"20", "couponrate":"8", "benefittype":"A", "benefitrate":"800", "premiumrate":"1.01"}</v>
      </c>
      <c r="J301" s="6" t="str">
        <f t="shared" si="44"/>
        <v>,</v>
      </c>
    </row>
    <row r="302" spans="1:10">
      <c r="A302" s="4" t="str">
        <f>'EN60'!A$3</f>
        <v>EN60</v>
      </c>
      <c r="B302" s="4">
        <f t="shared" si="45"/>
        <v>31</v>
      </c>
      <c r="C302" s="4">
        <f t="shared" si="46"/>
        <v>21</v>
      </c>
      <c r="D302" s="4">
        <f t="shared" si="40"/>
        <v>8</v>
      </c>
      <c r="E302" s="4" t="s">
        <v>27</v>
      </c>
      <c r="F302" s="4">
        <f t="shared" si="41"/>
        <v>800</v>
      </c>
      <c r="G302" s="5">
        <f t="shared" si="47"/>
        <v>1.01</v>
      </c>
      <c r="H302" s="6" t="str">
        <f t="shared" si="42"/>
        <v>INSERT INTO public.coupon (plancode, age, "year", couponrate, benefittype, benefitrate, premiumrate) VALUES('EN60', 31, 21, 8, 'A',800, 1.01);</v>
      </c>
      <c r="I302" s="6" t="str">
        <f t="shared" si="43"/>
        <v>{"age":"31", "year":"21", "couponrate":"8", "benefittype":"A", "benefitrate":"800", "premiumrate":"1.01"}</v>
      </c>
      <c r="J302" s="6" t="str">
        <f t="shared" si="44"/>
        <v>,</v>
      </c>
    </row>
    <row r="303" spans="1:10">
      <c r="A303" s="4" t="str">
        <f>'EN60'!A$3</f>
        <v>EN60</v>
      </c>
      <c r="B303" s="4">
        <f t="shared" si="45"/>
        <v>31</v>
      </c>
      <c r="C303" s="4">
        <f t="shared" si="46"/>
        <v>22</v>
      </c>
      <c r="D303" s="4">
        <f t="shared" si="40"/>
        <v>8</v>
      </c>
      <c r="E303" s="4" t="s">
        <v>27</v>
      </c>
      <c r="F303" s="4">
        <f t="shared" si="41"/>
        <v>800</v>
      </c>
      <c r="G303" s="5">
        <f t="shared" si="47"/>
        <v>1.01</v>
      </c>
      <c r="H303" s="6" t="str">
        <f t="shared" si="42"/>
        <v>INSERT INTO public.coupon (plancode, age, "year", couponrate, benefittype, benefitrate, premiumrate) VALUES('EN60', 31, 22, 8, 'A',800, 1.01);</v>
      </c>
      <c r="I303" s="6" t="str">
        <f t="shared" si="43"/>
        <v>{"age":"31", "year":"22", "couponrate":"8", "benefittype":"A", "benefitrate":"800", "premiumrate":"1.01"}</v>
      </c>
      <c r="J303" s="6" t="str">
        <f t="shared" si="44"/>
        <v>,</v>
      </c>
    </row>
    <row r="304" spans="1:10">
      <c r="A304" s="4" t="str">
        <f>'EN60'!A$3</f>
        <v>EN60</v>
      </c>
      <c r="B304" s="4">
        <f t="shared" si="45"/>
        <v>31</v>
      </c>
      <c r="C304" s="4">
        <f t="shared" si="46"/>
        <v>23</v>
      </c>
      <c r="D304" s="4">
        <f t="shared" si="40"/>
        <v>8</v>
      </c>
      <c r="E304" s="4" t="s">
        <v>27</v>
      </c>
      <c r="F304" s="4">
        <f t="shared" si="41"/>
        <v>800</v>
      </c>
      <c r="G304" s="5">
        <f t="shared" si="47"/>
        <v>1.01</v>
      </c>
      <c r="H304" s="6" t="str">
        <f t="shared" si="42"/>
        <v>INSERT INTO public.coupon (plancode, age, "year", couponrate, benefittype, benefitrate, premiumrate) VALUES('EN60', 31, 23, 8, 'A',800, 1.01);</v>
      </c>
      <c r="I304" s="6" t="str">
        <f t="shared" si="43"/>
        <v>{"age":"31", "year":"23", "couponrate":"8", "benefittype":"A", "benefitrate":"800", "premiumrate":"1.01"}</v>
      </c>
      <c r="J304" s="6" t="str">
        <f t="shared" si="44"/>
        <v>,</v>
      </c>
    </row>
    <row r="305" spans="1:10">
      <c r="A305" s="4" t="str">
        <f>'EN60'!A$3</f>
        <v>EN60</v>
      </c>
      <c r="B305" s="4">
        <f t="shared" si="45"/>
        <v>31</v>
      </c>
      <c r="C305" s="4">
        <f t="shared" si="46"/>
        <v>24</v>
      </c>
      <c r="D305" s="4">
        <f t="shared" si="40"/>
        <v>8</v>
      </c>
      <c r="E305" s="4" t="s">
        <v>27</v>
      </c>
      <c r="F305" s="4">
        <f t="shared" si="41"/>
        <v>800</v>
      </c>
      <c r="G305" s="5">
        <f t="shared" si="47"/>
        <v>1.01</v>
      </c>
      <c r="H305" s="6" t="str">
        <f t="shared" si="42"/>
        <v>INSERT INTO public.coupon (plancode, age, "year", couponrate, benefittype, benefitrate, premiumrate) VALUES('EN60', 31, 24, 8, 'A',800, 1.01);</v>
      </c>
      <c r="I305" s="6" t="str">
        <f t="shared" si="43"/>
        <v>{"age":"31", "year":"24", "couponrate":"8", "benefittype":"A", "benefitrate":"800", "premiumrate":"1.01"}</v>
      </c>
      <c r="J305" s="6" t="str">
        <f t="shared" si="44"/>
        <v>,</v>
      </c>
    </row>
    <row r="306" spans="1:10">
      <c r="A306" s="4" t="str">
        <f>'EN60'!A$3</f>
        <v>EN60</v>
      </c>
      <c r="B306" s="4">
        <f t="shared" si="45"/>
        <v>31</v>
      </c>
      <c r="C306" s="4">
        <f t="shared" si="46"/>
        <v>25</v>
      </c>
      <c r="D306" s="4">
        <f t="shared" si="40"/>
        <v>8</v>
      </c>
      <c r="E306" s="4" t="s">
        <v>27</v>
      </c>
      <c r="F306" s="4">
        <f t="shared" si="41"/>
        <v>800</v>
      </c>
      <c r="G306" s="5">
        <f t="shared" si="47"/>
        <v>1.01</v>
      </c>
      <c r="H306" s="6" t="str">
        <f t="shared" si="42"/>
        <v>INSERT INTO public.coupon (plancode, age, "year", couponrate, benefittype, benefitrate, premiumrate) VALUES('EN60', 31, 25, 8, 'A',800, 1.01);</v>
      </c>
      <c r="I306" s="6" t="str">
        <f t="shared" si="43"/>
        <v>{"age":"31", "year":"25", "couponrate":"8", "benefittype":"A", "benefitrate":"800", "premiumrate":"1.01"}</v>
      </c>
      <c r="J306" s="6" t="str">
        <f t="shared" si="44"/>
        <v>,</v>
      </c>
    </row>
    <row r="307" spans="1:10">
      <c r="A307" s="4" t="str">
        <f>'EN60'!A$3</f>
        <v>EN60</v>
      </c>
      <c r="B307" s="4">
        <f t="shared" si="45"/>
        <v>31</v>
      </c>
      <c r="C307" s="4">
        <f t="shared" si="46"/>
        <v>26</v>
      </c>
      <c r="D307" s="4">
        <f t="shared" si="40"/>
        <v>8</v>
      </c>
      <c r="E307" s="4" t="s">
        <v>27</v>
      </c>
      <c r="F307" s="4">
        <f t="shared" si="41"/>
        <v>800</v>
      </c>
      <c r="G307" s="5">
        <f t="shared" si="47"/>
        <v>1.01</v>
      </c>
      <c r="H307" s="6" t="str">
        <f t="shared" si="42"/>
        <v>INSERT INTO public.coupon (plancode, age, "year", couponrate, benefittype, benefitrate, premiumrate) VALUES('EN60', 31, 26, 8, 'A',800, 1.01);</v>
      </c>
      <c r="I307" s="6" t="str">
        <f t="shared" si="43"/>
        <v>{"age":"31", "year":"26", "couponrate":"8", "benefittype":"A", "benefitrate":"800", "premiumrate":"1.01"}</v>
      </c>
      <c r="J307" s="6" t="str">
        <f t="shared" si="44"/>
        <v>,</v>
      </c>
    </row>
    <row r="308" spans="1:10">
      <c r="A308" s="4" t="str">
        <f>'EN60'!A$3</f>
        <v>EN60</v>
      </c>
      <c r="B308" s="4">
        <f t="shared" si="45"/>
        <v>31</v>
      </c>
      <c r="C308" s="4">
        <f t="shared" si="46"/>
        <v>27</v>
      </c>
      <c r="D308" s="4">
        <f t="shared" si="40"/>
        <v>8</v>
      </c>
      <c r="E308" s="4" t="s">
        <v>27</v>
      </c>
      <c r="F308" s="4">
        <f t="shared" si="41"/>
        <v>800</v>
      </c>
      <c r="G308" s="5">
        <f t="shared" si="47"/>
        <v>1.01</v>
      </c>
      <c r="H308" s="6" t="str">
        <f t="shared" si="42"/>
        <v>INSERT INTO public.coupon (plancode, age, "year", couponrate, benefittype, benefitrate, premiumrate) VALUES('EN60', 31, 27, 8, 'A',800, 1.01);</v>
      </c>
      <c r="I308" s="6" t="str">
        <f t="shared" si="43"/>
        <v>{"age":"31", "year":"27", "couponrate":"8", "benefittype":"A", "benefitrate":"800", "premiumrate":"1.01"}</v>
      </c>
      <c r="J308" s="6" t="str">
        <f t="shared" si="44"/>
        <v>,</v>
      </c>
    </row>
    <row r="309" spans="1:10">
      <c r="A309" s="4" t="str">
        <f>'EN60'!A$3</f>
        <v>EN60</v>
      </c>
      <c r="B309" s="4">
        <f t="shared" si="45"/>
        <v>31</v>
      </c>
      <c r="C309" s="4">
        <f t="shared" si="46"/>
        <v>28</v>
      </c>
      <c r="D309" s="4">
        <f t="shared" si="40"/>
        <v>8</v>
      </c>
      <c r="E309" s="4" t="s">
        <v>27</v>
      </c>
      <c r="F309" s="4">
        <f t="shared" si="41"/>
        <v>800</v>
      </c>
      <c r="G309" s="5">
        <f t="shared" si="47"/>
        <v>1.01</v>
      </c>
      <c r="H309" s="6" t="str">
        <f t="shared" si="42"/>
        <v>INSERT INTO public.coupon (plancode, age, "year", couponrate, benefittype, benefitrate, premiumrate) VALUES('EN60', 31, 28, 8, 'A',800, 1.01);</v>
      </c>
      <c r="I309" s="6" t="str">
        <f t="shared" si="43"/>
        <v>{"age":"31", "year":"28", "couponrate":"8", "benefittype":"A", "benefitrate":"800", "premiumrate":"1.01"}</v>
      </c>
      <c r="J309" s="6" t="str">
        <f t="shared" si="44"/>
        <v>,</v>
      </c>
    </row>
    <row r="310" spans="1:10">
      <c r="A310" s="4" t="str">
        <f>'EN60'!A$3</f>
        <v>EN60</v>
      </c>
      <c r="B310" s="4">
        <f t="shared" si="45"/>
        <v>31</v>
      </c>
      <c r="C310" s="4">
        <f t="shared" si="46"/>
        <v>29</v>
      </c>
      <c r="D310" s="4">
        <f t="shared" si="40"/>
        <v>8</v>
      </c>
      <c r="E310" s="4" t="s">
        <v>27</v>
      </c>
      <c r="F310" s="4">
        <f t="shared" si="41"/>
        <v>800</v>
      </c>
      <c r="G310" s="5">
        <f t="shared" si="47"/>
        <v>1.01</v>
      </c>
      <c r="H310" s="6" t="str">
        <f t="shared" si="42"/>
        <v>INSERT INTO public.coupon (plancode, age, "year", couponrate, benefittype, benefitrate, premiumrate) VALUES('EN60', 31, 29, 8, 'A',800, 1.01);</v>
      </c>
      <c r="I310" s="6" t="str">
        <f t="shared" si="43"/>
        <v>{"age":"31", "year":"29", "couponrate":"8", "benefittype":"A", "benefitrate":"800", "premiumrate":"1.01"}</v>
      </c>
      <c r="J310" s="6" t="str">
        <f t="shared" si="44"/>
        <v>,</v>
      </c>
    </row>
    <row r="311" spans="1:10">
      <c r="A311" s="4" t="str">
        <f>'EN60'!A$3</f>
        <v>EN60</v>
      </c>
      <c r="B311" s="4">
        <f t="shared" si="45"/>
        <v>31</v>
      </c>
      <c r="C311" s="4">
        <f t="shared" si="46"/>
        <v>30</v>
      </c>
      <c r="D311" s="4">
        <f t="shared" si="40"/>
        <v>8</v>
      </c>
      <c r="E311" s="4" t="s">
        <v>27</v>
      </c>
      <c r="F311" s="4">
        <f t="shared" si="41"/>
        <v>800</v>
      </c>
      <c r="G311" s="5">
        <f t="shared" si="47"/>
        <v>1.01</v>
      </c>
      <c r="H311" s="6" t="str">
        <f t="shared" si="42"/>
        <v>INSERT INTO public.coupon (plancode, age, "year", couponrate, benefittype, benefitrate, premiumrate) VALUES('EN60', 31, 30, 8, 'A',800, 1.01);</v>
      </c>
      <c r="I311" s="6" t="str">
        <f t="shared" si="43"/>
        <v>{"age":"31", "year":"30", "couponrate":"8", "benefittype":"A", "benefitrate":"800", "premiumrate":"1.01"}</v>
      </c>
      <c r="J311" s="6" t="str">
        <f t="shared" si="44"/>
        <v>,</v>
      </c>
    </row>
    <row r="312" spans="1:10">
      <c r="A312" s="4" t="str">
        <f>'EN60'!A$3</f>
        <v>EN60</v>
      </c>
      <c r="B312" s="4">
        <f t="shared" si="45"/>
        <v>31</v>
      </c>
      <c r="C312" s="4">
        <f t="shared" si="46"/>
        <v>31</v>
      </c>
      <c r="D312" s="4">
        <f t="shared" si="40"/>
        <v>8</v>
      </c>
      <c r="E312" s="4" t="s">
        <v>27</v>
      </c>
      <c r="F312" s="4">
        <f t="shared" si="41"/>
        <v>800</v>
      </c>
      <c r="G312" s="5">
        <f t="shared" si="47"/>
        <v>1.01</v>
      </c>
      <c r="H312" s="6" t="str">
        <f t="shared" si="42"/>
        <v>INSERT INTO public.coupon (plancode, age, "year", couponrate, benefittype, benefitrate, premiumrate) VALUES('EN60', 31, 31, 8, 'A',800, 1.01);</v>
      </c>
      <c r="I312" s="6" t="str">
        <f t="shared" si="43"/>
        <v>{"age":"31", "year":"31", "couponrate":"8", "benefittype":"A", "benefitrate":"800", "premiumrate":"1.01"}</v>
      </c>
      <c r="J312" s="6" t="str">
        <f t="shared" si="44"/>
        <v>,</v>
      </c>
    </row>
    <row r="313" spans="1:10">
      <c r="A313" s="4" t="str">
        <f>'EN60'!A$3</f>
        <v>EN60</v>
      </c>
      <c r="B313" s="4">
        <f t="shared" si="45"/>
        <v>31</v>
      </c>
      <c r="C313" s="4">
        <f t="shared" si="46"/>
        <v>32</v>
      </c>
      <c r="D313" s="4">
        <f t="shared" si="40"/>
        <v>8</v>
      </c>
      <c r="E313" s="4" t="s">
        <v>27</v>
      </c>
      <c r="F313" s="4">
        <f t="shared" si="41"/>
        <v>800</v>
      </c>
      <c r="G313" s="5">
        <f t="shared" si="47"/>
        <v>1.01</v>
      </c>
      <c r="H313" s="6" t="str">
        <f t="shared" si="42"/>
        <v>INSERT INTO public.coupon (plancode, age, "year", couponrate, benefittype, benefitrate, premiumrate) VALUES('EN60', 31, 32, 8, 'A',800, 1.01);</v>
      </c>
      <c r="I313" s="6" t="str">
        <f t="shared" si="43"/>
        <v>{"age":"31", "year":"32", "couponrate":"8", "benefittype":"A", "benefitrate":"800", "premiumrate":"1.01"}</v>
      </c>
      <c r="J313" s="6" t="str">
        <f t="shared" si="44"/>
        <v>,</v>
      </c>
    </row>
    <row r="314" spans="1:10">
      <c r="A314" s="4" t="str">
        <f>'EN60'!A$3</f>
        <v>EN60</v>
      </c>
      <c r="B314" s="4">
        <f t="shared" si="45"/>
        <v>31</v>
      </c>
      <c r="C314" s="4">
        <f t="shared" si="46"/>
        <v>33</v>
      </c>
      <c r="D314" s="4">
        <f t="shared" si="40"/>
        <v>8</v>
      </c>
      <c r="E314" s="4" t="s">
        <v>27</v>
      </c>
      <c r="F314" s="4">
        <f t="shared" si="41"/>
        <v>800</v>
      </c>
      <c r="G314" s="5">
        <f t="shared" si="47"/>
        <v>1.01</v>
      </c>
      <c r="H314" s="6" t="str">
        <f t="shared" si="42"/>
        <v>INSERT INTO public.coupon (plancode, age, "year", couponrate, benefittype, benefitrate, premiumrate) VALUES('EN60', 31, 33, 8, 'A',800, 1.01);</v>
      </c>
      <c r="I314" s="6" t="str">
        <f t="shared" si="43"/>
        <v>{"age":"31", "year":"33", "couponrate":"8", "benefittype":"A", "benefitrate":"800", "premiumrate":"1.01"}</v>
      </c>
      <c r="J314" s="6" t="str">
        <f t="shared" si="44"/>
        <v>,</v>
      </c>
    </row>
    <row r="315" spans="1:10">
      <c r="A315" s="4" t="str">
        <f>'EN60'!A$3</f>
        <v>EN60</v>
      </c>
      <c r="B315" s="4">
        <f t="shared" si="45"/>
        <v>31</v>
      </c>
      <c r="C315" s="4">
        <f t="shared" si="46"/>
        <v>34</v>
      </c>
      <c r="D315" s="4">
        <f t="shared" si="40"/>
        <v>8</v>
      </c>
      <c r="E315" s="4" t="s">
        <v>27</v>
      </c>
      <c r="F315" s="4">
        <f t="shared" si="41"/>
        <v>800</v>
      </c>
      <c r="G315" s="5">
        <f t="shared" si="47"/>
        <v>1.01</v>
      </c>
      <c r="H315" s="6" t="str">
        <f t="shared" si="42"/>
        <v>INSERT INTO public.coupon (plancode, age, "year", couponrate, benefittype, benefitrate, premiumrate) VALUES('EN60', 31, 34, 8, 'A',800, 1.01);</v>
      </c>
      <c r="I315" s="6" t="str">
        <f t="shared" si="43"/>
        <v>{"age":"31", "year":"34", "couponrate":"8", "benefittype":"A", "benefitrate":"800", "premiumrate":"1.01"}</v>
      </c>
      <c r="J315" s="6" t="str">
        <f t="shared" si="44"/>
        <v>,</v>
      </c>
    </row>
    <row r="316" spans="1:10">
      <c r="A316" s="4" t="str">
        <f>'EN60'!A$3</f>
        <v>EN60</v>
      </c>
      <c r="B316" s="4">
        <f t="shared" si="45"/>
        <v>31</v>
      </c>
      <c r="C316" s="4">
        <f t="shared" si="46"/>
        <v>35</v>
      </c>
      <c r="D316" s="4">
        <f t="shared" si="40"/>
        <v>8</v>
      </c>
      <c r="E316" s="4" t="s">
        <v>27</v>
      </c>
      <c r="F316" s="4">
        <f t="shared" si="41"/>
        <v>800</v>
      </c>
      <c r="G316" s="5">
        <f t="shared" si="47"/>
        <v>1.01</v>
      </c>
      <c r="H316" s="6" t="str">
        <f t="shared" si="42"/>
        <v>INSERT INTO public.coupon (plancode, age, "year", couponrate, benefittype, benefitrate, premiumrate) VALUES('EN60', 31, 35, 8, 'A',800, 1.01);</v>
      </c>
      <c r="I316" s="6" t="str">
        <f t="shared" si="43"/>
        <v>{"age":"31", "year":"35", "couponrate":"8", "benefittype":"A", "benefitrate":"800", "premiumrate":"1.01"}</v>
      </c>
      <c r="J316" s="6" t="str">
        <f t="shared" si="44"/>
        <v>,</v>
      </c>
    </row>
    <row r="317" spans="1:10">
      <c r="A317" s="4" t="str">
        <f>'EN60'!A$3</f>
        <v>EN60</v>
      </c>
      <c r="B317" s="4">
        <f t="shared" si="45"/>
        <v>31</v>
      </c>
      <c r="C317" s="4">
        <f t="shared" si="46"/>
        <v>36</v>
      </c>
      <c r="D317" s="4">
        <f t="shared" si="40"/>
        <v>8</v>
      </c>
      <c r="E317" s="4" t="s">
        <v>27</v>
      </c>
      <c r="F317" s="4">
        <f t="shared" si="41"/>
        <v>800</v>
      </c>
      <c r="G317" s="5">
        <f t="shared" si="47"/>
        <v>1.01</v>
      </c>
      <c r="H317" s="6" t="str">
        <f t="shared" si="42"/>
        <v>INSERT INTO public.coupon (plancode, age, "year", couponrate, benefittype, benefitrate, premiumrate) VALUES('EN60', 31, 36, 8, 'A',800, 1.01);</v>
      </c>
      <c r="I317" s="6" t="str">
        <f t="shared" si="43"/>
        <v>{"age":"31", "year":"36", "couponrate":"8", "benefittype":"A", "benefitrate":"800", "premiumrate":"1.01"}</v>
      </c>
      <c r="J317" s="6" t="str">
        <f t="shared" si="44"/>
        <v>,</v>
      </c>
    </row>
    <row r="318" spans="1:10">
      <c r="A318" s="4" t="str">
        <f>'EN60'!A$3</f>
        <v>EN60</v>
      </c>
      <c r="B318" s="4">
        <f t="shared" si="45"/>
        <v>31</v>
      </c>
      <c r="C318" s="4">
        <f t="shared" si="46"/>
        <v>37</v>
      </c>
      <c r="D318" s="4">
        <f t="shared" si="40"/>
        <v>8</v>
      </c>
      <c r="E318" s="4" t="s">
        <v>27</v>
      </c>
      <c r="F318" s="4">
        <f t="shared" si="41"/>
        <v>800</v>
      </c>
      <c r="G318" s="5">
        <f t="shared" si="47"/>
        <v>1.01</v>
      </c>
      <c r="H318" s="6" t="str">
        <f t="shared" si="42"/>
        <v>INSERT INTO public.coupon (plancode, age, "year", couponrate, benefittype, benefitrate, premiumrate) VALUES('EN60', 31, 37, 8, 'A',800, 1.01);</v>
      </c>
      <c r="I318" s="6" t="str">
        <f t="shared" si="43"/>
        <v>{"age":"31", "year":"37", "couponrate":"8", "benefittype":"A", "benefitrate":"800", "premiumrate":"1.01"}</v>
      </c>
      <c r="J318" s="6" t="str">
        <f t="shared" si="44"/>
        <v>,</v>
      </c>
    </row>
    <row r="319" spans="1:10">
      <c r="A319" s="4" t="str">
        <f>'EN60'!A$3</f>
        <v>EN60</v>
      </c>
      <c r="B319" s="4">
        <f t="shared" si="45"/>
        <v>31</v>
      </c>
      <c r="C319" s="4">
        <f t="shared" si="46"/>
        <v>38</v>
      </c>
      <c r="D319" s="4">
        <f t="shared" si="40"/>
        <v>8</v>
      </c>
      <c r="E319" s="4" t="s">
        <v>27</v>
      </c>
      <c r="F319" s="4">
        <f t="shared" si="41"/>
        <v>800</v>
      </c>
      <c r="G319" s="5">
        <f t="shared" si="47"/>
        <v>1.01</v>
      </c>
      <c r="H319" s="6" t="str">
        <f t="shared" si="42"/>
        <v>INSERT INTO public.coupon (plancode, age, "year", couponrate, benefittype, benefitrate, premiumrate) VALUES('EN60', 31, 38, 8, 'A',800, 1.01);</v>
      </c>
      <c r="I319" s="6" t="str">
        <f t="shared" si="43"/>
        <v>{"age":"31", "year":"38", "couponrate":"8", "benefittype":"A", "benefitrate":"800", "premiumrate":"1.01"}</v>
      </c>
      <c r="J319" s="6" t="str">
        <f t="shared" si="44"/>
        <v>,</v>
      </c>
    </row>
    <row r="320" spans="1:10">
      <c r="A320" s="4" t="str">
        <f>'EN60'!A$3</f>
        <v>EN60</v>
      </c>
      <c r="B320" s="4">
        <f t="shared" si="45"/>
        <v>31</v>
      </c>
      <c r="C320" s="4">
        <f t="shared" si="46"/>
        <v>39</v>
      </c>
      <c r="D320" s="4">
        <f t="shared" si="40"/>
        <v>8</v>
      </c>
      <c r="E320" s="4" t="s">
        <v>27</v>
      </c>
      <c r="F320" s="4">
        <f t="shared" si="41"/>
        <v>800</v>
      </c>
      <c r="G320" s="5">
        <f t="shared" si="47"/>
        <v>1.01</v>
      </c>
      <c r="H320" s="6" t="str">
        <f t="shared" si="42"/>
        <v>INSERT INTO public.coupon (plancode, age, "year", couponrate, benefittype, benefitrate, premiumrate) VALUES('EN60', 31, 39, 8, 'A',800, 1.01);</v>
      </c>
      <c r="I320" s="6" t="str">
        <f t="shared" si="43"/>
        <v>{"age":"31", "year":"39", "couponrate":"8", "benefittype":"A", "benefitrate":"800", "premiumrate":"1.01"}</v>
      </c>
      <c r="J320" s="6" t="str">
        <f t="shared" si="44"/>
        <v>,</v>
      </c>
    </row>
    <row r="321" spans="1:10">
      <c r="A321" s="4" t="str">
        <f>'EN60'!A$3</f>
        <v>EN60</v>
      </c>
      <c r="B321" s="4">
        <f t="shared" si="45"/>
        <v>31</v>
      </c>
      <c r="C321" s="4">
        <f t="shared" si="46"/>
        <v>40</v>
      </c>
      <c r="D321" s="4">
        <f t="shared" si="40"/>
        <v>8</v>
      </c>
      <c r="E321" s="4" t="s">
        <v>27</v>
      </c>
      <c r="F321" s="4">
        <f t="shared" si="41"/>
        <v>800</v>
      </c>
      <c r="G321" s="5">
        <f t="shared" si="47"/>
        <v>1.01</v>
      </c>
      <c r="H321" s="6" t="str">
        <f t="shared" si="42"/>
        <v>INSERT INTO public.coupon (plancode, age, "year", couponrate, benefittype, benefitrate, premiumrate) VALUES('EN60', 31, 40, 8, 'A',800, 1.01);</v>
      </c>
      <c r="I321" s="6" t="str">
        <f t="shared" si="43"/>
        <v>{"age":"31", "year":"40", "couponrate":"8", "benefittype":"A", "benefitrate":"800", "premiumrate":"1.01"}</v>
      </c>
      <c r="J321" s="6" t="str">
        <f t="shared" si="44"/>
        <v>,</v>
      </c>
    </row>
    <row r="322" spans="1:10">
      <c r="A322" s="4" t="str">
        <f>'EN60'!A$3</f>
        <v>EN60</v>
      </c>
      <c r="B322" s="4">
        <f t="shared" si="45"/>
        <v>31</v>
      </c>
      <c r="C322" s="4">
        <f t="shared" si="46"/>
        <v>41</v>
      </c>
      <c r="D322" s="4">
        <f t="shared" si="40"/>
        <v>8</v>
      </c>
      <c r="E322" s="4" t="s">
        <v>27</v>
      </c>
      <c r="F322" s="4">
        <f t="shared" si="41"/>
        <v>800</v>
      </c>
      <c r="G322" s="5">
        <f t="shared" si="47"/>
        <v>1.01</v>
      </c>
      <c r="H322" s="6" t="str">
        <f t="shared" si="42"/>
        <v>INSERT INTO public.coupon (plancode, age, "year", couponrate, benefittype, benefitrate, premiumrate) VALUES('EN60', 31, 41, 8, 'A',800, 1.01);</v>
      </c>
      <c r="I322" s="6" t="str">
        <f t="shared" si="43"/>
        <v>{"age":"31", "year":"41", "couponrate":"8", "benefittype":"A", "benefitrate":"800", "premiumrate":"1.01"}</v>
      </c>
      <c r="J322" s="6" t="str">
        <f t="shared" si="44"/>
        <v>,</v>
      </c>
    </row>
    <row r="323" spans="1:10">
      <c r="A323" s="4" t="str">
        <f>'EN60'!A$3</f>
        <v>EN60</v>
      </c>
      <c r="B323" s="4">
        <f t="shared" si="45"/>
        <v>31</v>
      </c>
      <c r="C323" s="4">
        <f t="shared" si="46"/>
        <v>42</v>
      </c>
      <c r="D323" s="4">
        <f t="shared" si="40"/>
        <v>8</v>
      </c>
      <c r="E323" s="4" t="s">
        <v>27</v>
      </c>
      <c r="F323" s="4">
        <f t="shared" si="41"/>
        <v>800</v>
      </c>
      <c r="G323" s="5">
        <f t="shared" si="47"/>
        <v>1.01</v>
      </c>
      <c r="H323" s="6" t="str">
        <f t="shared" si="42"/>
        <v>INSERT INTO public.coupon (plancode, age, "year", couponrate, benefittype, benefitrate, premiumrate) VALUES('EN60', 31, 42, 8, 'A',800, 1.01);</v>
      </c>
      <c r="I323" s="6" t="str">
        <f t="shared" si="43"/>
        <v>{"age":"31", "year":"42", "couponrate":"8", "benefittype":"A", "benefitrate":"800", "premiumrate":"1.01"}</v>
      </c>
      <c r="J323" s="6" t="str">
        <f t="shared" si="44"/>
        <v>,</v>
      </c>
    </row>
    <row r="324" spans="1:10">
      <c r="A324" s="4" t="str">
        <f>'EN60'!A$3</f>
        <v>EN60</v>
      </c>
      <c r="B324" s="4">
        <f t="shared" si="45"/>
        <v>31</v>
      </c>
      <c r="C324" s="4">
        <f t="shared" si="46"/>
        <v>43</v>
      </c>
      <c r="D324" s="4">
        <f t="shared" si="40"/>
        <v>8</v>
      </c>
      <c r="E324" s="4" t="s">
        <v>27</v>
      </c>
      <c r="F324" s="4">
        <f t="shared" si="41"/>
        <v>800</v>
      </c>
      <c r="G324" s="5">
        <f t="shared" si="47"/>
        <v>1.01</v>
      </c>
      <c r="H324" s="6" t="str">
        <f t="shared" si="42"/>
        <v>INSERT INTO public.coupon (plancode, age, "year", couponrate, benefittype, benefitrate, premiumrate) VALUES('EN60', 31, 43, 8, 'A',800, 1.01);</v>
      </c>
      <c r="I324" s="6" t="str">
        <f t="shared" si="43"/>
        <v>{"age":"31", "year":"43", "couponrate":"8", "benefittype":"A", "benefitrate":"800", "premiumrate":"1.01"}</v>
      </c>
      <c r="J324" s="6" t="str">
        <f t="shared" si="44"/>
        <v>,</v>
      </c>
    </row>
    <row r="325" spans="1:10">
      <c r="A325" s="4" t="str">
        <f>'EN60'!A$3</f>
        <v>EN60</v>
      </c>
      <c r="B325" s="4">
        <f t="shared" si="45"/>
        <v>31</v>
      </c>
      <c r="C325" s="4">
        <f t="shared" si="46"/>
        <v>44</v>
      </c>
      <c r="D325" s="4">
        <f t="shared" si="40"/>
        <v>8</v>
      </c>
      <c r="E325" s="4" t="s">
        <v>27</v>
      </c>
      <c r="F325" s="4">
        <f t="shared" si="41"/>
        <v>800</v>
      </c>
      <c r="G325" s="5">
        <f t="shared" si="47"/>
        <v>1.01</v>
      </c>
      <c r="H325" s="6" t="str">
        <f t="shared" si="42"/>
        <v>INSERT INTO public.coupon (plancode, age, "year", couponrate, benefittype, benefitrate, premiumrate) VALUES('EN60', 31, 44, 8, 'A',800, 1.01);</v>
      </c>
      <c r="I325" s="6" t="str">
        <f t="shared" si="43"/>
        <v>{"age":"31", "year":"44", "couponrate":"8", "benefittype":"A", "benefitrate":"800", "premiumrate":"1.01"}</v>
      </c>
      <c r="J325" s="6" t="str">
        <f t="shared" si="44"/>
        <v>,</v>
      </c>
    </row>
    <row r="326" spans="1:10">
      <c r="A326" s="4" t="str">
        <f>'EN60'!A$3</f>
        <v>EN60</v>
      </c>
      <c r="B326" s="4">
        <f t="shared" si="45"/>
        <v>31</v>
      </c>
      <c r="C326" s="4">
        <f t="shared" si="46"/>
        <v>45</v>
      </c>
      <c r="D326" s="4">
        <f t="shared" si="40"/>
        <v>8</v>
      </c>
      <c r="E326" s="4" t="s">
        <v>27</v>
      </c>
      <c r="F326" s="4">
        <f t="shared" si="41"/>
        <v>800</v>
      </c>
      <c r="G326" s="5">
        <f t="shared" si="47"/>
        <v>1.01</v>
      </c>
      <c r="H326" s="6" t="str">
        <f t="shared" si="42"/>
        <v>INSERT INTO public.coupon (plancode, age, "year", couponrate, benefittype, benefitrate, premiumrate) VALUES('EN60', 31, 45, 8, 'A',800, 1.01);</v>
      </c>
      <c r="I326" s="6" t="str">
        <f t="shared" si="43"/>
        <v>{"age":"31", "year":"45", "couponrate":"8", "benefittype":"A", "benefitrate":"800", "premiumrate":"1.01"}</v>
      </c>
      <c r="J326" s="6" t="str">
        <f t="shared" si="44"/>
        <v>,</v>
      </c>
    </row>
    <row r="327" spans="1:10">
      <c r="A327" s="4" t="str">
        <f>'EN60'!A$3</f>
        <v>EN60</v>
      </c>
      <c r="B327" s="4">
        <f t="shared" si="45"/>
        <v>31</v>
      </c>
      <c r="C327" s="4">
        <f t="shared" si="46"/>
        <v>46</v>
      </c>
      <c r="D327" s="4">
        <f t="shared" si="40"/>
        <v>8</v>
      </c>
      <c r="E327" s="4" t="s">
        <v>27</v>
      </c>
      <c r="F327" s="4">
        <f t="shared" si="41"/>
        <v>800</v>
      </c>
      <c r="G327" s="5">
        <f t="shared" si="47"/>
        <v>1.01</v>
      </c>
      <c r="H327" s="6" t="str">
        <f t="shared" si="42"/>
        <v>INSERT INTO public.coupon (plancode, age, "year", couponrate, benefittype, benefitrate, premiumrate) VALUES('EN60', 31, 46, 8, 'A',800, 1.01);</v>
      </c>
      <c r="I327" s="6" t="str">
        <f t="shared" si="43"/>
        <v>{"age":"31", "year":"46", "couponrate":"8", "benefittype":"A", "benefitrate":"800", "premiumrate":"1.01"}</v>
      </c>
      <c r="J327" s="6" t="str">
        <f t="shared" si="44"/>
        <v>,</v>
      </c>
    </row>
    <row r="328" spans="1:10">
      <c r="A328" s="4" t="str">
        <f>'EN60'!A$3</f>
        <v>EN60</v>
      </c>
      <c r="B328" s="4">
        <f t="shared" si="45"/>
        <v>31</v>
      </c>
      <c r="C328" s="4">
        <f t="shared" si="46"/>
        <v>47</v>
      </c>
      <c r="D328" s="4">
        <f t="shared" si="40"/>
        <v>8</v>
      </c>
      <c r="E328" s="4" t="s">
        <v>27</v>
      </c>
      <c r="F328" s="4">
        <f t="shared" si="41"/>
        <v>800</v>
      </c>
      <c r="G328" s="5">
        <f t="shared" si="47"/>
        <v>1.01</v>
      </c>
      <c r="H328" s="6" t="str">
        <f t="shared" si="42"/>
        <v>INSERT INTO public.coupon (plancode, age, "year", couponrate, benefittype, benefitrate, premiumrate) VALUES('EN60', 31, 47, 8, 'A',800, 1.01);</v>
      </c>
      <c r="I328" s="6" t="str">
        <f t="shared" si="43"/>
        <v>{"age":"31", "year":"47", "couponrate":"8", "benefittype":"A", "benefitrate":"800", "premiumrate":"1.01"}</v>
      </c>
      <c r="J328" s="6" t="str">
        <f t="shared" si="44"/>
        <v>,</v>
      </c>
    </row>
    <row r="329" spans="1:10">
      <c r="A329" s="4" t="str">
        <f>'EN60'!A$3</f>
        <v>EN60</v>
      </c>
      <c r="B329" s="4">
        <f t="shared" si="45"/>
        <v>31</v>
      </c>
      <c r="C329" s="4">
        <f t="shared" si="46"/>
        <v>48</v>
      </c>
      <c r="D329" s="4">
        <f t="shared" si="40"/>
        <v>8</v>
      </c>
      <c r="E329" s="4" t="s">
        <v>27</v>
      </c>
      <c r="F329" s="4">
        <f t="shared" si="41"/>
        <v>800</v>
      </c>
      <c r="G329" s="5">
        <f t="shared" si="47"/>
        <v>1.01</v>
      </c>
      <c r="H329" s="6" t="str">
        <f t="shared" si="42"/>
        <v>INSERT INTO public.coupon (plancode, age, "year", couponrate, benefittype, benefitrate, premiumrate) VALUES('EN60', 31, 48, 8, 'A',800, 1.01);</v>
      </c>
      <c r="I329" s="6" t="str">
        <f t="shared" si="43"/>
        <v>{"age":"31", "year":"48", "couponrate":"8", "benefittype":"A", "benefitrate":"800", "premiumrate":"1.01"}</v>
      </c>
      <c r="J329" s="6" t="str">
        <f t="shared" si="44"/>
        <v>,</v>
      </c>
    </row>
    <row r="330" spans="1:10">
      <c r="A330" s="4" t="str">
        <f>'EN60'!A$3</f>
        <v>EN60</v>
      </c>
      <c r="B330" s="4">
        <f t="shared" si="45"/>
        <v>31</v>
      </c>
      <c r="C330" s="4">
        <f t="shared" si="46"/>
        <v>49</v>
      </c>
      <c r="D330" s="4">
        <f t="shared" si="40"/>
        <v>0</v>
      </c>
      <c r="E330" s="4" t="s">
        <v>27</v>
      </c>
      <c r="F330" s="4">
        <f t="shared" si="41"/>
        <v>800</v>
      </c>
      <c r="G330" s="5">
        <f t="shared" si="47"/>
        <v>1.01</v>
      </c>
      <c r="H330" s="6" t="str">
        <f t="shared" si="42"/>
        <v>INSERT INTO public.coupon (plancode, age, "year", couponrate, benefittype, benefitrate, premiumrate) VALUES('EN60', 31, 49, 0, 'A',800, 1.01);</v>
      </c>
      <c r="I330" s="6" t="str">
        <f t="shared" si="43"/>
        <v>{"age":"31", "year":"49", "couponrate":"0", "benefittype":"A", "benefitrate":"800", "premiumrate":"1.01"}</v>
      </c>
    </row>
    <row r="331" spans="1:10">
      <c r="C331" s="6"/>
      <c r="I331" s="6" t="s">
        <v>28</v>
      </c>
    </row>
    <row r="332" spans="1:10">
      <c r="A332" s="3" t="s">
        <v>2</v>
      </c>
      <c r="B332" s="3" t="s">
        <v>23</v>
      </c>
      <c r="C332" s="3" t="s">
        <v>24</v>
      </c>
      <c r="D332" s="3" t="s">
        <v>25</v>
      </c>
      <c r="E332" s="3" t="s">
        <v>8</v>
      </c>
      <c r="F332" s="3" t="s">
        <v>26</v>
      </c>
      <c r="G332" s="3" t="s">
        <v>4</v>
      </c>
      <c r="I332" s="6" t="str">
        <f>"[{""plancode"":"""&amp;A333&amp;""",""returncash"":"""&amp;B$7&amp;""",""ytable"":"""&amp;C$7&amp;""",""maturerate"":"""&amp;B$3&amp;""",""maturepmrate"":"""&amp;C$3&amp;""",""coupon"":["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333" spans="1:10">
      <c r="A333" s="4" t="str">
        <f>'EN60'!A$3</f>
        <v>EN60</v>
      </c>
      <c r="B333" s="8">
        <v>32</v>
      </c>
      <c r="C333" s="4">
        <v>1</v>
      </c>
      <c r="D333" s="4">
        <f t="shared" ref="D333:D380" si="48">IF(C333+B333=80,0,8)</f>
        <v>8</v>
      </c>
      <c r="E333" s="4" t="s">
        <v>27</v>
      </c>
      <c r="F333" s="4">
        <f t="shared" ref="F333:F380" si="49">IF(C333&gt;7, 800, C333*100)</f>
        <v>100</v>
      </c>
      <c r="G333" s="5">
        <f>'EN60'!C$3</f>
        <v>1.01</v>
      </c>
      <c r="H333" s="6" t="str">
        <f t="shared" ref="H333:H380" si="50">"INSERT INTO public.coupon ("&amp;A$11&amp;", "&amp;B$11&amp;", """&amp;C$11&amp;""", "&amp;D$11&amp;", "&amp;E$11&amp;", "&amp;F$11&amp;", "&amp;G$11&amp;") VALUES('"&amp;A333&amp;"', "&amp;B333&amp;", "&amp;C333&amp;", "&amp;D333&amp;", '"&amp;E333&amp;"',"&amp;F333&amp;", "&amp;G333&amp;");"</f>
        <v>INSERT INTO public.coupon (plancode, age, "year", couponrate, benefittype, benefitrate, premiumrate) VALUES('EN60', 32, 1, 8, 'A',100, 1.01);</v>
      </c>
      <c r="I333" s="6" t="str">
        <f t="shared" ref="I333:I380" si="51">"{""age"":"""&amp;B333&amp;""", ""year"":"""&amp;C333&amp;""", ""couponrate"":"""&amp;D333&amp;""", ""benefittype"":"""&amp;E333&amp;""", ""benefitrate"":"""&amp;F333&amp;""", """&amp;G$11&amp;""":"""&amp;G333&amp;"""}"</f>
        <v>{"age":"32", "year":"1", "couponrate":"8", "benefittype":"A", "benefitrate":"100", "premiumrate":"1.01"}</v>
      </c>
      <c r="J333" s="6" t="str">
        <f t="shared" ref="J333:J379" si="52">IF(OR(I334="]", I333="[", I333="]"), "", ",")</f>
        <v>,</v>
      </c>
    </row>
    <row r="334" spans="1:10">
      <c r="A334" s="4" t="str">
        <f>'EN60'!A$3</f>
        <v>EN60</v>
      </c>
      <c r="B334" s="4">
        <f t="shared" ref="B334:B380" si="53">B333</f>
        <v>32</v>
      </c>
      <c r="C334" s="4">
        <f t="shared" ref="C334:C380" si="54">IF(B334+C333+1&gt;80,"",C333+1)</f>
        <v>2</v>
      </c>
      <c r="D334" s="4">
        <f t="shared" si="48"/>
        <v>8</v>
      </c>
      <c r="E334" s="4" t="s">
        <v>27</v>
      </c>
      <c r="F334" s="4">
        <f t="shared" si="49"/>
        <v>200</v>
      </c>
      <c r="G334" s="5">
        <f t="shared" ref="G334:G380" si="55">G333</f>
        <v>1.01</v>
      </c>
      <c r="H334" s="6" t="str">
        <f t="shared" si="50"/>
        <v>INSERT INTO public.coupon (plancode, age, "year", couponrate, benefittype, benefitrate, premiumrate) VALUES('EN60', 32, 2, 8, 'A',200, 1.01);</v>
      </c>
      <c r="I334" s="6" t="str">
        <f t="shared" si="51"/>
        <v>{"age":"32", "year":"2", "couponrate":"8", "benefittype":"A", "benefitrate":"200", "premiumrate":"1.01"}</v>
      </c>
      <c r="J334" s="6" t="str">
        <f t="shared" si="52"/>
        <v>,</v>
      </c>
    </row>
    <row r="335" spans="1:10">
      <c r="A335" s="4" t="str">
        <f>'EN60'!A$3</f>
        <v>EN60</v>
      </c>
      <c r="B335" s="4">
        <f t="shared" si="53"/>
        <v>32</v>
      </c>
      <c r="C335" s="4">
        <f t="shared" si="54"/>
        <v>3</v>
      </c>
      <c r="D335" s="4">
        <f t="shared" si="48"/>
        <v>8</v>
      </c>
      <c r="E335" s="4" t="s">
        <v>27</v>
      </c>
      <c r="F335" s="4">
        <f t="shared" si="49"/>
        <v>300</v>
      </c>
      <c r="G335" s="5">
        <f t="shared" si="55"/>
        <v>1.01</v>
      </c>
      <c r="H335" s="6" t="str">
        <f t="shared" si="50"/>
        <v>INSERT INTO public.coupon (plancode, age, "year", couponrate, benefittype, benefitrate, premiumrate) VALUES('EN60', 32, 3, 8, 'A',300, 1.01);</v>
      </c>
      <c r="I335" s="6" t="str">
        <f t="shared" si="51"/>
        <v>{"age":"32", "year":"3", "couponrate":"8", "benefittype":"A", "benefitrate":"300", "premiumrate":"1.01"}</v>
      </c>
      <c r="J335" s="6" t="str">
        <f t="shared" si="52"/>
        <v>,</v>
      </c>
    </row>
    <row r="336" spans="1:10">
      <c r="A336" s="4" t="str">
        <f>'EN60'!A$3</f>
        <v>EN60</v>
      </c>
      <c r="B336" s="4">
        <f t="shared" si="53"/>
        <v>32</v>
      </c>
      <c r="C336" s="4">
        <f t="shared" si="54"/>
        <v>4</v>
      </c>
      <c r="D336" s="4">
        <f t="shared" si="48"/>
        <v>8</v>
      </c>
      <c r="E336" s="4" t="s">
        <v>27</v>
      </c>
      <c r="F336" s="4">
        <f t="shared" si="49"/>
        <v>400</v>
      </c>
      <c r="G336" s="5">
        <f t="shared" si="55"/>
        <v>1.01</v>
      </c>
      <c r="H336" s="6" t="str">
        <f t="shared" si="50"/>
        <v>INSERT INTO public.coupon (plancode, age, "year", couponrate, benefittype, benefitrate, premiumrate) VALUES('EN60', 32, 4, 8, 'A',400, 1.01);</v>
      </c>
      <c r="I336" s="6" t="str">
        <f t="shared" si="51"/>
        <v>{"age":"32", "year":"4", "couponrate":"8", "benefittype":"A", "benefitrate":"400", "premiumrate":"1.01"}</v>
      </c>
      <c r="J336" s="6" t="str">
        <f t="shared" si="52"/>
        <v>,</v>
      </c>
    </row>
    <row r="337" spans="1:10">
      <c r="A337" s="4" t="str">
        <f>'EN60'!A$3</f>
        <v>EN60</v>
      </c>
      <c r="B337" s="4">
        <f t="shared" si="53"/>
        <v>32</v>
      </c>
      <c r="C337" s="4">
        <f t="shared" si="54"/>
        <v>5</v>
      </c>
      <c r="D337" s="4">
        <f t="shared" si="48"/>
        <v>8</v>
      </c>
      <c r="E337" s="4" t="s">
        <v>27</v>
      </c>
      <c r="F337" s="4">
        <f t="shared" si="49"/>
        <v>500</v>
      </c>
      <c r="G337" s="5">
        <f t="shared" si="55"/>
        <v>1.01</v>
      </c>
      <c r="H337" s="6" t="str">
        <f t="shared" si="50"/>
        <v>INSERT INTO public.coupon (plancode, age, "year", couponrate, benefittype, benefitrate, premiumrate) VALUES('EN60', 32, 5, 8, 'A',500, 1.01);</v>
      </c>
      <c r="I337" s="6" t="str">
        <f t="shared" si="51"/>
        <v>{"age":"32", "year":"5", "couponrate":"8", "benefittype":"A", "benefitrate":"500", "premiumrate":"1.01"}</v>
      </c>
      <c r="J337" s="6" t="str">
        <f t="shared" si="52"/>
        <v>,</v>
      </c>
    </row>
    <row r="338" spans="1:10">
      <c r="A338" s="4" t="str">
        <f>'EN60'!A$3</f>
        <v>EN60</v>
      </c>
      <c r="B338" s="4">
        <f t="shared" si="53"/>
        <v>32</v>
      </c>
      <c r="C338" s="4">
        <f t="shared" si="54"/>
        <v>6</v>
      </c>
      <c r="D338" s="4">
        <f t="shared" si="48"/>
        <v>8</v>
      </c>
      <c r="E338" s="4" t="s">
        <v>27</v>
      </c>
      <c r="F338" s="4">
        <f t="shared" si="49"/>
        <v>600</v>
      </c>
      <c r="G338" s="5">
        <f t="shared" si="55"/>
        <v>1.01</v>
      </c>
      <c r="H338" s="6" t="str">
        <f t="shared" si="50"/>
        <v>INSERT INTO public.coupon (plancode, age, "year", couponrate, benefittype, benefitrate, premiumrate) VALUES('EN60', 32, 6, 8, 'A',600, 1.01);</v>
      </c>
      <c r="I338" s="6" t="str">
        <f t="shared" si="51"/>
        <v>{"age":"32", "year":"6", "couponrate":"8", "benefittype":"A", "benefitrate":"600", "premiumrate":"1.01"}</v>
      </c>
      <c r="J338" s="6" t="str">
        <f t="shared" si="52"/>
        <v>,</v>
      </c>
    </row>
    <row r="339" spans="1:10">
      <c r="A339" s="4" t="str">
        <f>'EN60'!A$3</f>
        <v>EN60</v>
      </c>
      <c r="B339" s="4">
        <f t="shared" si="53"/>
        <v>32</v>
      </c>
      <c r="C339" s="4">
        <f t="shared" si="54"/>
        <v>7</v>
      </c>
      <c r="D339" s="4">
        <f t="shared" si="48"/>
        <v>8</v>
      </c>
      <c r="E339" s="4" t="s">
        <v>27</v>
      </c>
      <c r="F339" s="4">
        <f t="shared" si="49"/>
        <v>700</v>
      </c>
      <c r="G339" s="5">
        <f t="shared" si="55"/>
        <v>1.01</v>
      </c>
      <c r="H339" s="6" t="str">
        <f t="shared" si="50"/>
        <v>INSERT INTO public.coupon (plancode, age, "year", couponrate, benefittype, benefitrate, premiumrate) VALUES('EN60', 32, 7, 8, 'A',700, 1.01);</v>
      </c>
      <c r="I339" s="6" t="str">
        <f t="shared" si="51"/>
        <v>{"age":"32", "year":"7", "couponrate":"8", "benefittype":"A", "benefitrate":"700", "premiumrate":"1.01"}</v>
      </c>
      <c r="J339" s="6" t="str">
        <f t="shared" si="52"/>
        <v>,</v>
      </c>
    </row>
    <row r="340" spans="1:10">
      <c r="A340" s="4" t="str">
        <f>'EN60'!A$3</f>
        <v>EN60</v>
      </c>
      <c r="B340" s="4">
        <f t="shared" si="53"/>
        <v>32</v>
      </c>
      <c r="C340" s="4">
        <f t="shared" si="54"/>
        <v>8</v>
      </c>
      <c r="D340" s="4">
        <f t="shared" si="48"/>
        <v>8</v>
      </c>
      <c r="E340" s="4" t="s">
        <v>27</v>
      </c>
      <c r="F340" s="4">
        <f t="shared" si="49"/>
        <v>800</v>
      </c>
      <c r="G340" s="5">
        <f t="shared" si="55"/>
        <v>1.01</v>
      </c>
      <c r="H340" s="6" t="str">
        <f t="shared" si="50"/>
        <v>INSERT INTO public.coupon (plancode, age, "year", couponrate, benefittype, benefitrate, premiumrate) VALUES('EN60', 32, 8, 8, 'A',800, 1.01);</v>
      </c>
      <c r="I340" s="6" t="str">
        <f t="shared" si="51"/>
        <v>{"age":"32", "year":"8", "couponrate":"8", "benefittype":"A", "benefitrate":"800", "premiumrate":"1.01"}</v>
      </c>
      <c r="J340" s="6" t="str">
        <f t="shared" si="52"/>
        <v>,</v>
      </c>
    </row>
    <row r="341" spans="1:10">
      <c r="A341" s="4" t="str">
        <f>'EN60'!A$3</f>
        <v>EN60</v>
      </c>
      <c r="B341" s="4">
        <f t="shared" si="53"/>
        <v>32</v>
      </c>
      <c r="C341" s="4">
        <f t="shared" si="54"/>
        <v>9</v>
      </c>
      <c r="D341" s="4">
        <f t="shared" si="48"/>
        <v>8</v>
      </c>
      <c r="E341" s="4" t="s">
        <v>27</v>
      </c>
      <c r="F341" s="4">
        <f t="shared" si="49"/>
        <v>800</v>
      </c>
      <c r="G341" s="5">
        <f t="shared" si="55"/>
        <v>1.01</v>
      </c>
      <c r="H341" s="6" t="str">
        <f t="shared" si="50"/>
        <v>INSERT INTO public.coupon (plancode, age, "year", couponrate, benefittype, benefitrate, premiumrate) VALUES('EN60', 32, 9, 8, 'A',800, 1.01);</v>
      </c>
      <c r="I341" s="6" t="str">
        <f t="shared" si="51"/>
        <v>{"age":"32", "year":"9", "couponrate":"8", "benefittype":"A", "benefitrate":"800", "premiumrate":"1.01"}</v>
      </c>
      <c r="J341" s="6" t="str">
        <f t="shared" si="52"/>
        <v>,</v>
      </c>
    </row>
    <row r="342" spans="1:10">
      <c r="A342" s="4" t="str">
        <f>'EN60'!A$3</f>
        <v>EN60</v>
      </c>
      <c r="B342" s="4">
        <f t="shared" si="53"/>
        <v>32</v>
      </c>
      <c r="C342" s="4">
        <f t="shared" si="54"/>
        <v>10</v>
      </c>
      <c r="D342" s="4">
        <f t="shared" si="48"/>
        <v>8</v>
      </c>
      <c r="E342" s="4" t="s">
        <v>27</v>
      </c>
      <c r="F342" s="4">
        <f t="shared" si="49"/>
        <v>800</v>
      </c>
      <c r="G342" s="5">
        <f t="shared" si="55"/>
        <v>1.01</v>
      </c>
      <c r="H342" s="6" t="str">
        <f t="shared" si="50"/>
        <v>INSERT INTO public.coupon (plancode, age, "year", couponrate, benefittype, benefitrate, premiumrate) VALUES('EN60', 32, 10, 8, 'A',800, 1.01);</v>
      </c>
      <c r="I342" s="6" t="str">
        <f t="shared" si="51"/>
        <v>{"age":"32", "year":"10", "couponrate":"8", "benefittype":"A", "benefitrate":"800", "premiumrate":"1.01"}</v>
      </c>
      <c r="J342" s="6" t="str">
        <f t="shared" si="52"/>
        <v>,</v>
      </c>
    </row>
    <row r="343" spans="1:10">
      <c r="A343" s="4" t="str">
        <f>'EN60'!A$3</f>
        <v>EN60</v>
      </c>
      <c r="B343" s="4">
        <f t="shared" si="53"/>
        <v>32</v>
      </c>
      <c r="C343" s="4">
        <f t="shared" si="54"/>
        <v>11</v>
      </c>
      <c r="D343" s="4">
        <f t="shared" si="48"/>
        <v>8</v>
      </c>
      <c r="E343" s="4" t="s">
        <v>27</v>
      </c>
      <c r="F343" s="4">
        <f t="shared" si="49"/>
        <v>800</v>
      </c>
      <c r="G343" s="5">
        <f t="shared" si="55"/>
        <v>1.01</v>
      </c>
      <c r="H343" s="6" t="str">
        <f t="shared" si="50"/>
        <v>INSERT INTO public.coupon (plancode, age, "year", couponrate, benefittype, benefitrate, premiumrate) VALUES('EN60', 32, 11, 8, 'A',800, 1.01);</v>
      </c>
      <c r="I343" s="6" t="str">
        <f t="shared" si="51"/>
        <v>{"age":"32", "year":"11", "couponrate":"8", "benefittype":"A", "benefitrate":"800", "premiumrate":"1.01"}</v>
      </c>
      <c r="J343" s="6" t="str">
        <f t="shared" si="52"/>
        <v>,</v>
      </c>
    </row>
    <row r="344" spans="1:10">
      <c r="A344" s="4" t="str">
        <f>'EN60'!A$3</f>
        <v>EN60</v>
      </c>
      <c r="B344" s="4">
        <f t="shared" si="53"/>
        <v>32</v>
      </c>
      <c r="C344" s="4">
        <f t="shared" si="54"/>
        <v>12</v>
      </c>
      <c r="D344" s="4">
        <f t="shared" si="48"/>
        <v>8</v>
      </c>
      <c r="E344" s="4" t="s">
        <v>27</v>
      </c>
      <c r="F344" s="4">
        <f t="shared" si="49"/>
        <v>800</v>
      </c>
      <c r="G344" s="5">
        <f t="shared" si="55"/>
        <v>1.01</v>
      </c>
      <c r="H344" s="6" t="str">
        <f t="shared" si="50"/>
        <v>INSERT INTO public.coupon (plancode, age, "year", couponrate, benefittype, benefitrate, premiumrate) VALUES('EN60', 32, 12, 8, 'A',800, 1.01);</v>
      </c>
      <c r="I344" s="6" t="str">
        <f t="shared" si="51"/>
        <v>{"age":"32", "year":"12", "couponrate":"8", "benefittype":"A", "benefitrate":"800", "premiumrate":"1.01"}</v>
      </c>
      <c r="J344" s="6" t="str">
        <f t="shared" si="52"/>
        <v>,</v>
      </c>
    </row>
    <row r="345" spans="1:10">
      <c r="A345" s="4" t="str">
        <f>'EN60'!A$3</f>
        <v>EN60</v>
      </c>
      <c r="B345" s="4">
        <f t="shared" si="53"/>
        <v>32</v>
      </c>
      <c r="C345" s="4">
        <f t="shared" si="54"/>
        <v>13</v>
      </c>
      <c r="D345" s="4">
        <f t="shared" si="48"/>
        <v>8</v>
      </c>
      <c r="E345" s="4" t="s">
        <v>27</v>
      </c>
      <c r="F345" s="4">
        <f t="shared" si="49"/>
        <v>800</v>
      </c>
      <c r="G345" s="5">
        <f t="shared" si="55"/>
        <v>1.01</v>
      </c>
      <c r="H345" s="6" t="str">
        <f t="shared" si="50"/>
        <v>INSERT INTO public.coupon (plancode, age, "year", couponrate, benefittype, benefitrate, premiumrate) VALUES('EN60', 32, 13, 8, 'A',800, 1.01);</v>
      </c>
      <c r="I345" s="6" t="str">
        <f t="shared" si="51"/>
        <v>{"age":"32", "year":"13", "couponrate":"8", "benefittype":"A", "benefitrate":"800", "premiumrate":"1.01"}</v>
      </c>
      <c r="J345" s="6" t="str">
        <f t="shared" si="52"/>
        <v>,</v>
      </c>
    </row>
    <row r="346" spans="1:10">
      <c r="A346" s="4" t="str">
        <f>'EN60'!A$3</f>
        <v>EN60</v>
      </c>
      <c r="B346" s="4">
        <f t="shared" si="53"/>
        <v>32</v>
      </c>
      <c r="C346" s="4">
        <f t="shared" si="54"/>
        <v>14</v>
      </c>
      <c r="D346" s="4">
        <f t="shared" si="48"/>
        <v>8</v>
      </c>
      <c r="E346" s="4" t="s">
        <v>27</v>
      </c>
      <c r="F346" s="4">
        <f t="shared" si="49"/>
        <v>800</v>
      </c>
      <c r="G346" s="5">
        <f t="shared" si="55"/>
        <v>1.01</v>
      </c>
      <c r="H346" s="6" t="str">
        <f t="shared" si="50"/>
        <v>INSERT INTO public.coupon (plancode, age, "year", couponrate, benefittype, benefitrate, premiumrate) VALUES('EN60', 32, 14, 8, 'A',800, 1.01);</v>
      </c>
      <c r="I346" s="6" t="str">
        <f t="shared" si="51"/>
        <v>{"age":"32", "year":"14", "couponrate":"8", "benefittype":"A", "benefitrate":"800", "premiumrate":"1.01"}</v>
      </c>
      <c r="J346" s="6" t="str">
        <f t="shared" si="52"/>
        <v>,</v>
      </c>
    </row>
    <row r="347" spans="1:10">
      <c r="A347" s="4" t="str">
        <f>'EN60'!A$3</f>
        <v>EN60</v>
      </c>
      <c r="B347" s="4">
        <f t="shared" si="53"/>
        <v>32</v>
      </c>
      <c r="C347" s="4">
        <f t="shared" si="54"/>
        <v>15</v>
      </c>
      <c r="D347" s="4">
        <f t="shared" si="48"/>
        <v>8</v>
      </c>
      <c r="E347" s="4" t="s">
        <v>27</v>
      </c>
      <c r="F347" s="4">
        <f t="shared" si="49"/>
        <v>800</v>
      </c>
      <c r="G347" s="5">
        <f t="shared" si="55"/>
        <v>1.01</v>
      </c>
      <c r="H347" s="6" t="str">
        <f t="shared" si="50"/>
        <v>INSERT INTO public.coupon (plancode, age, "year", couponrate, benefittype, benefitrate, premiumrate) VALUES('EN60', 32, 15, 8, 'A',800, 1.01);</v>
      </c>
      <c r="I347" s="6" t="str">
        <f t="shared" si="51"/>
        <v>{"age":"32", "year":"15", "couponrate":"8", "benefittype":"A", "benefitrate":"800", "premiumrate":"1.01"}</v>
      </c>
      <c r="J347" s="6" t="str">
        <f t="shared" si="52"/>
        <v>,</v>
      </c>
    </row>
    <row r="348" spans="1:10">
      <c r="A348" s="4" t="str">
        <f>'EN60'!A$3</f>
        <v>EN60</v>
      </c>
      <c r="B348" s="4">
        <f t="shared" si="53"/>
        <v>32</v>
      </c>
      <c r="C348" s="4">
        <f t="shared" si="54"/>
        <v>16</v>
      </c>
      <c r="D348" s="4">
        <f t="shared" si="48"/>
        <v>8</v>
      </c>
      <c r="E348" s="4" t="s">
        <v>27</v>
      </c>
      <c r="F348" s="4">
        <f t="shared" si="49"/>
        <v>800</v>
      </c>
      <c r="G348" s="5">
        <f t="shared" si="55"/>
        <v>1.01</v>
      </c>
      <c r="H348" s="6" t="str">
        <f t="shared" si="50"/>
        <v>INSERT INTO public.coupon (plancode, age, "year", couponrate, benefittype, benefitrate, premiumrate) VALUES('EN60', 32, 16, 8, 'A',800, 1.01);</v>
      </c>
      <c r="I348" s="6" t="str">
        <f t="shared" si="51"/>
        <v>{"age":"32", "year":"16", "couponrate":"8", "benefittype":"A", "benefitrate":"800", "premiumrate":"1.01"}</v>
      </c>
      <c r="J348" s="6" t="str">
        <f t="shared" si="52"/>
        <v>,</v>
      </c>
    </row>
    <row r="349" spans="1:10">
      <c r="A349" s="4" t="str">
        <f>'EN60'!A$3</f>
        <v>EN60</v>
      </c>
      <c r="B349" s="4">
        <f t="shared" si="53"/>
        <v>32</v>
      </c>
      <c r="C349" s="4">
        <f t="shared" si="54"/>
        <v>17</v>
      </c>
      <c r="D349" s="4">
        <f t="shared" si="48"/>
        <v>8</v>
      </c>
      <c r="E349" s="4" t="s">
        <v>27</v>
      </c>
      <c r="F349" s="4">
        <f t="shared" si="49"/>
        <v>800</v>
      </c>
      <c r="G349" s="5">
        <f t="shared" si="55"/>
        <v>1.01</v>
      </c>
      <c r="H349" s="6" t="str">
        <f t="shared" si="50"/>
        <v>INSERT INTO public.coupon (plancode, age, "year", couponrate, benefittype, benefitrate, premiumrate) VALUES('EN60', 32, 17, 8, 'A',800, 1.01);</v>
      </c>
      <c r="I349" s="6" t="str">
        <f t="shared" si="51"/>
        <v>{"age":"32", "year":"17", "couponrate":"8", "benefittype":"A", "benefitrate":"800", "premiumrate":"1.01"}</v>
      </c>
      <c r="J349" s="6" t="str">
        <f t="shared" si="52"/>
        <v>,</v>
      </c>
    </row>
    <row r="350" spans="1:10">
      <c r="A350" s="4" t="str">
        <f>'EN60'!A$3</f>
        <v>EN60</v>
      </c>
      <c r="B350" s="4">
        <f t="shared" si="53"/>
        <v>32</v>
      </c>
      <c r="C350" s="4">
        <f t="shared" si="54"/>
        <v>18</v>
      </c>
      <c r="D350" s="4">
        <f t="shared" si="48"/>
        <v>8</v>
      </c>
      <c r="E350" s="4" t="s">
        <v>27</v>
      </c>
      <c r="F350" s="4">
        <f t="shared" si="49"/>
        <v>800</v>
      </c>
      <c r="G350" s="5">
        <f t="shared" si="55"/>
        <v>1.01</v>
      </c>
      <c r="H350" s="6" t="str">
        <f t="shared" si="50"/>
        <v>INSERT INTO public.coupon (plancode, age, "year", couponrate, benefittype, benefitrate, premiumrate) VALUES('EN60', 32, 18, 8, 'A',800, 1.01);</v>
      </c>
      <c r="I350" s="6" t="str">
        <f t="shared" si="51"/>
        <v>{"age":"32", "year":"18", "couponrate":"8", "benefittype":"A", "benefitrate":"800", "premiumrate":"1.01"}</v>
      </c>
      <c r="J350" s="6" t="str">
        <f t="shared" si="52"/>
        <v>,</v>
      </c>
    </row>
    <row r="351" spans="1:10">
      <c r="A351" s="4" t="str">
        <f>'EN60'!A$3</f>
        <v>EN60</v>
      </c>
      <c r="B351" s="4">
        <f t="shared" si="53"/>
        <v>32</v>
      </c>
      <c r="C351" s="4">
        <f t="shared" si="54"/>
        <v>19</v>
      </c>
      <c r="D351" s="4">
        <f t="shared" si="48"/>
        <v>8</v>
      </c>
      <c r="E351" s="4" t="s">
        <v>27</v>
      </c>
      <c r="F351" s="4">
        <f t="shared" si="49"/>
        <v>800</v>
      </c>
      <c r="G351" s="5">
        <f t="shared" si="55"/>
        <v>1.01</v>
      </c>
      <c r="H351" s="6" t="str">
        <f t="shared" si="50"/>
        <v>INSERT INTO public.coupon (plancode, age, "year", couponrate, benefittype, benefitrate, premiumrate) VALUES('EN60', 32, 19, 8, 'A',800, 1.01);</v>
      </c>
      <c r="I351" s="6" t="str">
        <f t="shared" si="51"/>
        <v>{"age":"32", "year":"19", "couponrate":"8", "benefittype":"A", "benefitrate":"800", "premiumrate":"1.01"}</v>
      </c>
      <c r="J351" s="6" t="str">
        <f t="shared" si="52"/>
        <v>,</v>
      </c>
    </row>
    <row r="352" spans="1:10">
      <c r="A352" s="4" t="str">
        <f>'EN60'!A$3</f>
        <v>EN60</v>
      </c>
      <c r="B352" s="4">
        <f t="shared" si="53"/>
        <v>32</v>
      </c>
      <c r="C352" s="4">
        <f t="shared" si="54"/>
        <v>20</v>
      </c>
      <c r="D352" s="4">
        <f t="shared" si="48"/>
        <v>8</v>
      </c>
      <c r="E352" s="4" t="s">
        <v>27</v>
      </c>
      <c r="F352" s="4">
        <f t="shared" si="49"/>
        <v>800</v>
      </c>
      <c r="G352" s="5">
        <f t="shared" si="55"/>
        <v>1.01</v>
      </c>
      <c r="H352" s="6" t="str">
        <f t="shared" si="50"/>
        <v>INSERT INTO public.coupon (plancode, age, "year", couponrate, benefittype, benefitrate, premiumrate) VALUES('EN60', 32, 20, 8, 'A',800, 1.01);</v>
      </c>
      <c r="I352" s="6" t="str">
        <f t="shared" si="51"/>
        <v>{"age":"32", "year":"20", "couponrate":"8", "benefittype":"A", "benefitrate":"800", "premiumrate":"1.01"}</v>
      </c>
      <c r="J352" s="6" t="str">
        <f t="shared" si="52"/>
        <v>,</v>
      </c>
    </row>
    <row r="353" spans="1:10">
      <c r="A353" s="4" t="str">
        <f>'EN60'!A$3</f>
        <v>EN60</v>
      </c>
      <c r="B353" s="4">
        <f t="shared" si="53"/>
        <v>32</v>
      </c>
      <c r="C353" s="4">
        <f t="shared" si="54"/>
        <v>21</v>
      </c>
      <c r="D353" s="4">
        <f t="shared" si="48"/>
        <v>8</v>
      </c>
      <c r="E353" s="4" t="s">
        <v>27</v>
      </c>
      <c r="F353" s="4">
        <f t="shared" si="49"/>
        <v>800</v>
      </c>
      <c r="G353" s="5">
        <f t="shared" si="55"/>
        <v>1.01</v>
      </c>
      <c r="H353" s="6" t="str">
        <f t="shared" si="50"/>
        <v>INSERT INTO public.coupon (plancode, age, "year", couponrate, benefittype, benefitrate, premiumrate) VALUES('EN60', 32, 21, 8, 'A',800, 1.01);</v>
      </c>
      <c r="I353" s="6" t="str">
        <f t="shared" si="51"/>
        <v>{"age":"32", "year":"21", "couponrate":"8", "benefittype":"A", "benefitrate":"800", "premiumrate":"1.01"}</v>
      </c>
      <c r="J353" s="6" t="str">
        <f t="shared" si="52"/>
        <v>,</v>
      </c>
    </row>
    <row r="354" spans="1:10">
      <c r="A354" s="4" t="str">
        <f>'EN60'!A$3</f>
        <v>EN60</v>
      </c>
      <c r="B354" s="4">
        <f t="shared" si="53"/>
        <v>32</v>
      </c>
      <c r="C354" s="4">
        <f t="shared" si="54"/>
        <v>22</v>
      </c>
      <c r="D354" s="4">
        <f t="shared" si="48"/>
        <v>8</v>
      </c>
      <c r="E354" s="4" t="s">
        <v>27</v>
      </c>
      <c r="F354" s="4">
        <f t="shared" si="49"/>
        <v>800</v>
      </c>
      <c r="G354" s="5">
        <f t="shared" si="55"/>
        <v>1.01</v>
      </c>
      <c r="H354" s="6" t="str">
        <f t="shared" si="50"/>
        <v>INSERT INTO public.coupon (plancode, age, "year", couponrate, benefittype, benefitrate, premiumrate) VALUES('EN60', 32, 22, 8, 'A',800, 1.01);</v>
      </c>
      <c r="I354" s="6" t="str">
        <f t="shared" si="51"/>
        <v>{"age":"32", "year":"22", "couponrate":"8", "benefittype":"A", "benefitrate":"800", "premiumrate":"1.01"}</v>
      </c>
      <c r="J354" s="6" t="str">
        <f t="shared" si="52"/>
        <v>,</v>
      </c>
    </row>
    <row r="355" spans="1:10">
      <c r="A355" s="4" t="str">
        <f>'EN60'!A$3</f>
        <v>EN60</v>
      </c>
      <c r="B355" s="4">
        <f t="shared" si="53"/>
        <v>32</v>
      </c>
      <c r="C355" s="4">
        <f t="shared" si="54"/>
        <v>23</v>
      </c>
      <c r="D355" s="4">
        <f t="shared" si="48"/>
        <v>8</v>
      </c>
      <c r="E355" s="4" t="s">
        <v>27</v>
      </c>
      <c r="F355" s="4">
        <f t="shared" si="49"/>
        <v>800</v>
      </c>
      <c r="G355" s="5">
        <f t="shared" si="55"/>
        <v>1.01</v>
      </c>
      <c r="H355" s="6" t="str">
        <f t="shared" si="50"/>
        <v>INSERT INTO public.coupon (plancode, age, "year", couponrate, benefittype, benefitrate, premiumrate) VALUES('EN60', 32, 23, 8, 'A',800, 1.01);</v>
      </c>
      <c r="I355" s="6" t="str">
        <f t="shared" si="51"/>
        <v>{"age":"32", "year":"23", "couponrate":"8", "benefittype":"A", "benefitrate":"800", "premiumrate":"1.01"}</v>
      </c>
      <c r="J355" s="6" t="str">
        <f t="shared" si="52"/>
        <v>,</v>
      </c>
    </row>
    <row r="356" spans="1:10">
      <c r="A356" s="4" t="str">
        <f>'EN60'!A$3</f>
        <v>EN60</v>
      </c>
      <c r="B356" s="4">
        <f t="shared" si="53"/>
        <v>32</v>
      </c>
      <c r="C356" s="4">
        <f t="shared" si="54"/>
        <v>24</v>
      </c>
      <c r="D356" s="4">
        <f t="shared" si="48"/>
        <v>8</v>
      </c>
      <c r="E356" s="4" t="s">
        <v>27</v>
      </c>
      <c r="F356" s="4">
        <f t="shared" si="49"/>
        <v>800</v>
      </c>
      <c r="G356" s="5">
        <f t="shared" si="55"/>
        <v>1.01</v>
      </c>
      <c r="H356" s="6" t="str">
        <f t="shared" si="50"/>
        <v>INSERT INTO public.coupon (plancode, age, "year", couponrate, benefittype, benefitrate, premiumrate) VALUES('EN60', 32, 24, 8, 'A',800, 1.01);</v>
      </c>
      <c r="I356" s="6" t="str">
        <f t="shared" si="51"/>
        <v>{"age":"32", "year":"24", "couponrate":"8", "benefittype":"A", "benefitrate":"800", "premiumrate":"1.01"}</v>
      </c>
      <c r="J356" s="6" t="str">
        <f t="shared" si="52"/>
        <v>,</v>
      </c>
    </row>
    <row r="357" spans="1:10">
      <c r="A357" s="4" t="str">
        <f>'EN60'!A$3</f>
        <v>EN60</v>
      </c>
      <c r="B357" s="4">
        <f t="shared" si="53"/>
        <v>32</v>
      </c>
      <c r="C357" s="4">
        <f t="shared" si="54"/>
        <v>25</v>
      </c>
      <c r="D357" s="4">
        <f t="shared" si="48"/>
        <v>8</v>
      </c>
      <c r="E357" s="4" t="s">
        <v>27</v>
      </c>
      <c r="F357" s="4">
        <f t="shared" si="49"/>
        <v>800</v>
      </c>
      <c r="G357" s="5">
        <f t="shared" si="55"/>
        <v>1.01</v>
      </c>
      <c r="H357" s="6" t="str">
        <f t="shared" si="50"/>
        <v>INSERT INTO public.coupon (plancode, age, "year", couponrate, benefittype, benefitrate, premiumrate) VALUES('EN60', 32, 25, 8, 'A',800, 1.01);</v>
      </c>
      <c r="I357" s="6" t="str">
        <f t="shared" si="51"/>
        <v>{"age":"32", "year":"25", "couponrate":"8", "benefittype":"A", "benefitrate":"800", "premiumrate":"1.01"}</v>
      </c>
      <c r="J357" s="6" t="str">
        <f t="shared" si="52"/>
        <v>,</v>
      </c>
    </row>
    <row r="358" spans="1:10">
      <c r="A358" s="4" t="str">
        <f>'EN60'!A$3</f>
        <v>EN60</v>
      </c>
      <c r="B358" s="4">
        <f t="shared" si="53"/>
        <v>32</v>
      </c>
      <c r="C358" s="4">
        <f t="shared" si="54"/>
        <v>26</v>
      </c>
      <c r="D358" s="4">
        <f t="shared" si="48"/>
        <v>8</v>
      </c>
      <c r="E358" s="4" t="s">
        <v>27</v>
      </c>
      <c r="F358" s="4">
        <f t="shared" si="49"/>
        <v>800</v>
      </c>
      <c r="G358" s="5">
        <f t="shared" si="55"/>
        <v>1.01</v>
      </c>
      <c r="H358" s="6" t="str">
        <f t="shared" si="50"/>
        <v>INSERT INTO public.coupon (plancode, age, "year", couponrate, benefittype, benefitrate, premiumrate) VALUES('EN60', 32, 26, 8, 'A',800, 1.01);</v>
      </c>
      <c r="I358" s="6" t="str">
        <f t="shared" si="51"/>
        <v>{"age":"32", "year":"26", "couponrate":"8", "benefittype":"A", "benefitrate":"800", "premiumrate":"1.01"}</v>
      </c>
      <c r="J358" s="6" t="str">
        <f t="shared" si="52"/>
        <v>,</v>
      </c>
    </row>
    <row r="359" spans="1:10">
      <c r="A359" s="4" t="str">
        <f>'EN60'!A$3</f>
        <v>EN60</v>
      </c>
      <c r="B359" s="4">
        <f t="shared" si="53"/>
        <v>32</v>
      </c>
      <c r="C359" s="4">
        <f t="shared" si="54"/>
        <v>27</v>
      </c>
      <c r="D359" s="4">
        <f t="shared" si="48"/>
        <v>8</v>
      </c>
      <c r="E359" s="4" t="s">
        <v>27</v>
      </c>
      <c r="F359" s="4">
        <f t="shared" si="49"/>
        <v>800</v>
      </c>
      <c r="G359" s="5">
        <f t="shared" si="55"/>
        <v>1.01</v>
      </c>
      <c r="H359" s="6" t="str">
        <f t="shared" si="50"/>
        <v>INSERT INTO public.coupon (plancode, age, "year", couponrate, benefittype, benefitrate, premiumrate) VALUES('EN60', 32, 27, 8, 'A',800, 1.01);</v>
      </c>
      <c r="I359" s="6" t="str">
        <f t="shared" si="51"/>
        <v>{"age":"32", "year":"27", "couponrate":"8", "benefittype":"A", "benefitrate":"800", "premiumrate":"1.01"}</v>
      </c>
      <c r="J359" s="6" t="str">
        <f t="shared" si="52"/>
        <v>,</v>
      </c>
    </row>
    <row r="360" spans="1:10">
      <c r="A360" s="4" t="str">
        <f>'EN60'!A$3</f>
        <v>EN60</v>
      </c>
      <c r="B360" s="4">
        <f t="shared" si="53"/>
        <v>32</v>
      </c>
      <c r="C360" s="4">
        <f t="shared" si="54"/>
        <v>28</v>
      </c>
      <c r="D360" s="4">
        <f t="shared" si="48"/>
        <v>8</v>
      </c>
      <c r="E360" s="4" t="s">
        <v>27</v>
      </c>
      <c r="F360" s="4">
        <f t="shared" si="49"/>
        <v>800</v>
      </c>
      <c r="G360" s="5">
        <f t="shared" si="55"/>
        <v>1.01</v>
      </c>
      <c r="H360" s="6" t="str">
        <f t="shared" si="50"/>
        <v>INSERT INTO public.coupon (plancode, age, "year", couponrate, benefittype, benefitrate, premiumrate) VALUES('EN60', 32, 28, 8, 'A',800, 1.01);</v>
      </c>
      <c r="I360" s="6" t="str">
        <f t="shared" si="51"/>
        <v>{"age":"32", "year":"28", "couponrate":"8", "benefittype":"A", "benefitrate":"800", "premiumrate":"1.01"}</v>
      </c>
      <c r="J360" s="6" t="str">
        <f t="shared" si="52"/>
        <v>,</v>
      </c>
    </row>
    <row r="361" spans="1:10">
      <c r="A361" s="4" t="str">
        <f>'EN60'!A$3</f>
        <v>EN60</v>
      </c>
      <c r="B361" s="4">
        <f t="shared" si="53"/>
        <v>32</v>
      </c>
      <c r="C361" s="4">
        <f t="shared" si="54"/>
        <v>29</v>
      </c>
      <c r="D361" s="4">
        <f t="shared" si="48"/>
        <v>8</v>
      </c>
      <c r="E361" s="4" t="s">
        <v>27</v>
      </c>
      <c r="F361" s="4">
        <f t="shared" si="49"/>
        <v>800</v>
      </c>
      <c r="G361" s="5">
        <f t="shared" si="55"/>
        <v>1.01</v>
      </c>
      <c r="H361" s="6" t="str">
        <f t="shared" si="50"/>
        <v>INSERT INTO public.coupon (plancode, age, "year", couponrate, benefittype, benefitrate, premiumrate) VALUES('EN60', 32, 29, 8, 'A',800, 1.01);</v>
      </c>
      <c r="I361" s="6" t="str">
        <f t="shared" si="51"/>
        <v>{"age":"32", "year":"29", "couponrate":"8", "benefittype":"A", "benefitrate":"800", "premiumrate":"1.01"}</v>
      </c>
      <c r="J361" s="6" t="str">
        <f t="shared" si="52"/>
        <v>,</v>
      </c>
    </row>
    <row r="362" spans="1:10">
      <c r="A362" s="4" t="str">
        <f>'EN60'!A$3</f>
        <v>EN60</v>
      </c>
      <c r="B362" s="4">
        <f t="shared" si="53"/>
        <v>32</v>
      </c>
      <c r="C362" s="4">
        <f t="shared" si="54"/>
        <v>30</v>
      </c>
      <c r="D362" s="4">
        <f t="shared" si="48"/>
        <v>8</v>
      </c>
      <c r="E362" s="4" t="s">
        <v>27</v>
      </c>
      <c r="F362" s="4">
        <f t="shared" si="49"/>
        <v>800</v>
      </c>
      <c r="G362" s="5">
        <f t="shared" si="55"/>
        <v>1.01</v>
      </c>
      <c r="H362" s="6" t="str">
        <f t="shared" si="50"/>
        <v>INSERT INTO public.coupon (plancode, age, "year", couponrate, benefittype, benefitrate, premiumrate) VALUES('EN60', 32, 30, 8, 'A',800, 1.01);</v>
      </c>
      <c r="I362" s="6" t="str">
        <f t="shared" si="51"/>
        <v>{"age":"32", "year":"30", "couponrate":"8", "benefittype":"A", "benefitrate":"800", "premiumrate":"1.01"}</v>
      </c>
      <c r="J362" s="6" t="str">
        <f t="shared" si="52"/>
        <v>,</v>
      </c>
    </row>
    <row r="363" spans="1:10">
      <c r="A363" s="4" t="str">
        <f>'EN60'!A$3</f>
        <v>EN60</v>
      </c>
      <c r="B363" s="4">
        <f t="shared" si="53"/>
        <v>32</v>
      </c>
      <c r="C363" s="4">
        <f t="shared" si="54"/>
        <v>31</v>
      </c>
      <c r="D363" s="4">
        <f t="shared" si="48"/>
        <v>8</v>
      </c>
      <c r="E363" s="4" t="s">
        <v>27</v>
      </c>
      <c r="F363" s="4">
        <f t="shared" si="49"/>
        <v>800</v>
      </c>
      <c r="G363" s="5">
        <f t="shared" si="55"/>
        <v>1.01</v>
      </c>
      <c r="H363" s="6" t="str">
        <f t="shared" si="50"/>
        <v>INSERT INTO public.coupon (plancode, age, "year", couponrate, benefittype, benefitrate, premiumrate) VALUES('EN60', 32, 31, 8, 'A',800, 1.01);</v>
      </c>
      <c r="I363" s="6" t="str">
        <f t="shared" si="51"/>
        <v>{"age":"32", "year":"31", "couponrate":"8", "benefittype":"A", "benefitrate":"800", "premiumrate":"1.01"}</v>
      </c>
      <c r="J363" s="6" t="str">
        <f t="shared" si="52"/>
        <v>,</v>
      </c>
    </row>
    <row r="364" spans="1:10">
      <c r="A364" s="4" t="str">
        <f>'EN60'!A$3</f>
        <v>EN60</v>
      </c>
      <c r="B364" s="4">
        <f t="shared" si="53"/>
        <v>32</v>
      </c>
      <c r="C364" s="4">
        <f t="shared" si="54"/>
        <v>32</v>
      </c>
      <c r="D364" s="4">
        <f t="shared" si="48"/>
        <v>8</v>
      </c>
      <c r="E364" s="4" t="s">
        <v>27</v>
      </c>
      <c r="F364" s="4">
        <f t="shared" si="49"/>
        <v>800</v>
      </c>
      <c r="G364" s="5">
        <f t="shared" si="55"/>
        <v>1.01</v>
      </c>
      <c r="H364" s="6" t="str">
        <f t="shared" si="50"/>
        <v>INSERT INTO public.coupon (plancode, age, "year", couponrate, benefittype, benefitrate, premiumrate) VALUES('EN60', 32, 32, 8, 'A',800, 1.01);</v>
      </c>
      <c r="I364" s="6" t="str">
        <f t="shared" si="51"/>
        <v>{"age":"32", "year":"32", "couponrate":"8", "benefittype":"A", "benefitrate":"800", "premiumrate":"1.01"}</v>
      </c>
      <c r="J364" s="6" t="str">
        <f t="shared" si="52"/>
        <v>,</v>
      </c>
    </row>
    <row r="365" spans="1:10">
      <c r="A365" s="4" t="str">
        <f>'EN60'!A$3</f>
        <v>EN60</v>
      </c>
      <c r="B365" s="4">
        <f t="shared" si="53"/>
        <v>32</v>
      </c>
      <c r="C365" s="4">
        <f t="shared" si="54"/>
        <v>33</v>
      </c>
      <c r="D365" s="4">
        <f t="shared" si="48"/>
        <v>8</v>
      </c>
      <c r="E365" s="4" t="s">
        <v>27</v>
      </c>
      <c r="F365" s="4">
        <f t="shared" si="49"/>
        <v>800</v>
      </c>
      <c r="G365" s="5">
        <f t="shared" si="55"/>
        <v>1.01</v>
      </c>
      <c r="H365" s="6" t="str">
        <f t="shared" si="50"/>
        <v>INSERT INTO public.coupon (plancode, age, "year", couponrate, benefittype, benefitrate, premiumrate) VALUES('EN60', 32, 33, 8, 'A',800, 1.01);</v>
      </c>
      <c r="I365" s="6" t="str">
        <f t="shared" si="51"/>
        <v>{"age":"32", "year":"33", "couponrate":"8", "benefittype":"A", "benefitrate":"800", "premiumrate":"1.01"}</v>
      </c>
      <c r="J365" s="6" t="str">
        <f t="shared" si="52"/>
        <v>,</v>
      </c>
    </row>
    <row r="366" spans="1:10">
      <c r="A366" s="4" t="str">
        <f>'EN60'!A$3</f>
        <v>EN60</v>
      </c>
      <c r="B366" s="4">
        <f t="shared" si="53"/>
        <v>32</v>
      </c>
      <c r="C366" s="4">
        <f t="shared" si="54"/>
        <v>34</v>
      </c>
      <c r="D366" s="4">
        <f t="shared" si="48"/>
        <v>8</v>
      </c>
      <c r="E366" s="4" t="s">
        <v>27</v>
      </c>
      <c r="F366" s="4">
        <f t="shared" si="49"/>
        <v>800</v>
      </c>
      <c r="G366" s="5">
        <f t="shared" si="55"/>
        <v>1.01</v>
      </c>
      <c r="H366" s="6" t="str">
        <f t="shared" si="50"/>
        <v>INSERT INTO public.coupon (plancode, age, "year", couponrate, benefittype, benefitrate, premiumrate) VALUES('EN60', 32, 34, 8, 'A',800, 1.01);</v>
      </c>
      <c r="I366" s="6" t="str">
        <f t="shared" si="51"/>
        <v>{"age":"32", "year":"34", "couponrate":"8", "benefittype":"A", "benefitrate":"800", "premiumrate":"1.01"}</v>
      </c>
      <c r="J366" s="6" t="str">
        <f t="shared" si="52"/>
        <v>,</v>
      </c>
    </row>
    <row r="367" spans="1:10">
      <c r="A367" s="4" t="str">
        <f>'EN60'!A$3</f>
        <v>EN60</v>
      </c>
      <c r="B367" s="4">
        <f t="shared" si="53"/>
        <v>32</v>
      </c>
      <c r="C367" s="4">
        <f t="shared" si="54"/>
        <v>35</v>
      </c>
      <c r="D367" s="4">
        <f t="shared" si="48"/>
        <v>8</v>
      </c>
      <c r="E367" s="4" t="s">
        <v>27</v>
      </c>
      <c r="F367" s="4">
        <f t="shared" si="49"/>
        <v>800</v>
      </c>
      <c r="G367" s="5">
        <f t="shared" si="55"/>
        <v>1.01</v>
      </c>
      <c r="H367" s="6" t="str">
        <f t="shared" si="50"/>
        <v>INSERT INTO public.coupon (plancode, age, "year", couponrate, benefittype, benefitrate, premiumrate) VALUES('EN60', 32, 35, 8, 'A',800, 1.01);</v>
      </c>
      <c r="I367" s="6" t="str">
        <f t="shared" si="51"/>
        <v>{"age":"32", "year":"35", "couponrate":"8", "benefittype":"A", "benefitrate":"800", "premiumrate":"1.01"}</v>
      </c>
      <c r="J367" s="6" t="str">
        <f t="shared" si="52"/>
        <v>,</v>
      </c>
    </row>
    <row r="368" spans="1:10">
      <c r="A368" s="4" t="str">
        <f>'EN60'!A$3</f>
        <v>EN60</v>
      </c>
      <c r="B368" s="4">
        <f t="shared" si="53"/>
        <v>32</v>
      </c>
      <c r="C368" s="4">
        <f t="shared" si="54"/>
        <v>36</v>
      </c>
      <c r="D368" s="4">
        <f t="shared" si="48"/>
        <v>8</v>
      </c>
      <c r="E368" s="4" t="s">
        <v>27</v>
      </c>
      <c r="F368" s="4">
        <f t="shared" si="49"/>
        <v>800</v>
      </c>
      <c r="G368" s="5">
        <f t="shared" si="55"/>
        <v>1.01</v>
      </c>
      <c r="H368" s="6" t="str">
        <f t="shared" si="50"/>
        <v>INSERT INTO public.coupon (plancode, age, "year", couponrate, benefittype, benefitrate, premiumrate) VALUES('EN60', 32, 36, 8, 'A',800, 1.01);</v>
      </c>
      <c r="I368" s="6" t="str">
        <f t="shared" si="51"/>
        <v>{"age":"32", "year":"36", "couponrate":"8", "benefittype":"A", "benefitrate":"800", "premiumrate":"1.01"}</v>
      </c>
      <c r="J368" s="6" t="str">
        <f t="shared" si="52"/>
        <v>,</v>
      </c>
    </row>
    <row r="369" spans="1:10">
      <c r="A369" s="4" t="str">
        <f>'EN60'!A$3</f>
        <v>EN60</v>
      </c>
      <c r="B369" s="4">
        <f t="shared" si="53"/>
        <v>32</v>
      </c>
      <c r="C369" s="4">
        <f t="shared" si="54"/>
        <v>37</v>
      </c>
      <c r="D369" s="4">
        <f t="shared" si="48"/>
        <v>8</v>
      </c>
      <c r="E369" s="4" t="s">
        <v>27</v>
      </c>
      <c r="F369" s="4">
        <f t="shared" si="49"/>
        <v>800</v>
      </c>
      <c r="G369" s="5">
        <f t="shared" si="55"/>
        <v>1.01</v>
      </c>
      <c r="H369" s="6" t="str">
        <f t="shared" si="50"/>
        <v>INSERT INTO public.coupon (plancode, age, "year", couponrate, benefittype, benefitrate, premiumrate) VALUES('EN60', 32, 37, 8, 'A',800, 1.01);</v>
      </c>
      <c r="I369" s="6" t="str">
        <f t="shared" si="51"/>
        <v>{"age":"32", "year":"37", "couponrate":"8", "benefittype":"A", "benefitrate":"800", "premiumrate":"1.01"}</v>
      </c>
      <c r="J369" s="6" t="str">
        <f t="shared" si="52"/>
        <v>,</v>
      </c>
    </row>
    <row r="370" spans="1:10">
      <c r="A370" s="4" t="str">
        <f>'EN60'!A$3</f>
        <v>EN60</v>
      </c>
      <c r="B370" s="4">
        <f t="shared" si="53"/>
        <v>32</v>
      </c>
      <c r="C370" s="4">
        <f t="shared" si="54"/>
        <v>38</v>
      </c>
      <c r="D370" s="4">
        <f t="shared" si="48"/>
        <v>8</v>
      </c>
      <c r="E370" s="4" t="s">
        <v>27</v>
      </c>
      <c r="F370" s="4">
        <f t="shared" si="49"/>
        <v>800</v>
      </c>
      <c r="G370" s="5">
        <f t="shared" si="55"/>
        <v>1.01</v>
      </c>
      <c r="H370" s="6" t="str">
        <f t="shared" si="50"/>
        <v>INSERT INTO public.coupon (plancode, age, "year", couponrate, benefittype, benefitrate, premiumrate) VALUES('EN60', 32, 38, 8, 'A',800, 1.01);</v>
      </c>
      <c r="I370" s="6" t="str">
        <f t="shared" si="51"/>
        <v>{"age":"32", "year":"38", "couponrate":"8", "benefittype":"A", "benefitrate":"800", "premiumrate":"1.01"}</v>
      </c>
      <c r="J370" s="6" t="str">
        <f t="shared" si="52"/>
        <v>,</v>
      </c>
    </row>
    <row r="371" spans="1:10">
      <c r="A371" s="4" t="str">
        <f>'EN60'!A$3</f>
        <v>EN60</v>
      </c>
      <c r="B371" s="4">
        <f t="shared" si="53"/>
        <v>32</v>
      </c>
      <c r="C371" s="4">
        <f t="shared" si="54"/>
        <v>39</v>
      </c>
      <c r="D371" s="4">
        <f t="shared" si="48"/>
        <v>8</v>
      </c>
      <c r="E371" s="4" t="s">
        <v>27</v>
      </c>
      <c r="F371" s="4">
        <f t="shared" si="49"/>
        <v>800</v>
      </c>
      <c r="G371" s="5">
        <f t="shared" si="55"/>
        <v>1.01</v>
      </c>
      <c r="H371" s="6" t="str">
        <f t="shared" si="50"/>
        <v>INSERT INTO public.coupon (plancode, age, "year", couponrate, benefittype, benefitrate, premiumrate) VALUES('EN60', 32, 39, 8, 'A',800, 1.01);</v>
      </c>
      <c r="I371" s="6" t="str">
        <f t="shared" si="51"/>
        <v>{"age":"32", "year":"39", "couponrate":"8", "benefittype":"A", "benefitrate":"800", "premiumrate":"1.01"}</v>
      </c>
      <c r="J371" s="6" t="str">
        <f t="shared" si="52"/>
        <v>,</v>
      </c>
    </row>
    <row r="372" spans="1:10">
      <c r="A372" s="4" t="str">
        <f>'EN60'!A$3</f>
        <v>EN60</v>
      </c>
      <c r="B372" s="4">
        <f t="shared" si="53"/>
        <v>32</v>
      </c>
      <c r="C372" s="4">
        <f t="shared" si="54"/>
        <v>40</v>
      </c>
      <c r="D372" s="4">
        <f t="shared" si="48"/>
        <v>8</v>
      </c>
      <c r="E372" s="4" t="s">
        <v>27</v>
      </c>
      <c r="F372" s="4">
        <f t="shared" si="49"/>
        <v>800</v>
      </c>
      <c r="G372" s="5">
        <f t="shared" si="55"/>
        <v>1.01</v>
      </c>
      <c r="H372" s="6" t="str">
        <f t="shared" si="50"/>
        <v>INSERT INTO public.coupon (plancode, age, "year", couponrate, benefittype, benefitrate, premiumrate) VALUES('EN60', 32, 40, 8, 'A',800, 1.01);</v>
      </c>
      <c r="I372" s="6" t="str">
        <f t="shared" si="51"/>
        <v>{"age":"32", "year":"40", "couponrate":"8", "benefittype":"A", "benefitrate":"800", "premiumrate":"1.01"}</v>
      </c>
      <c r="J372" s="6" t="str">
        <f t="shared" si="52"/>
        <v>,</v>
      </c>
    </row>
    <row r="373" spans="1:10">
      <c r="A373" s="4" t="str">
        <f>'EN60'!A$3</f>
        <v>EN60</v>
      </c>
      <c r="B373" s="4">
        <f t="shared" si="53"/>
        <v>32</v>
      </c>
      <c r="C373" s="4">
        <f t="shared" si="54"/>
        <v>41</v>
      </c>
      <c r="D373" s="4">
        <f t="shared" si="48"/>
        <v>8</v>
      </c>
      <c r="E373" s="4" t="s">
        <v>27</v>
      </c>
      <c r="F373" s="4">
        <f t="shared" si="49"/>
        <v>800</v>
      </c>
      <c r="G373" s="5">
        <f t="shared" si="55"/>
        <v>1.01</v>
      </c>
      <c r="H373" s="6" t="str">
        <f t="shared" si="50"/>
        <v>INSERT INTO public.coupon (plancode, age, "year", couponrate, benefittype, benefitrate, premiumrate) VALUES('EN60', 32, 41, 8, 'A',800, 1.01);</v>
      </c>
      <c r="I373" s="6" t="str">
        <f t="shared" si="51"/>
        <v>{"age":"32", "year":"41", "couponrate":"8", "benefittype":"A", "benefitrate":"800", "premiumrate":"1.01"}</v>
      </c>
      <c r="J373" s="6" t="str">
        <f t="shared" si="52"/>
        <v>,</v>
      </c>
    </row>
    <row r="374" spans="1:10">
      <c r="A374" s="4" t="str">
        <f>'EN60'!A$3</f>
        <v>EN60</v>
      </c>
      <c r="B374" s="4">
        <f t="shared" si="53"/>
        <v>32</v>
      </c>
      <c r="C374" s="4">
        <f t="shared" si="54"/>
        <v>42</v>
      </c>
      <c r="D374" s="4">
        <f t="shared" si="48"/>
        <v>8</v>
      </c>
      <c r="E374" s="4" t="s">
        <v>27</v>
      </c>
      <c r="F374" s="4">
        <f t="shared" si="49"/>
        <v>800</v>
      </c>
      <c r="G374" s="5">
        <f t="shared" si="55"/>
        <v>1.01</v>
      </c>
      <c r="H374" s="6" t="str">
        <f t="shared" si="50"/>
        <v>INSERT INTO public.coupon (plancode, age, "year", couponrate, benefittype, benefitrate, premiumrate) VALUES('EN60', 32, 42, 8, 'A',800, 1.01);</v>
      </c>
      <c r="I374" s="6" t="str">
        <f t="shared" si="51"/>
        <v>{"age":"32", "year":"42", "couponrate":"8", "benefittype":"A", "benefitrate":"800", "premiumrate":"1.01"}</v>
      </c>
      <c r="J374" s="6" t="str">
        <f t="shared" si="52"/>
        <v>,</v>
      </c>
    </row>
    <row r="375" spans="1:10">
      <c r="A375" s="4" t="str">
        <f>'EN60'!A$3</f>
        <v>EN60</v>
      </c>
      <c r="B375" s="4">
        <f t="shared" si="53"/>
        <v>32</v>
      </c>
      <c r="C375" s="4">
        <f t="shared" si="54"/>
        <v>43</v>
      </c>
      <c r="D375" s="4">
        <f t="shared" si="48"/>
        <v>8</v>
      </c>
      <c r="E375" s="4" t="s">
        <v>27</v>
      </c>
      <c r="F375" s="4">
        <f t="shared" si="49"/>
        <v>800</v>
      </c>
      <c r="G375" s="5">
        <f t="shared" si="55"/>
        <v>1.01</v>
      </c>
      <c r="H375" s="6" t="str">
        <f t="shared" si="50"/>
        <v>INSERT INTO public.coupon (plancode, age, "year", couponrate, benefittype, benefitrate, premiumrate) VALUES('EN60', 32, 43, 8, 'A',800, 1.01);</v>
      </c>
      <c r="I375" s="6" t="str">
        <f t="shared" si="51"/>
        <v>{"age":"32", "year":"43", "couponrate":"8", "benefittype":"A", "benefitrate":"800", "premiumrate":"1.01"}</v>
      </c>
      <c r="J375" s="6" t="str">
        <f t="shared" si="52"/>
        <v>,</v>
      </c>
    </row>
    <row r="376" spans="1:10">
      <c r="A376" s="4" t="str">
        <f>'EN60'!A$3</f>
        <v>EN60</v>
      </c>
      <c r="B376" s="4">
        <f t="shared" si="53"/>
        <v>32</v>
      </c>
      <c r="C376" s="4">
        <f t="shared" si="54"/>
        <v>44</v>
      </c>
      <c r="D376" s="4">
        <f t="shared" si="48"/>
        <v>8</v>
      </c>
      <c r="E376" s="4" t="s">
        <v>27</v>
      </c>
      <c r="F376" s="4">
        <f t="shared" si="49"/>
        <v>800</v>
      </c>
      <c r="G376" s="5">
        <f t="shared" si="55"/>
        <v>1.01</v>
      </c>
      <c r="H376" s="6" t="str">
        <f t="shared" si="50"/>
        <v>INSERT INTO public.coupon (plancode, age, "year", couponrate, benefittype, benefitrate, premiumrate) VALUES('EN60', 32, 44, 8, 'A',800, 1.01);</v>
      </c>
      <c r="I376" s="6" t="str">
        <f t="shared" si="51"/>
        <v>{"age":"32", "year":"44", "couponrate":"8", "benefittype":"A", "benefitrate":"800", "premiumrate":"1.01"}</v>
      </c>
      <c r="J376" s="6" t="str">
        <f t="shared" si="52"/>
        <v>,</v>
      </c>
    </row>
    <row r="377" spans="1:10">
      <c r="A377" s="4" t="str">
        <f>'EN60'!A$3</f>
        <v>EN60</v>
      </c>
      <c r="B377" s="4">
        <f t="shared" si="53"/>
        <v>32</v>
      </c>
      <c r="C377" s="4">
        <f t="shared" si="54"/>
        <v>45</v>
      </c>
      <c r="D377" s="4">
        <f t="shared" si="48"/>
        <v>8</v>
      </c>
      <c r="E377" s="4" t="s">
        <v>27</v>
      </c>
      <c r="F377" s="4">
        <f t="shared" si="49"/>
        <v>800</v>
      </c>
      <c r="G377" s="5">
        <f t="shared" si="55"/>
        <v>1.01</v>
      </c>
      <c r="H377" s="6" t="str">
        <f t="shared" si="50"/>
        <v>INSERT INTO public.coupon (plancode, age, "year", couponrate, benefittype, benefitrate, premiumrate) VALUES('EN60', 32, 45, 8, 'A',800, 1.01);</v>
      </c>
      <c r="I377" s="6" t="str">
        <f t="shared" si="51"/>
        <v>{"age":"32", "year":"45", "couponrate":"8", "benefittype":"A", "benefitrate":"800", "premiumrate":"1.01"}</v>
      </c>
      <c r="J377" s="6" t="str">
        <f t="shared" si="52"/>
        <v>,</v>
      </c>
    </row>
    <row r="378" spans="1:10">
      <c r="A378" s="4" t="str">
        <f>'EN60'!A$3</f>
        <v>EN60</v>
      </c>
      <c r="B378" s="4">
        <f t="shared" si="53"/>
        <v>32</v>
      </c>
      <c r="C378" s="4">
        <f t="shared" si="54"/>
        <v>46</v>
      </c>
      <c r="D378" s="4">
        <f t="shared" si="48"/>
        <v>8</v>
      </c>
      <c r="E378" s="4" t="s">
        <v>27</v>
      </c>
      <c r="F378" s="4">
        <f t="shared" si="49"/>
        <v>800</v>
      </c>
      <c r="G378" s="5">
        <f t="shared" si="55"/>
        <v>1.01</v>
      </c>
      <c r="H378" s="6" t="str">
        <f t="shared" si="50"/>
        <v>INSERT INTO public.coupon (plancode, age, "year", couponrate, benefittype, benefitrate, premiumrate) VALUES('EN60', 32, 46, 8, 'A',800, 1.01);</v>
      </c>
      <c r="I378" s="6" t="str">
        <f t="shared" si="51"/>
        <v>{"age":"32", "year":"46", "couponrate":"8", "benefittype":"A", "benefitrate":"800", "premiumrate":"1.01"}</v>
      </c>
      <c r="J378" s="6" t="str">
        <f t="shared" si="52"/>
        <v>,</v>
      </c>
    </row>
    <row r="379" spans="1:10">
      <c r="A379" s="4" t="str">
        <f>'EN60'!A$3</f>
        <v>EN60</v>
      </c>
      <c r="B379" s="4">
        <f t="shared" si="53"/>
        <v>32</v>
      </c>
      <c r="C379" s="4">
        <f t="shared" si="54"/>
        <v>47</v>
      </c>
      <c r="D379" s="4">
        <f t="shared" si="48"/>
        <v>8</v>
      </c>
      <c r="E379" s="4" t="s">
        <v>27</v>
      </c>
      <c r="F379" s="4">
        <f t="shared" si="49"/>
        <v>800</v>
      </c>
      <c r="G379" s="5">
        <f t="shared" si="55"/>
        <v>1.01</v>
      </c>
      <c r="H379" s="6" t="str">
        <f t="shared" si="50"/>
        <v>INSERT INTO public.coupon (plancode, age, "year", couponrate, benefittype, benefitrate, premiumrate) VALUES('EN60', 32, 47, 8, 'A',800, 1.01);</v>
      </c>
      <c r="I379" s="6" t="str">
        <f t="shared" si="51"/>
        <v>{"age":"32", "year":"47", "couponrate":"8", "benefittype":"A", "benefitrate":"800", "premiumrate":"1.01"}</v>
      </c>
      <c r="J379" s="6" t="str">
        <f t="shared" si="52"/>
        <v>,</v>
      </c>
    </row>
    <row r="380" spans="1:10">
      <c r="A380" s="4" t="str">
        <f>'EN60'!A$3</f>
        <v>EN60</v>
      </c>
      <c r="B380" s="4">
        <f t="shared" si="53"/>
        <v>32</v>
      </c>
      <c r="C380" s="4">
        <f t="shared" si="54"/>
        <v>48</v>
      </c>
      <c r="D380" s="4">
        <f t="shared" si="48"/>
        <v>0</v>
      </c>
      <c r="E380" s="4" t="s">
        <v>27</v>
      </c>
      <c r="F380" s="4">
        <f t="shared" si="49"/>
        <v>800</v>
      </c>
      <c r="G380" s="5">
        <f t="shared" si="55"/>
        <v>1.01</v>
      </c>
      <c r="H380" s="6" t="str">
        <f t="shared" si="50"/>
        <v>INSERT INTO public.coupon (plancode, age, "year", couponrate, benefittype, benefitrate, premiumrate) VALUES('EN60', 32, 48, 0, 'A',800, 1.01);</v>
      </c>
      <c r="I380" s="6" t="str">
        <f t="shared" si="51"/>
        <v>{"age":"32", "year":"48", "couponrate":"0", "benefittype":"A", "benefitrate":"800", "premiumrate":"1.01"}</v>
      </c>
    </row>
    <row r="381" spans="1:10">
      <c r="C381" s="6"/>
      <c r="I381" s="6" t="s">
        <v>28</v>
      </c>
    </row>
    <row r="382" spans="1:10">
      <c r="A382" s="3" t="s">
        <v>2</v>
      </c>
      <c r="B382" s="3" t="s">
        <v>23</v>
      </c>
      <c r="C382" s="3" t="s">
        <v>24</v>
      </c>
      <c r="D382" s="3" t="s">
        <v>25</v>
      </c>
      <c r="E382" s="3" t="s">
        <v>8</v>
      </c>
      <c r="F382" s="3" t="s">
        <v>26</v>
      </c>
      <c r="G382" s="3" t="s">
        <v>4</v>
      </c>
      <c r="I382" s="6" t="str">
        <f>"[{""plancode"":"""&amp;A383&amp;""",""returncash"":"""&amp;B$7&amp;""",""ytable"":"""&amp;C$7&amp;""",""maturerate"":"""&amp;B$3&amp;""",""maturepmrate"":"""&amp;C$3&amp;""",""coupon"":["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383" spans="1:10">
      <c r="A383" s="4" t="str">
        <f>'EN60'!A$3</f>
        <v>EN60</v>
      </c>
      <c r="B383" s="8">
        <v>33</v>
      </c>
      <c r="C383" s="4">
        <v>1</v>
      </c>
      <c r="D383" s="4">
        <f t="shared" ref="D383:D429" si="56">IF(C383+B383=80,0,8)</f>
        <v>8</v>
      </c>
      <c r="E383" s="4" t="s">
        <v>27</v>
      </c>
      <c r="F383" s="4">
        <f t="shared" ref="F383:F429" si="57">IF(C383&gt;7, 800, C383*100)</f>
        <v>100</v>
      </c>
      <c r="G383" s="5">
        <f>'EN60'!C$3</f>
        <v>1.01</v>
      </c>
      <c r="H383" s="6" t="str">
        <f t="shared" ref="H383:H429" si="58">"INSERT INTO public.coupon ("&amp;A$11&amp;", "&amp;B$11&amp;", """&amp;C$11&amp;""", "&amp;D$11&amp;", "&amp;E$11&amp;", "&amp;F$11&amp;", "&amp;G$11&amp;") VALUES('"&amp;A383&amp;"', "&amp;B383&amp;", "&amp;C383&amp;", "&amp;D383&amp;", '"&amp;E383&amp;"',"&amp;F383&amp;", "&amp;G383&amp;");"</f>
        <v>INSERT INTO public.coupon (plancode, age, "year", couponrate, benefittype, benefitrate, premiumrate) VALUES('EN60', 33, 1, 8, 'A',100, 1.01);</v>
      </c>
      <c r="I383" s="6" t="str">
        <f t="shared" ref="I383:I429" si="59">"{""age"":"""&amp;B383&amp;""", ""year"":"""&amp;C383&amp;""", ""couponrate"":"""&amp;D383&amp;""", ""benefittype"":"""&amp;E383&amp;""", ""benefitrate"":"""&amp;F383&amp;""", """&amp;G$11&amp;""":"""&amp;G383&amp;"""}"</f>
        <v>{"age":"33", "year":"1", "couponrate":"8", "benefittype":"A", "benefitrate":"100", "premiumrate":"1.01"}</v>
      </c>
      <c r="J383" s="6" t="str">
        <f t="shared" ref="J383:J428" si="60">IF(OR(I384="]", I383="[", I383="]"), "", ",")</f>
        <v>,</v>
      </c>
    </row>
    <row r="384" spans="1:10">
      <c r="A384" s="4" t="str">
        <f>'EN60'!A$3</f>
        <v>EN60</v>
      </c>
      <c r="B384" s="4">
        <f t="shared" ref="B384:B429" si="61">B383</f>
        <v>33</v>
      </c>
      <c r="C384" s="4">
        <f t="shared" ref="C384:C429" si="62">IF(B384+C383+1&gt;80,"",C383+1)</f>
        <v>2</v>
      </c>
      <c r="D384" s="4">
        <f t="shared" si="56"/>
        <v>8</v>
      </c>
      <c r="E384" s="4" t="s">
        <v>27</v>
      </c>
      <c r="F384" s="4">
        <f t="shared" si="57"/>
        <v>200</v>
      </c>
      <c r="G384" s="5">
        <f t="shared" ref="G384:G429" si="63">G383</f>
        <v>1.01</v>
      </c>
      <c r="H384" s="6" t="str">
        <f t="shared" si="58"/>
        <v>INSERT INTO public.coupon (plancode, age, "year", couponrate, benefittype, benefitrate, premiumrate) VALUES('EN60', 33, 2, 8, 'A',200, 1.01);</v>
      </c>
      <c r="I384" s="6" t="str">
        <f t="shared" si="59"/>
        <v>{"age":"33", "year":"2", "couponrate":"8", "benefittype":"A", "benefitrate":"200", "premiumrate":"1.01"}</v>
      </c>
      <c r="J384" s="6" t="str">
        <f t="shared" si="60"/>
        <v>,</v>
      </c>
    </row>
    <row r="385" spans="1:10">
      <c r="A385" s="4" t="str">
        <f>'EN60'!A$3</f>
        <v>EN60</v>
      </c>
      <c r="B385" s="4">
        <f t="shared" si="61"/>
        <v>33</v>
      </c>
      <c r="C385" s="4">
        <f t="shared" si="62"/>
        <v>3</v>
      </c>
      <c r="D385" s="4">
        <f t="shared" si="56"/>
        <v>8</v>
      </c>
      <c r="E385" s="4" t="s">
        <v>27</v>
      </c>
      <c r="F385" s="4">
        <f t="shared" si="57"/>
        <v>300</v>
      </c>
      <c r="G385" s="5">
        <f t="shared" si="63"/>
        <v>1.01</v>
      </c>
      <c r="H385" s="6" t="str">
        <f t="shared" si="58"/>
        <v>INSERT INTO public.coupon (plancode, age, "year", couponrate, benefittype, benefitrate, premiumrate) VALUES('EN60', 33, 3, 8, 'A',300, 1.01);</v>
      </c>
      <c r="I385" s="6" t="str">
        <f t="shared" si="59"/>
        <v>{"age":"33", "year":"3", "couponrate":"8", "benefittype":"A", "benefitrate":"300", "premiumrate":"1.01"}</v>
      </c>
      <c r="J385" s="6" t="str">
        <f t="shared" si="60"/>
        <v>,</v>
      </c>
    </row>
    <row r="386" spans="1:10">
      <c r="A386" s="4" t="str">
        <f>'EN60'!A$3</f>
        <v>EN60</v>
      </c>
      <c r="B386" s="4">
        <f t="shared" si="61"/>
        <v>33</v>
      </c>
      <c r="C386" s="4">
        <f t="shared" si="62"/>
        <v>4</v>
      </c>
      <c r="D386" s="4">
        <f t="shared" si="56"/>
        <v>8</v>
      </c>
      <c r="E386" s="4" t="s">
        <v>27</v>
      </c>
      <c r="F386" s="4">
        <f t="shared" si="57"/>
        <v>400</v>
      </c>
      <c r="G386" s="5">
        <f t="shared" si="63"/>
        <v>1.01</v>
      </c>
      <c r="H386" s="6" t="str">
        <f t="shared" si="58"/>
        <v>INSERT INTO public.coupon (plancode, age, "year", couponrate, benefittype, benefitrate, premiumrate) VALUES('EN60', 33, 4, 8, 'A',400, 1.01);</v>
      </c>
      <c r="I386" s="6" t="str">
        <f t="shared" si="59"/>
        <v>{"age":"33", "year":"4", "couponrate":"8", "benefittype":"A", "benefitrate":"400", "premiumrate":"1.01"}</v>
      </c>
      <c r="J386" s="6" t="str">
        <f t="shared" si="60"/>
        <v>,</v>
      </c>
    </row>
    <row r="387" spans="1:10">
      <c r="A387" s="4" t="str">
        <f>'EN60'!A$3</f>
        <v>EN60</v>
      </c>
      <c r="B387" s="4">
        <f t="shared" si="61"/>
        <v>33</v>
      </c>
      <c r="C387" s="4">
        <f t="shared" si="62"/>
        <v>5</v>
      </c>
      <c r="D387" s="4">
        <f t="shared" si="56"/>
        <v>8</v>
      </c>
      <c r="E387" s="4" t="s">
        <v>27</v>
      </c>
      <c r="F387" s="4">
        <f t="shared" si="57"/>
        <v>500</v>
      </c>
      <c r="G387" s="5">
        <f t="shared" si="63"/>
        <v>1.01</v>
      </c>
      <c r="H387" s="6" t="str">
        <f t="shared" si="58"/>
        <v>INSERT INTO public.coupon (plancode, age, "year", couponrate, benefittype, benefitrate, premiumrate) VALUES('EN60', 33, 5, 8, 'A',500, 1.01);</v>
      </c>
      <c r="I387" s="6" t="str">
        <f t="shared" si="59"/>
        <v>{"age":"33", "year":"5", "couponrate":"8", "benefittype":"A", "benefitrate":"500", "premiumrate":"1.01"}</v>
      </c>
      <c r="J387" s="6" t="str">
        <f t="shared" si="60"/>
        <v>,</v>
      </c>
    </row>
    <row r="388" spans="1:10">
      <c r="A388" s="4" t="str">
        <f>'EN60'!A$3</f>
        <v>EN60</v>
      </c>
      <c r="B388" s="4">
        <f t="shared" si="61"/>
        <v>33</v>
      </c>
      <c r="C388" s="4">
        <f t="shared" si="62"/>
        <v>6</v>
      </c>
      <c r="D388" s="4">
        <f t="shared" si="56"/>
        <v>8</v>
      </c>
      <c r="E388" s="4" t="s">
        <v>27</v>
      </c>
      <c r="F388" s="4">
        <f t="shared" si="57"/>
        <v>600</v>
      </c>
      <c r="G388" s="5">
        <f t="shared" si="63"/>
        <v>1.01</v>
      </c>
      <c r="H388" s="6" t="str">
        <f t="shared" si="58"/>
        <v>INSERT INTO public.coupon (plancode, age, "year", couponrate, benefittype, benefitrate, premiumrate) VALUES('EN60', 33, 6, 8, 'A',600, 1.01);</v>
      </c>
      <c r="I388" s="6" t="str">
        <f t="shared" si="59"/>
        <v>{"age":"33", "year":"6", "couponrate":"8", "benefittype":"A", "benefitrate":"600", "premiumrate":"1.01"}</v>
      </c>
      <c r="J388" s="6" t="str">
        <f t="shared" si="60"/>
        <v>,</v>
      </c>
    </row>
    <row r="389" spans="1:10">
      <c r="A389" s="4" t="str">
        <f>'EN60'!A$3</f>
        <v>EN60</v>
      </c>
      <c r="B389" s="4">
        <f t="shared" si="61"/>
        <v>33</v>
      </c>
      <c r="C389" s="4">
        <f t="shared" si="62"/>
        <v>7</v>
      </c>
      <c r="D389" s="4">
        <f t="shared" si="56"/>
        <v>8</v>
      </c>
      <c r="E389" s="4" t="s">
        <v>27</v>
      </c>
      <c r="F389" s="4">
        <f t="shared" si="57"/>
        <v>700</v>
      </c>
      <c r="G389" s="5">
        <f t="shared" si="63"/>
        <v>1.01</v>
      </c>
      <c r="H389" s="6" t="str">
        <f t="shared" si="58"/>
        <v>INSERT INTO public.coupon (plancode, age, "year", couponrate, benefittype, benefitrate, premiumrate) VALUES('EN60', 33, 7, 8, 'A',700, 1.01);</v>
      </c>
      <c r="I389" s="6" t="str">
        <f t="shared" si="59"/>
        <v>{"age":"33", "year":"7", "couponrate":"8", "benefittype":"A", "benefitrate":"700", "premiumrate":"1.01"}</v>
      </c>
      <c r="J389" s="6" t="str">
        <f t="shared" si="60"/>
        <v>,</v>
      </c>
    </row>
    <row r="390" spans="1:10">
      <c r="A390" s="4" t="str">
        <f>'EN60'!A$3</f>
        <v>EN60</v>
      </c>
      <c r="B390" s="4">
        <f t="shared" si="61"/>
        <v>33</v>
      </c>
      <c r="C390" s="4">
        <f t="shared" si="62"/>
        <v>8</v>
      </c>
      <c r="D390" s="4">
        <f t="shared" si="56"/>
        <v>8</v>
      </c>
      <c r="E390" s="4" t="s">
        <v>27</v>
      </c>
      <c r="F390" s="4">
        <f t="shared" si="57"/>
        <v>800</v>
      </c>
      <c r="G390" s="5">
        <f t="shared" si="63"/>
        <v>1.01</v>
      </c>
      <c r="H390" s="6" t="str">
        <f t="shared" si="58"/>
        <v>INSERT INTO public.coupon (plancode, age, "year", couponrate, benefittype, benefitrate, premiumrate) VALUES('EN60', 33, 8, 8, 'A',800, 1.01);</v>
      </c>
      <c r="I390" s="6" t="str">
        <f t="shared" si="59"/>
        <v>{"age":"33", "year":"8", "couponrate":"8", "benefittype":"A", "benefitrate":"800", "premiumrate":"1.01"}</v>
      </c>
      <c r="J390" s="6" t="str">
        <f t="shared" si="60"/>
        <v>,</v>
      </c>
    </row>
    <row r="391" spans="1:10">
      <c r="A391" s="4" t="str">
        <f>'EN60'!A$3</f>
        <v>EN60</v>
      </c>
      <c r="B391" s="4">
        <f t="shared" si="61"/>
        <v>33</v>
      </c>
      <c r="C391" s="4">
        <f t="shared" si="62"/>
        <v>9</v>
      </c>
      <c r="D391" s="4">
        <f t="shared" si="56"/>
        <v>8</v>
      </c>
      <c r="E391" s="4" t="s">
        <v>27</v>
      </c>
      <c r="F391" s="4">
        <f t="shared" si="57"/>
        <v>800</v>
      </c>
      <c r="G391" s="5">
        <f t="shared" si="63"/>
        <v>1.01</v>
      </c>
      <c r="H391" s="6" t="str">
        <f t="shared" si="58"/>
        <v>INSERT INTO public.coupon (plancode, age, "year", couponrate, benefittype, benefitrate, premiumrate) VALUES('EN60', 33, 9, 8, 'A',800, 1.01);</v>
      </c>
      <c r="I391" s="6" t="str">
        <f t="shared" si="59"/>
        <v>{"age":"33", "year":"9", "couponrate":"8", "benefittype":"A", "benefitrate":"800", "premiumrate":"1.01"}</v>
      </c>
      <c r="J391" s="6" t="str">
        <f t="shared" si="60"/>
        <v>,</v>
      </c>
    </row>
    <row r="392" spans="1:10">
      <c r="A392" s="4" t="str">
        <f>'EN60'!A$3</f>
        <v>EN60</v>
      </c>
      <c r="B392" s="4">
        <f t="shared" si="61"/>
        <v>33</v>
      </c>
      <c r="C392" s="4">
        <f t="shared" si="62"/>
        <v>10</v>
      </c>
      <c r="D392" s="4">
        <f t="shared" si="56"/>
        <v>8</v>
      </c>
      <c r="E392" s="4" t="s">
        <v>27</v>
      </c>
      <c r="F392" s="4">
        <f t="shared" si="57"/>
        <v>800</v>
      </c>
      <c r="G392" s="5">
        <f t="shared" si="63"/>
        <v>1.01</v>
      </c>
      <c r="H392" s="6" t="str">
        <f t="shared" si="58"/>
        <v>INSERT INTO public.coupon (plancode, age, "year", couponrate, benefittype, benefitrate, premiumrate) VALUES('EN60', 33, 10, 8, 'A',800, 1.01);</v>
      </c>
      <c r="I392" s="6" t="str">
        <f t="shared" si="59"/>
        <v>{"age":"33", "year":"10", "couponrate":"8", "benefittype":"A", "benefitrate":"800", "premiumrate":"1.01"}</v>
      </c>
      <c r="J392" s="6" t="str">
        <f t="shared" si="60"/>
        <v>,</v>
      </c>
    </row>
    <row r="393" spans="1:10">
      <c r="A393" s="4" t="str">
        <f>'EN60'!A$3</f>
        <v>EN60</v>
      </c>
      <c r="B393" s="4">
        <f t="shared" si="61"/>
        <v>33</v>
      </c>
      <c r="C393" s="4">
        <f t="shared" si="62"/>
        <v>11</v>
      </c>
      <c r="D393" s="4">
        <f t="shared" si="56"/>
        <v>8</v>
      </c>
      <c r="E393" s="4" t="s">
        <v>27</v>
      </c>
      <c r="F393" s="4">
        <f t="shared" si="57"/>
        <v>800</v>
      </c>
      <c r="G393" s="5">
        <f t="shared" si="63"/>
        <v>1.01</v>
      </c>
      <c r="H393" s="6" t="str">
        <f t="shared" si="58"/>
        <v>INSERT INTO public.coupon (plancode, age, "year", couponrate, benefittype, benefitrate, premiumrate) VALUES('EN60', 33, 11, 8, 'A',800, 1.01);</v>
      </c>
      <c r="I393" s="6" t="str">
        <f t="shared" si="59"/>
        <v>{"age":"33", "year":"11", "couponrate":"8", "benefittype":"A", "benefitrate":"800", "premiumrate":"1.01"}</v>
      </c>
      <c r="J393" s="6" t="str">
        <f t="shared" si="60"/>
        <v>,</v>
      </c>
    </row>
    <row r="394" spans="1:10">
      <c r="A394" s="4" t="str">
        <f>'EN60'!A$3</f>
        <v>EN60</v>
      </c>
      <c r="B394" s="4">
        <f t="shared" si="61"/>
        <v>33</v>
      </c>
      <c r="C394" s="4">
        <f t="shared" si="62"/>
        <v>12</v>
      </c>
      <c r="D394" s="4">
        <f t="shared" si="56"/>
        <v>8</v>
      </c>
      <c r="E394" s="4" t="s">
        <v>27</v>
      </c>
      <c r="F394" s="4">
        <f t="shared" si="57"/>
        <v>800</v>
      </c>
      <c r="G394" s="5">
        <f t="shared" si="63"/>
        <v>1.01</v>
      </c>
      <c r="H394" s="6" t="str">
        <f t="shared" si="58"/>
        <v>INSERT INTO public.coupon (plancode, age, "year", couponrate, benefittype, benefitrate, premiumrate) VALUES('EN60', 33, 12, 8, 'A',800, 1.01);</v>
      </c>
      <c r="I394" s="6" t="str">
        <f t="shared" si="59"/>
        <v>{"age":"33", "year":"12", "couponrate":"8", "benefittype":"A", "benefitrate":"800", "premiumrate":"1.01"}</v>
      </c>
      <c r="J394" s="6" t="str">
        <f t="shared" si="60"/>
        <v>,</v>
      </c>
    </row>
    <row r="395" spans="1:10">
      <c r="A395" s="4" t="str">
        <f>'EN60'!A$3</f>
        <v>EN60</v>
      </c>
      <c r="B395" s="4">
        <f t="shared" si="61"/>
        <v>33</v>
      </c>
      <c r="C395" s="4">
        <f t="shared" si="62"/>
        <v>13</v>
      </c>
      <c r="D395" s="4">
        <f t="shared" si="56"/>
        <v>8</v>
      </c>
      <c r="E395" s="4" t="s">
        <v>27</v>
      </c>
      <c r="F395" s="4">
        <f t="shared" si="57"/>
        <v>800</v>
      </c>
      <c r="G395" s="5">
        <f t="shared" si="63"/>
        <v>1.01</v>
      </c>
      <c r="H395" s="6" t="str">
        <f t="shared" si="58"/>
        <v>INSERT INTO public.coupon (plancode, age, "year", couponrate, benefittype, benefitrate, premiumrate) VALUES('EN60', 33, 13, 8, 'A',800, 1.01);</v>
      </c>
      <c r="I395" s="6" t="str">
        <f t="shared" si="59"/>
        <v>{"age":"33", "year":"13", "couponrate":"8", "benefittype":"A", "benefitrate":"800", "premiumrate":"1.01"}</v>
      </c>
      <c r="J395" s="6" t="str">
        <f t="shared" si="60"/>
        <v>,</v>
      </c>
    </row>
    <row r="396" spans="1:10">
      <c r="A396" s="4" t="str">
        <f>'EN60'!A$3</f>
        <v>EN60</v>
      </c>
      <c r="B396" s="4">
        <f t="shared" si="61"/>
        <v>33</v>
      </c>
      <c r="C396" s="4">
        <f t="shared" si="62"/>
        <v>14</v>
      </c>
      <c r="D396" s="4">
        <f t="shared" si="56"/>
        <v>8</v>
      </c>
      <c r="E396" s="4" t="s">
        <v>27</v>
      </c>
      <c r="F396" s="4">
        <f t="shared" si="57"/>
        <v>800</v>
      </c>
      <c r="G396" s="5">
        <f t="shared" si="63"/>
        <v>1.01</v>
      </c>
      <c r="H396" s="6" t="str">
        <f t="shared" si="58"/>
        <v>INSERT INTO public.coupon (plancode, age, "year", couponrate, benefittype, benefitrate, premiumrate) VALUES('EN60', 33, 14, 8, 'A',800, 1.01);</v>
      </c>
      <c r="I396" s="6" t="str">
        <f t="shared" si="59"/>
        <v>{"age":"33", "year":"14", "couponrate":"8", "benefittype":"A", "benefitrate":"800", "premiumrate":"1.01"}</v>
      </c>
      <c r="J396" s="6" t="str">
        <f t="shared" si="60"/>
        <v>,</v>
      </c>
    </row>
    <row r="397" spans="1:10">
      <c r="A397" s="4" t="str">
        <f>'EN60'!A$3</f>
        <v>EN60</v>
      </c>
      <c r="B397" s="4">
        <f t="shared" si="61"/>
        <v>33</v>
      </c>
      <c r="C397" s="4">
        <f t="shared" si="62"/>
        <v>15</v>
      </c>
      <c r="D397" s="4">
        <f t="shared" si="56"/>
        <v>8</v>
      </c>
      <c r="E397" s="4" t="s">
        <v>27</v>
      </c>
      <c r="F397" s="4">
        <f t="shared" si="57"/>
        <v>800</v>
      </c>
      <c r="G397" s="5">
        <f t="shared" si="63"/>
        <v>1.01</v>
      </c>
      <c r="H397" s="6" t="str">
        <f t="shared" si="58"/>
        <v>INSERT INTO public.coupon (plancode, age, "year", couponrate, benefittype, benefitrate, premiumrate) VALUES('EN60', 33, 15, 8, 'A',800, 1.01);</v>
      </c>
      <c r="I397" s="6" t="str">
        <f t="shared" si="59"/>
        <v>{"age":"33", "year":"15", "couponrate":"8", "benefittype":"A", "benefitrate":"800", "premiumrate":"1.01"}</v>
      </c>
      <c r="J397" s="6" t="str">
        <f t="shared" si="60"/>
        <v>,</v>
      </c>
    </row>
    <row r="398" spans="1:10">
      <c r="A398" s="4" t="str">
        <f>'EN60'!A$3</f>
        <v>EN60</v>
      </c>
      <c r="B398" s="4">
        <f t="shared" si="61"/>
        <v>33</v>
      </c>
      <c r="C398" s="4">
        <f t="shared" si="62"/>
        <v>16</v>
      </c>
      <c r="D398" s="4">
        <f t="shared" si="56"/>
        <v>8</v>
      </c>
      <c r="E398" s="4" t="s">
        <v>27</v>
      </c>
      <c r="F398" s="4">
        <f t="shared" si="57"/>
        <v>800</v>
      </c>
      <c r="G398" s="5">
        <f t="shared" si="63"/>
        <v>1.01</v>
      </c>
      <c r="H398" s="6" t="str">
        <f t="shared" si="58"/>
        <v>INSERT INTO public.coupon (plancode, age, "year", couponrate, benefittype, benefitrate, premiumrate) VALUES('EN60', 33, 16, 8, 'A',800, 1.01);</v>
      </c>
      <c r="I398" s="6" t="str">
        <f t="shared" si="59"/>
        <v>{"age":"33", "year":"16", "couponrate":"8", "benefittype":"A", "benefitrate":"800", "premiumrate":"1.01"}</v>
      </c>
      <c r="J398" s="6" t="str">
        <f t="shared" si="60"/>
        <v>,</v>
      </c>
    </row>
    <row r="399" spans="1:10">
      <c r="A399" s="4" t="str">
        <f>'EN60'!A$3</f>
        <v>EN60</v>
      </c>
      <c r="B399" s="4">
        <f t="shared" si="61"/>
        <v>33</v>
      </c>
      <c r="C399" s="4">
        <f t="shared" si="62"/>
        <v>17</v>
      </c>
      <c r="D399" s="4">
        <f t="shared" si="56"/>
        <v>8</v>
      </c>
      <c r="E399" s="4" t="s">
        <v>27</v>
      </c>
      <c r="F399" s="4">
        <f t="shared" si="57"/>
        <v>800</v>
      </c>
      <c r="G399" s="5">
        <f t="shared" si="63"/>
        <v>1.01</v>
      </c>
      <c r="H399" s="6" t="str">
        <f t="shared" si="58"/>
        <v>INSERT INTO public.coupon (plancode, age, "year", couponrate, benefittype, benefitrate, premiumrate) VALUES('EN60', 33, 17, 8, 'A',800, 1.01);</v>
      </c>
      <c r="I399" s="6" t="str">
        <f t="shared" si="59"/>
        <v>{"age":"33", "year":"17", "couponrate":"8", "benefittype":"A", "benefitrate":"800", "premiumrate":"1.01"}</v>
      </c>
      <c r="J399" s="6" t="str">
        <f t="shared" si="60"/>
        <v>,</v>
      </c>
    </row>
    <row r="400" spans="1:10">
      <c r="A400" s="4" t="str">
        <f>'EN60'!A$3</f>
        <v>EN60</v>
      </c>
      <c r="B400" s="4">
        <f t="shared" si="61"/>
        <v>33</v>
      </c>
      <c r="C400" s="4">
        <f t="shared" si="62"/>
        <v>18</v>
      </c>
      <c r="D400" s="4">
        <f t="shared" si="56"/>
        <v>8</v>
      </c>
      <c r="E400" s="4" t="s">
        <v>27</v>
      </c>
      <c r="F400" s="4">
        <f t="shared" si="57"/>
        <v>800</v>
      </c>
      <c r="G400" s="5">
        <f t="shared" si="63"/>
        <v>1.01</v>
      </c>
      <c r="H400" s="6" t="str">
        <f t="shared" si="58"/>
        <v>INSERT INTO public.coupon (plancode, age, "year", couponrate, benefittype, benefitrate, premiumrate) VALUES('EN60', 33, 18, 8, 'A',800, 1.01);</v>
      </c>
      <c r="I400" s="6" t="str">
        <f t="shared" si="59"/>
        <v>{"age":"33", "year":"18", "couponrate":"8", "benefittype":"A", "benefitrate":"800", "premiumrate":"1.01"}</v>
      </c>
      <c r="J400" s="6" t="str">
        <f t="shared" si="60"/>
        <v>,</v>
      </c>
    </row>
    <row r="401" spans="1:10">
      <c r="A401" s="4" t="str">
        <f>'EN60'!A$3</f>
        <v>EN60</v>
      </c>
      <c r="B401" s="4">
        <f t="shared" si="61"/>
        <v>33</v>
      </c>
      <c r="C401" s="4">
        <f t="shared" si="62"/>
        <v>19</v>
      </c>
      <c r="D401" s="4">
        <f t="shared" si="56"/>
        <v>8</v>
      </c>
      <c r="E401" s="4" t="s">
        <v>27</v>
      </c>
      <c r="F401" s="4">
        <f t="shared" si="57"/>
        <v>800</v>
      </c>
      <c r="G401" s="5">
        <f t="shared" si="63"/>
        <v>1.01</v>
      </c>
      <c r="H401" s="6" t="str">
        <f t="shared" si="58"/>
        <v>INSERT INTO public.coupon (plancode, age, "year", couponrate, benefittype, benefitrate, premiumrate) VALUES('EN60', 33, 19, 8, 'A',800, 1.01);</v>
      </c>
      <c r="I401" s="6" t="str">
        <f t="shared" si="59"/>
        <v>{"age":"33", "year":"19", "couponrate":"8", "benefittype":"A", "benefitrate":"800", "premiumrate":"1.01"}</v>
      </c>
      <c r="J401" s="6" t="str">
        <f t="shared" si="60"/>
        <v>,</v>
      </c>
    </row>
    <row r="402" spans="1:10">
      <c r="A402" s="4" t="str">
        <f>'EN60'!A$3</f>
        <v>EN60</v>
      </c>
      <c r="B402" s="4">
        <f t="shared" si="61"/>
        <v>33</v>
      </c>
      <c r="C402" s="4">
        <f t="shared" si="62"/>
        <v>20</v>
      </c>
      <c r="D402" s="4">
        <f t="shared" si="56"/>
        <v>8</v>
      </c>
      <c r="E402" s="4" t="s">
        <v>27</v>
      </c>
      <c r="F402" s="4">
        <f t="shared" si="57"/>
        <v>800</v>
      </c>
      <c r="G402" s="5">
        <f t="shared" si="63"/>
        <v>1.01</v>
      </c>
      <c r="H402" s="6" t="str">
        <f t="shared" si="58"/>
        <v>INSERT INTO public.coupon (plancode, age, "year", couponrate, benefittype, benefitrate, premiumrate) VALUES('EN60', 33, 20, 8, 'A',800, 1.01);</v>
      </c>
      <c r="I402" s="6" t="str">
        <f t="shared" si="59"/>
        <v>{"age":"33", "year":"20", "couponrate":"8", "benefittype":"A", "benefitrate":"800", "premiumrate":"1.01"}</v>
      </c>
      <c r="J402" s="6" t="str">
        <f t="shared" si="60"/>
        <v>,</v>
      </c>
    </row>
    <row r="403" spans="1:10">
      <c r="A403" s="4" t="str">
        <f>'EN60'!A$3</f>
        <v>EN60</v>
      </c>
      <c r="B403" s="4">
        <f t="shared" si="61"/>
        <v>33</v>
      </c>
      <c r="C403" s="4">
        <f t="shared" si="62"/>
        <v>21</v>
      </c>
      <c r="D403" s="4">
        <f t="shared" si="56"/>
        <v>8</v>
      </c>
      <c r="E403" s="4" t="s">
        <v>27</v>
      </c>
      <c r="F403" s="4">
        <f t="shared" si="57"/>
        <v>800</v>
      </c>
      <c r="G403" s="5">
        <f t="shared" si="63"/>
        <v>1.01</v>
      </c>
      <c r="H403" s="6" t="str">
        <f t="shared" si="58"/>
        <v>INSERT INTO public.coupon (plancode, age, "year", couponrate, benefittype, benefitrate, premiumrate) VALUES('EN60', 33, 21, 8, 'A',800, 1.01);</v>
      </c>
      <c r="I403" s="6" t="str">
        <f t="shared" si="59"/>
        <v>{"age":"33", "year":"21", "couponrate":"8", "benefittype":"A", "benefitrate":"800", "premiumrate":"1.01"}</v>
      </c>
      <c r="J403" s="6" t="str">
        <f t="shared" si="60"/>
        <v>,</v>
      </c>
    </row>
    <row r="404" spans="1:10">
      <c r="A404" s="4" t="str">
        <f>'EN60'!A$3</f>
        <v>EN60</v>
      </c>
      <c r="B404" s="4">
        <f t="shared" si="61"/>
        <v>33</v>
      </c>
      <c r="C404" s="4">
        <f t="shared" si="62"/>
        <v>22</v>
      </c>
      <c r="D404" s="4">
        <f t="shared" si="56"/>
        <v>8</v>
      </c>
      <c r="E404" s="4" t="s">
        <v>27</v>
      </c>
      <c r="F404" s="4">
        <f t="shared" si="57"/>
        <v>800</v>
      </c>
      <c r="G404" s="5">
        <f t="shared" si="63"/>
        <v>1.01</v>
      </c>
      <c r="H404" s="6" t="str">
        <f t="shared" si="58"/>
        <v>INSERT INTO public.coupon (plancode, age, "year", couponrate, benefittype, benefitrate, premiumrate) VALUES('EN60', 33, 22, 8, 'A',800, 1.01);</v>
      </c>
      <c r="I404" s="6" t="str">
        <f t="shared" si="59"/>
        <v>{"age":"33", "year":"22", "couponrate":"8", "benefittype":"A", "benefitrate":"800", "premiumrate":"1.01"}</v>
      </c>
      <c r="J404" s="6" t="str">
        <f t="shared" si="60"/>
        <v>,</v>
      </c>
    </row>
    <row r="405" spans="1:10">
      <c r="A405" s="4" t="str">
        <f>'EN60'!A$3</f>
        <v>EN60</v>
      </c>
      <c r="B405" s="4">
        <f t="shared" si="61"/>
        <v>33</v>
      </c>
      <c r="C405" s="4">
        <f t="shared" si="62"/>
        <v>23</v>
      </c>
      <c r="D405" s="4">
        <f t="shared" si="56"/>
        <v>8</v>
      </c>
      <c r="E405" s="4" t="s">
        <v>27</v>
      </c>
      <c r="F405" s="4">
        <f t="shared" si="57"/>
        <v>800</v>
      </c>
      <c r="G405" s="5">
        <f t="shared" si="63"/>
        <v>1.01</v>
      </c>
      <c r="H405" s="6" t="str">
        <f t="shared" si="58"/>
        <v>INSERT INTO public.coupon (plancode, age, "year", couponrate, benefittype, benefitrate, premiumrate) VALUES('EN60', 33, 23, 8, 'A',800, 1.01);</v>
      </c>
      <c r="I405" s="6" t="str">
        <f t="shared" si="59"/>
        <v>{"age":"33", "year":"23", "couponrate":"8", "benefittype":"A", "benefitrate":"800", "premiumrate":"1.01"}</v>
      </c>
      <c r="J405" s="6" t="str">
        <f t="shared" si="60"/>
        <v>,</v>
      </c>
    </row>
    <row r="406" spans="1:10">
      <c r="A406" s="4" t="str">
        <f>'EN60'!A$3</f>
        <v>EN60</v>
      </c>
      <c r="B406" s="4">
        <f t="shared" si="61"/>
        <v>33</v>
      </c>
      <c r="C406" s="4">
        <f t="shared" si="62"/>
        <v>24</v>
      </c>
      <c r="D406" s="4">
        <f t="shared" si="56"/>
        <v>8</v>
      </c>
      <c r="E406" s="4" t="s">
        <v>27</v>
      </c>
      <c r="F406" s="4">
        <f t="shared" si="57"/>
        <v>800</v>
      </c>
      <c r="G406" s="5">
        <f t="shared" si="63"/>
        <v>1.01</v>
      </c>
      <c r="H406" s="6" t="str">
        <f t="shared" si="58"/>
        <v>INSERT INTO public.coupon (plancode, age, "year", couponrate, benefittype, benefitrate, premiumrate) VALUES('EN60', 33, 24, 8, 'A',800, 1.01);</v>
      </c>
      <c r="I406" s="6" t="str">
        <f t="shared" si="59"/>
        <v>{"age":"33", "year":"24", "couponrate":"8", "benefittype":"A", "benefitrate":"800", "premiumrate":"1.01"}</v>
      </c>
      <c r="J406" s="6" t="str">
        <f t="shared" si="60"/>
        <v>,</v>
      </c>
    </row>
    <row r="407" spans="1:10">
      <c r="A407" s="4" t="str">
        <f>'EN60'!A$3</f>
        <v>EN60</v>
      </c>
      <c r="B407" s="4">
        <f t="shared" si="61"/>
        <v>33</v>
      </c>
      <c r="C407" s="4">
        <f t="shared" si="62"/>
        <v>25</v>
      </c>
      <c r="D407" s="4">
        <f t="shared" si="56"/>
        <v>8</v>
      </c>
      <c r="E407" s="4" t="s">
        <v>27</v>
      </c>
      <c r="F407" s="4">
        <f t="shared" si="57"/>
        <v>800</v>
      </c>
      <c r="G407" s="5">
        <f t="shared" si="63"/>
        <v>1.01</v>
      </c>
      <c r="H407" s="6" t="str">
        <f t="shared" si="58"/>
        <v>INSERT INTO public.coupon (plancode, age, "year", couponrate, benefittype, benefitrate, premiumrate) VALUES('EN60', 33, 25, 8, 'A',800, 1.01);</v>
      </c>
      <c r="I407" s="6" t="str">
        <f t="shared" si="59"/>
        <v>{"age":"33", "year":"25", "couponrate":"8", "benefittype":"A", "benefitrate":"800", "premiumrate":"1.01"}</v>
      </c>
      <c r="J407" s="6" t="str">
        <f t="shared" si="60"/>
        <v>,</v>
      </c>
    </row>
    <row r="408" spans="1:10">
      <c r="A408" s="4" t="str">
        <f>'EN60'!A$3</f>
        <v>EN60</v>
      </c>
      <c r="B408" s="4">
        <f t="shared" si="61"/>
        <v>33</v>
      </c>
      <c r="C408" s="4">
        <f t="shared" si="62"/>
        <v>26</v>
      </c>
      <c r="D408" s="4">
        <f t="shared" si="56"/>
        <v>8</v>
      </c>
      <c r="E408" s="4" t="s">
        <v>27</v>
      </c>
      <c r="F408" s="4">
        <f t="shared" si="57"/>
        <v>800</v>
      </c>
      <c r="G408" s="5">
        <f t="shared" si="63"/>
        <v>1.01</v>
      </c>
      <c r="H408" s="6" t="str">
        <f t="shared" si="58"/>
        <v>INSERT INTO public.coupon (plancode, age, "year", couponrate, benefittype, benefitrate, premiumrate) VALUES('EN60', 33, 26, 8, 'A',800, 1.01);</v>
      </c>
      <c r="I408" s="6" t="str">
        <f t="shared" si="59"/>
        <v>{"age":"33", "year":"26", "couponrate":"8", "benefittype":"A", "benefitrate":"800", "premiumrate":"1.01"}</v>
      </c>
      <c r="J408" s="6" t="str">
        <f t="shared" si="60"/>
        <v>,</v>
      </c>
    </row>
    <row r="409" spans="1:10">
      <c r="A409" s="4" t="str">
        <f>'EN60'!A$3</f>
        <v>EN60</v>
      </c>
      <c r="B409" s="4">
        <f t="shared" si="61"/>
        <v>33</v>
      </c>
      <c r="C409" s="4">
        <f t="shared" si="62"/>
        <v>27</v>
      </c>
      <c r="D409" s="4">
        <f t="shared" si="56"/>
        <v>8</v>
      </c>
      <c r="E409" s="4" t="s">
        <v>27</v>
      </c>
      <c r="F409" s="4">
        <f t="shared" si="57"/>
        <v>800</v>
      </c>
      <c r="G409" s="5">
        <f t="shared" si="63"/>
        <v>1.01</v>
      </c>
      <c r="H409" s="6" t="str">
        <f t="shared" si="58"/>
        <v>INSERT INTO public.coupon (plancode, age, "year", couponrate, benefittype, benefitrate, premiumrate) VALUES('EN60', 33, 27, 8, 'A',800, 1.01);</v>
      </c>
      <c r="I409" s="6" t="str">
        <f t="shared" si="59"/>
        <v>{"age":"33", "year":"27", "couponrate":"8", "benefittype":"A", "benefitrate":"800", "premiumrate":"1.01"}</v>
      </c>
      <c r="J409" s="6" t="str">
        <f t="shared" si="60"/>
        <v>,</v>
      </c>
    </row>
    <row r="410" spans="1:10">
      <c r="A410" s="4" t="str">
        <f>'EN60'!A$3</f>
        <v>EN60</v>
      </c>
      <c r="B410" s="4">
        <f t="shared" si="61"/>
        <v>33</v>
      </c>
      <c r="C410" s="4">
        <f t="shared" si="62"/>
        <v>28</v>
      </c>
      <c r="D410" s="4">
        <f t="shared" si="56"/>
        <v>8</v>
      </c>
      <c r="E410" s="4" t="s">
        <v>27</v>
      </c>
      <c r="F410" s="4">
        <f t="shared" si="57"/>
        <v>800</v>
      </c>
      <c r="G410" s="5">
        <f t="shared" si="63"/>
        <v>1.01</v>
      </c>
      <c r="H410" s="6" t="str">
        <f t="shared" si="58"/>
        <v>INSERT INTO public.coupon (plancode, age, "year", couponrate, benefittype, benefitrate, premiumrate) VALUES('EN60', 33, 28, 8, 'A',800, 1.01);</v>
      </c>
      <c r="I410" s="6" t="str">
        <f t="shared" si="59"/>
        <v>{"age":"33", "year":"28", "couponrate":"8", "benefittype":"A", "benefitrate":"800", "premiumrate":"1.01"}</v>
      </c>
      <c r="J410" s="6" t="str">
        <f t="shared" si="60"/>
        <v>,</v>
      </c>
    </row>
    <row r="411" spans="1:10">
      <c r="A411" s="4" t="str">
        <f>'EN60'!A$3</f>
        <v>EN60</v>
      </c>
      <c r="B411" s="4">
        <f t="shared" si="61"/>
        <v>33</v>
      </c>
      <c r="C411" s="4">
        <f t="shared" si="62"/>
        <v>29</v>
      </c>
      <c r="D411" s="4">
        <f t="shared" si="56"/>
        <v>8</v>
      </c>
      <c r="E411" s="4" t="s">
        <v>27</v>
      </c>
      <c r="F411" s="4">
        <f t="shared" si="57"/>
        <v>800</v>
      </c>
      <c r="G411" s="5">
        <f t="shared" si="63"/>
        <v>1.01</v>
      </c>
      <c r="H411" s="6" t="str">
        <f t="shared" si="58"/>
        <v>INSERT INTO public.coupon (plancode, age, "year", couponrate, benefittype, benefitrate, premiumrate) VALUES('EN60', 33, 29, 8, 'A',800, 1.01);</v>
      </c>
      <c r="I411" s="6" t="str">
        <f t="shared" si="59"/>
        <v>{"age":"33", "year":"29", "couponrate":"8", "benefittype":"A", "benefitrate":"800", "premiumrate":"1.01"}</v>
      </c>
      <c r="J411" s="6" t="str">
        <f t="shared" si="60"/>
        <v>,</v>
      </c>
    </row>
    <row r="412" spans="1:10">
      <c r="A412" s="4" t="str">
        <f>'EN60'!A$3</f>
        <v>EN60</v>
      </c>
      <c r="B412" s="4">
        <f t="shared" si="61"/>
        <v>33</v>
      </c>
      <c r="C412" s="4">
        <f t="shared" si="62"/>
        <v>30</v>
      </c>
      <c r="D412" s="4">
        <f t="shared" si="56"/>
        <v>8</v>
      </c>
      <c r="E412" s="4" t="s">
        <v>27</v>
      </c>
      <c r="F412" s="4">
        <f t="shared" si="57"/>
        <v>800</v>
      </c>
      <c r="G412" s="5">
        <f t="shared" si="63"/>
        <v>1.01</v>
      </c>
      <c r="H412" s="6" t="str">
        <f t="shared" si="58"/>
        <v>INSERT INTO public.coupon (plancode, age, "year", couponrate, benefittype, benefitrate, premiumrate) VALUES('EN60', 33, 30, 8, 'A',800, 1.01);</v>
      </c>
      <c r="I412" s="6" t="str">
        <f t="shared" si="59"/>
        <v>{"age":"33", "year":"30", "couponrate":"8", "benefittype":"A", "benefitrate":"800", "premiumrate":"1.01"}</v>
      </c>
      <c r="J412" s="6" t="str">
        <f t="shared" si="60"/>
        <v>,</v>
      </c>
    </row>
    <row r="413" spans="1:10">
      <c r="A413" s="4" t="str">
        <f>'EN60'!A$3</f>
        <v>EN60</v>
      </c>
      <c r="B413" s="4">
        <f t="shared" si="61"/>
        <v>33</v>
      </c>
      <c r="C413" s="4">
        <f t="shared" si="62"/>
        <v>31</v>
      </c>
      <c r="D413" s="4">
        <f t="shared" si="56"/>
        <v>8</v>
      </c>
      <c r="E413" s="4" t="s">
        <v>27</v>
      </c>
      <c r="F413" s="4">
        <f t="shared" si="57"/>
        <v>800</v>
      </c>
      <c r="G413" s="5">
        <f t="shared" si="63"/>
        <v>1.01</v>
      </c>
      <c r="H413" s="6" t="str">
        <f t="shared" si="58"/>
        <v>INSERT INTO public.coupon (plancode, age, "year", couponrate, benefittype, benefitrate, premiumrate) VALUES('EN60', 33, 31, 8, 'A',800, 1.01);</v>
      </c>
      <c r="I413" s="6" t="str">
        <f t="shared" si="59"/>
        <v>{"age":"33", "year":"31", "couponrate":"8", "benefittype":"A", "benefitrate":"800", "premiumrate":"1.01"}</v>
      </c>
      <c r="J413" s="6" t="str">
        <f t="shared" si="60"/>
        <v>,</v>
      </c>
    </row>
    <row r="414" spans="1:10">
      <c r="A414" s="4" t="str">
        <f>'EN60'!A$3</f>
        <v>EN60</v>
      </c>
      <c r="B414" s="4">
        <f t="shared" si="61"/>
        <v>33</v>
      </c>
      <c r="C414" s="4">
        <f t="shared" si="62"/>
        <v>32</v>
      </c>
      <c r="D414" s="4">
        <f t="shared" si="56"/>
        <v>8</v>
      </c>
      <c r="E414" s="4" t="s">
        <v>27</v>
      </c>
      <c r="F414" s="4">
        <f t="shared" si="57"/>
        <v>800</v>
      </c>
      <c r="G414" s="5">
        <f t="shared" si="63"/>
        <v>1.01</v>
      </c>
      <c r="H414" s="6" t="str">
        <f t="shared" si="58"/>
        <v>INSERT INTO public.coupon (plancode, age, "year", couponrate, benefittype, benefitrate, premiumrate) VALUES('EN60', 33, 32, 8, 'A',800, 1.01);</v>
      </c>
      <c r="I414" s="6" t="str">
        <f t="shared" si="59"/>
        <v>{"age":"33", "year":"32", "couponrate":"8", "benefittype":"A", "benefitrate":"800", "premiumrate":"1.01"}</v>
      </c>
      <c r="J414" s="6" t="str">
        <f t="shared" si="60"/>
        <v>,</v>
      </c>
    </row>
    <row r="415" spans="1:10">
      <c r="A415" s="4" t="str">
        <f>'EN60'!A$3</f>
        <v>EN60</v>
      </c>
      <c r="B415" s="4">
        <f t="shared" si="61"/>
        <v>33</v>
      </c>
      <c r="C415" s="4">
        <f t="shared" si="62"/>
        <v>33</v>
      </c>
      <c r="D415" s="4">
        <f t="shared" si="56"/>
        <v>8</v>
      </c>
      <c r="E415" s="4" t="s">
        <v>27</v>
      </c>
      <c r="F415" s="4">
        <f t="shared" si="57"/>
        <v>800</v>
      </c>
      <c r="G415" s="5">
        <f t="shared" si="63"/>
        <v>1.01</v>
      </c>
      <c r="H415" s="6" t="str">
        <f t="shared" si="58"/>
        <v>INSERT INTO public.coupon (plancode, age, "year", couponrate, benefittype, benefitrate, premiumrate) VALUES('EN60', 33, 33, 8, 'A',800, 1.01);</v>
      </c>
      <c r="I415" s="6" t="str">
        <f t="shared" si="59"/>
        <v>{"age":"33", "year":"33", "couponrate":"8", "benefittype":"A", "benefitrate":"800", "premiumrate":"1.01"}</v>
      </c>
      <c r="J415" s="6" t="str">
        <f t="shared" si="60"/>
        <v>,</v>
      </c>
    </row>
    <row r="416" spans="1:10">
      <c r="A416" s="4" t="str">
        <f>'EN60'!A$3</f>
        <v>EN60</v>
      </c>
      <c r="B416" s="4">
        <f t="shared" si="61"/>
        <v>33</v>
      </c>
      <c r="C416" s="4">
        <f t="shared" si="62"/>
        <v>34</v>
      </c>
      <c r="D416" s="4">
        <f t="shared" si="56"/>
        <v>8</v>
      </c>
      <c r="E416" s="4" t="s">
        <v>27</v>
      </c>
      <c r="F416" s="4">
        <f t="shared" si="57"/>
        <v>800</v>
      </c>
      <c r="G416" s="5">
        <f t="shared" si="63"/>
        <v>1.01</v>
      </c>
      <c r="H416" s="6" t="str">
        <f t="shared" si="58"/>
        <v>INSERT INTO public.coupon (plancode, age, "year", couponrate, benefittype, benefitrate, premiumrate) VALUES('EN60', 33, 34, 8, 'A',800, 1.01);</v>
      </c>
      <c r="I416" s="6" t="str">
        <f t="shared" si="59"/>
        <v>{"age":"33", "year":"34", "couponrate":"8", "benefittype":"A", "benefitrate":"800", "premiumrate":"1.01"}</v>
      </c>
      <c r="J416" s="6" t="str">
        <f t="shared" si="60"/>
        <v>,</v>
      </c>
    </row>
    <row r="417" spans="1:10">
      <c r="A417" s="4" t="str">
        <f>'EN60'!A$3</f>
        <v>EN60</v>
      </c>
      <c r="B417" s="4">
        <f t="shared" si="61"/>
        <v>33</v>
      </c>
      <c r="C417" s="4">
        <f t="shared" si="62"/>
        <v>35</v>
      </c>
      <c r="D417" s="4">
        <f t="shared" si="56"/>
        <v>8</v>
      </c>
      <c r="E417" s="4" t="s">
        <v>27</v>
      </c>
      <c r="F417" s="4">
        <f t="shared" si="57"/>
        <v>800</v>
      </c>
      <c r="G417" s="5">
        <f t="shared" si="63"/>
        <v>1.01</v>
      </c>
      <c r="H417" s="6" t="str">
        <f t="shared" si="58"/>
        <v>INSERT INTO public.coupon (plancode, age, "year", couponrate, benefittype, benefitrate, premiumrate) VALUES('EN60', 33, 35, 8, 'A',800, 1.01);</v>
      </c>
      <c r="I417" s="6" t="str">
        <f t="shared" si="59"/>
        <v>{"age":"33", "year":"35", "couponrate":"8", "benefittype":"A", "benefitrate":"800", "premiumrate":"1.01"}</v>
      </c>
      <c r="J417" s="6" t="str">
        <f t="shared" si="60"/>
        <v>,</v>
      </c>
    </row>
    <row r="418" spans="1:10">
      <c r="A418" s="4" t="str">
        <f>'EN60'!A$3</f>
        <v>EN60</v>
      </c>
      <c r="B418" s="4">
        <f t="shared" si="61"/>
        <v>33</v>
      </c>
      <c r="C418" s="4">
        <f t="shared" si="62"/>
        <v>36</v>
      </c>
      <c r="D418" s="4">
        <f t="shared" si="56"/>
        <v>8</v>
      </c>
      <c r="E418" s="4" t="s">
        <v>27</v>
      </c>
      <c r="F418" s="4">
        <f t="shared" si="57"/>
        <v>800</v>
      </c>
      <c r="G418" s="5">
        <f t="shared" si="63"/>
        <v>1.01</v>
      </c>
      <c r="H418" s="6" t="str">
        <f t="shared" si="58"/>
        <v>INSERT INTO public.coupon (plancode, age, "year", couponrate, benefittype, benefitrate, premiumrate) VALUES('EN60', 33, 36, 8, 'A',800, 1.01);</v>
      </c>
      <c r="I418" s="6" t="str">
        <f t="shared" si="59"/>
        <v>{"age":"33", "year":"36", "couponrate":"8", "benefittype":"A", "benefitrate":"800", "premiumrate":"1.01"}</v>
      </c>
      <c r="J418" s="6" t="str">
        <f t="shared" si="60"/>
        <v>,</v>
      </c>
    </row>
    <row r="419" spans="1:10">
      <c r="A419" s="4" t="str">
        <f>'EN60'!A$3</f>
        <v>EN60</v>
      </c>
      <c r="B419" s="4">
        <f t="shared" si="61"/>
        <v>33</v>
      </c>
      <c r="C419" s="4">
        <f t="shared" si="62"/>
        <v>37</v>
      </c>
      <c r="D419" s="4">
        <f t="shared" si="56"/>
        <v>8</v>
      </c>
      <c r="E419" s="4" t="s">
        <v>27</v>
      </c>
      <c r="F419" s="4">
        <f t="shared" si="57"/>
        <v>800</v>
      </c>
      <c r="G419" s="5">
        <f t="shared" si="63"/>
        <v>1.01</v>
      </c>
      <c r="H419" s="6" t="str">
        <f t="shared" si="58"/>
        <v>INSERT INTO public.coupon (plancode, age, "year", couponrate, benefittype, benefitrate, premiumrate) VALUES('EN60', 33, 37, 8, 'A',800, 1.01);</v>
      </c>
      <c r="I419" s="6" t="str">
        <f t="shared" si="59"/>
        <v>{"age":"33", "year":"37", "couponrate":"8", "benefittype":"A", "benefitrate":"800", "premiumrate":"1.01"}</v>
      </c>
      <c r="J419" s="6" t="str">
        <f t="shared" si="60"/>
        <v>,</v>
      </c>
    </row>
    <row r="420" spans="1:10">
      <c r="A420" s="4" t="str">
        <f>'EN60'!A$3</f>
        <v>EN60</v>
      </c>
      <c r="B420" s="4">
        <f t="shared" si="61"/>
        <v>33</v>
      </c>
      <c r="C420" s="4">
        <f t="shared" si="62"/>
        <v>38</v>
      </c>
      <c r="D420" s="4">
        <f t="shared" si="56"/>
        <v>8</v>
      </c>
      <c r="E420" s="4" t="s">
        <v>27</v>
      </c>
      <c r="F420" s="4">
        <f t="shared" si="57"/>
        <v>800</v>
      </c>
      <c r="G420" s="5">
        <f t="shared" si="63"/>
        <v>1.01</v>
      </c>
      <c r="H420" s="6" t="str">
        <f t="shared" si="58"/>
        <v>INSERT INTO public.coupon (plancode, age, "year", couponrate, benefittype, benefitrate, premiumrate) VALUES('EN60', 33, 38, 8, 'A',800, 1.01);</v>
      </c>
      <c r="I420" s="6" t="str">
        <f t="shared" si="59"/>
        <v>{"age":"33", "year":"38", "couponrate":"8", "benefittype":"A", "benefitrate":"800", "premiumrate":"1.01"}</v>
      </c>
      <c r="J420" s="6" t="str">
        <f t="shared" si="60"/>
        <v>,</v>
      </c>
    </row>
    <row r="421" spans="1:10">
      <c r="A421" s="4" t="str">
        <f>'EN60'!A$3</f>
        <v>EN60</v>
      </c>
      <c r="B421" s="4">
        <f t="shared" si="61"/>
        <v>33</v>
      </c>
      <c r="C421" s="4">
        <f t="shared" si="62"/>
        <v>39</v>
      </c>
      <c r="D421" s="4">
        <f t="shared" si="56"/>
        <v>8</v>
      </c>
      <c r="E421" s="4" t="s">
        <v>27</v>
      </c>
      <c r="F421" s="4">
        <f t="shared" si="57"/>
        <v>800</v>
      </c>
      <c r="G421" s="5">
        <f t="shared" si="63"/>
        <v>1.01</v>
      </c>
      <c r="H421" s="6" t="str">
        <f t="shared" si="58"/>
        <v>INSERT INTO public.coupon (plancode, age, "year", couponrate, benefittype, benefitrate, premiumrate) VALUES('EN60', 33, 39, 8, 'A',800, 1.01);</v>
      </c>
      <c r="I421" s="6" t="str">
        <f t="shared" si="59"/>
        <v>{"age":"33", "year":"39", "couponrate":"8", "benefittype":"A", "benefitrate":"800", "premiumrate":"1.01"}</v>
      </c>
      <c r="J421" s="6" t="str">
        <f t="shared" si="60"/>
        <v>,</v>
      </c>
    </row>
    <row r="422" spans="1:10">
      <c r="A422" s="4" t="str">
        <f>'EN60'!A$3</f>
        <v>EN60</v>
      </c>
      <c r="B422" s="4">
        <f t="shared" si="61"/>
        <v>33</v>
      </c>
      <c r="C422" s="4">
        <f t="shared" si="62"/>
        <v>40</v>
      </c>
      <c r="D422" s="4">
        <f t="shared" si="56"/>
        <v>8</v>
      </c>
      <c r="E422" s="4" t="s">
        <v>27</v>
      </c>
      <c r="F422" s="4">
        <f t="shared" si="57"/>
        <v>800</v>
      </c>
      <c r="G422" s="5">
        <f t="shared" si="63"/>
        <v>1.01</v>
      </c>
      <c r="H422" s="6" t="str">
        <f t="shared" si="58"/>
        <v>INSERT INTO public.coupon (plancode, age, "year", couponrate, benefittype, benefitrate, premiumrate) VALUES('EN60', 33, 40, 8, 'A',800, 1.01);</v>
      </c>
      <c r="I422" s="6" t="str">
        <f t="shared" si="59"/>
        <v>{"age":"33", "year":"40", "couponrate":"8", "benefittype":"A", "benefitrate":"800", "premiumrate":"1.01"}</v>
      </c>
      <c r="J422" s="6" t="str">
        <f t="shared" si="60"/>
        <v>,</v>
      </c>
    </row>
    <row r="423" spans="1:10">
      <c r="A423" s="4" t="str">
        <f>'EN60'!A$3</f>
        <v>EN60</v>
      </c>
      <c r="B423" s="4">
        <f t="shared" si="61"/>
        <v>33</v>
      </c>
      <c r="C423" s="4">
        <f t="shared" si="62"/>
        <v>41</v>
      </c>
      <c r="D423" s="4">
        <f t="shared" si="56"/>
        <v>8</v>
      </c>
      <c r="E423" s="4" t="s">
        <v>27</v>
      </c>
      <c r="F423" s="4">
        <f t="shared" si="57"/>
        <v>800</v>
      </c>
      <c r="G423" s="5">
        <f t="shared" si="63"/>
        <v>1.01</v>
      </c>
      <c r="H423" s="6" t="str">
        <f t="shared" si="58"/>
        <v>INSERT INTO public.coupon (plancode, age, "year", couponrate, benefittype, benefitrate, premiumrate) VALUES('EN60', 33, 41, 8, 'A',800, 1.01);</v>
      </c>
      <c r="I423" s="6" t="str">
        <f t="shared" si="59"/>
        <v>{"age":"33", "year":"41", "couponrate":"8", "benefittype":"A", "benefitrate":"800", "premiumrate":"1.01"}</v>
      </c>
      <c r="J423" s="6" t="str">
        <f t="shared" si="60"/>
        <v>,</v>
      </c>
    </row>
    <row r="424" spans="1:10">
      <c r="A424" s="4" t="str">
        <f>'EN60'!A$3</f>
        <v>EN60</v>
      </c>
      <c r="B424" s="4">
        <f t="shared" si="61"/>
        <v>33</v>
      </c>
      <c r="C424" s="4">
        <f t="shared" si="62"/>
        <v>42</v>
      </c>
      <c r="D424" s="4">
        <f t="shared" si="56"/>
        <v>8</v>
      </c>
      <c r="E424" s="4" t="s">
        <v>27</v>
      </c>
      <c r="F424" s="4">
        <f t="shared" si="57"/>
        <v>800</v>
      </c>
      <c r="G424" s="5">
        <f t="shared" si="63"/>
        <v>1.01</v>
      </c>
      <c r="H424" s="6" t="str">
        <f t="shared" si="58"/>
        <v>INSERT INTO public.coupon (plancode, age, "year", couponrate, benefittype, benefitrate, premiumrate) VALUES('EN60', 33, 42, 8, 'A',800, 1.01);</v>
      </c>
      <c r="I424" s="6" t="str">
        <f t="shared" si="59"/>
        <v>{"age":"33", "year":"42", "couponrate":"8", "benefittype":"A", "benefitrate":"800", "premiumrate":"1.01"}</v>
      </c>
      <c r="J424" s="6" t="str">
        <f t="shared" si="60"/>
        <v>,</v>
      </c>
    </row>
    <row r="425" spans="1:10">
      <c r="A425" s="4" t="str">
        <f>'EN60'!A$3</f>
        <v>EN60</v>
      </c>
      <c r="B425" s="4">
        <f t="shared" si="61"/>
        <v>33</v>
      </c>
      <c r="C425" s="4">
        <f t="shared" si="62"/>
        <v>43</v>
      </c>
      <c r="D425" s="4">
        <f t="shared" si="56"/>
        <v>8</v>
      </c>
      <c r="E425" s="4" t="s">
        <v>27</v>
      </c>
      <c r="F425" s="4">
        <f t="shared" si="57"/>
        <v>800</v>
      </c>
      <c r="G425" s="5">
        <f t="shared" si="63"/>
        <v>1.01</v>
      </c>
      <c r="H425" s="6" t="str">
        <f t="shared" si="58"/>
        <v>INSERT INTO public.coupon (plancode, age, "year", couponrate, benefittype, benefitrate, premiumrate) VALUES('EN60', 33, 43, 8, 'A',800, 1.01);</v>
      </c>
      <c r="I425" s="6" t="str">
        <f t="shared" si="59"/>
        <v>{"age":"33", "year":"43", "couponrate":"8", "benefittype":"A", "benefitrate":"800", "premiumrate":"1.01"}</v>
      </c>
      <c r="J425" s="6" t="str">
        <f t="shared" si="60"/>
        <v>,</v>
      </c>
    </row>
    <row r="426" spans="1:10">
      <c r="A426" s="4" t="str">
        <f>'EN60'!A$3</f>
        <v>EN60</v>
      </c>
      <c r="B426" s="4">
        <f t="shared" si="61"/>
        <v>33</v>
      </c>
      <c r="C426" s="4">
        <f t="shared" si="62"/>
        <v>44</v>
      </c>
      <c r="D426" s="4">
        <f t="shared" si="56"/>
        <v>8</v>
      </c>
      <c r="E426" s="4" t="s">
        <v>27</v>
      </c>
      <c r="F426" s="4">
        <f t="shared" si="57"/>
        <v>800</v>
      </c>
      <c r="G426" s="5">
        <f t="shared" si="63"/>
        <v>1.01</v>
      </c>
      <c r="H426" s="6" t="str">
        <f t="shared" si="58"/>
        <v>INSERT INTO public.coupon (plancode, age, "year", couponrate, benefittype, benefitrate, premiumrate) VALUES('EN60', 33, 44, 8, 'A',800, 1.01);</v>
      </c>
      <c r="I426" s="6" t="str">
        <f t="shared" si="59"/>
        <v>{"age":"33", "year":"44", "couponrate":"8", "benefittype":"A", "benefitrate":"800", "premiumrate":"1.01"}</v>
      </c>
      <c r="J426" s="6" t="str">
        <f t="shared" si="60"/>
        <v>,</v>
      </c>
    </row>
    <row r="427" spans="1:10">
      <c r="A427" s="4" t="str">
        <f>'EN60'!A$3</f>
        <v>EN60</v>
      </c>
      <c r="B427" s="4">
        <f t="shared" si="61"/>
        <v>33</v>
      </c>
      <c r="C427" s="4">
        <f t="shared" si="62"/>
        <v>45</v>
      </c>
      <c r="D427" s="4">
        <f t="shared" si="56"/>
        <v>8</v>
      </c>
      <c r="E427" s="4" t="s">
        <v>27</v>
      </c>
      <c r="F427" s="4">
        <f t="shared" si="57"/>
        <v>800</v>
      </c>
      <c r="G427" s="5">
        <f t="shared" si="63"/>
        <v>1.01</v>
      </c>
      <c r="H427" s="6" t="str">
        <f t="shared" si="58"/>
        <v>INSERT INTO public.coupon (plancode, age, "year", couponrate, benefittype, benefitrate, premiumrate) VALUES('EN60', 33, 45, 8, 'A',800, 1.01);</v>
      </c>
      <c r="I427" s="6" t="str">
        <f t="shared" si="59"/>
        <v>{"age":"33", "year":"45", "couponrate":"8", "benefittype":"A", "benefitrate":"800", "premiumrate":"1.01"}</v>
      </c>
      <c r="J427" s="6" t="str">
        <f t="shared" si="60"/>
        <v>,</v>
      </c>
    </row>
    <row r="428" spans="1:10">
      <c r="A428" s="4" t="str">
        <f>'EN60'!A$3</f>
        <v>EN60</v>
      </c>
      <c r="B428" s="4">
        <f t="shared" si="61"/>
        <v>33</v>
      </c>
      <c r="C428" s="4">
        <f t="shared" si="62"/>
        <v>46</v>
      </c>
      <c r="D428" s="4">
        <f t="shared" si="56"/>
        <v>8</v>
      </c>
      <c r="E428" s="4" t="s">
        <v>27</v>
      </c>
      <c r="F428" s="4">
        <f t="shared" si="57"/>
        <v>800</v>
      </c>
      <c r="G428" s="5">
        <f t="shared" si="63"/>
        <v>1.01</v>
      </c>
      <c r="H428" s="6" t="str">
        <f t="shared" si="58"/>
        <v>INSERT INTO public.coupon (plancode, age, "year", couponrate, benefittype, benefitrate, premiumrate) VALUES('EN60', 33, 46, 8, 'A',800, 1.01);</v>
      </c>
      <c r="I428" s="6" t="str">
        <f t="shared" si="59"/>
        <v>{"age":"33", "year":"46", "couponrate":"8", "benefittype":"A", "benefitrate":"800", "premiumrate":"1.01"}</v>
      </c>
      <c r="J428" s="6" t="str">
        <f t="shared" si="60"/>
        <v>,</v>
      </c>
    </row>
    <row r="429" spans="1:10">
      <c r="A429" s="4" t="str">
        <f>'EN60'!A$3</f>
        <v>EN60</v>
      </c>
      <c r="B429" s="4">
        <f t="shared" si="61"/>
        <v>33</v>
      </c>
      <c r="C429" s="4">
        <f t="shared" si="62"/>
        <v>47</v>
      </c>
      <c r="D429" s="4">
        <f t="shared" si="56"/>
        <v>0</v>
      </c>
      <c r="E429" s="4" t="s">
        <v>27</v>
      </c>
      <c r="F429" s="4">
        <f t="shared" si="57"/>
        <v>800</v>
      </c>
      <c r="G429" s="5">
        <f t="shared" si="63"/>
        <v>1.01</v>
      </c>
      <c r="H429" s="6" t="str">
        <f t="shared" si="58"/>
        <v>INSERT INTO public.coupon (plancode, age, "year", couponrate, benefittype, benefitrate, premiumrate) VALUES('EN60', 33, 47, 0, 'A',800, 1.01);</v>
      </c>
      <c r="I429" s="6" t="str">
        <f t="shared" si="59"/>
        <v>{"age":"33", "year":"47", "couponrate":"0", "benefittype":"A", "benefitrate":"800", "premiumrate":"1.01"}</v>
      </c>
    </row>
    <row r="430" spans="1:10">
      <c r="C430" s="6"/>
      <c r="I430" s="6" t="s">
        <v>28</v>
      </c>
    </row>
    <row r="431" spans="1:10">
      <c r="A431" s="3" t="s">
        <v>2</v>
      </c>
      <c r="B431" s="3" t="s">
        <v>23</v>
      </c>
      <c r="C431" s="3" t="s">
        <v>24</v>
      </c>
      <c r="D431" s="3" t="s">
        <v>25</v>
      </c>
      <c r="E431" s="3" t="s">
        <v>8</v>
      </c>
      <c r="F431" s="3" t="s">
        <v>26</v>
      </c>
      <c r="G431" s="3" t="s">
        <v>4</v>
      </c>
      <c r="I431" s="6" t="str">
        <f>"[{""plancode"":"""&amp;A432&amp;""",""returncash"":"""&amp;B$7&amp;""",""ytable"":"""&amp;C$7&amp;""",""maturerate"":"""&amp;B$3&amp;""",""maturepmrate"":"""&amp;C$3&amp;""",""coupon"":["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432" spans="1:10">
      <c r="A432" s="4" t="str">
        <f>'EN60'!A$3</f>
        <v>EN60</v>
      </c>
      <c r="B432" s="8">
        <v>34</v>
      </c>
      <c r="C432" s="4">
        <v>1</v>
      </c>
      <c r="D432" s="4">
        <f t="shared" ref="D432:D477" si="64">IF(C432+B432=80,0,8)</f>
        <v>8</v>
      </c>
      <c r="E432" s="4" t="s">
        <v>27</v>
      </c>
      <c r="F432" s="4">
        <f t="shared" ref="F432:F477" si="65">IF(C432&gt;7, 800, C432*100)</f>
        <v>100</v>
      </c>
      <c r="G432" s="5">
        <f>'EN60'!C$3</f>
        <v>1.01</v>
      </c>
      <c r="H432" s="6" t="str">
        <f t="shared" ref="H432:H477" si="66">"INSERT INTO public.coupon ("&amp;A$11&amp;", "&amp;B$11&amp;", """&amp;C$11&amp;""", "&amp;D$11&amp;", "&amp;E$11&amp;", "&amp;F$11&amp;", "&amp;G$11&amp;") VALUES('"&amp;A432&amp;"', "&amp;B432&amp;", "&amp;C432&amp;", "&amp;D432&amp;", '"&amp;E432&amp;"',"&amp;F432&amp;", "&amp;G432&amp;");"</f>
        <v>INSERT INTO public.coupon (plancode, age, "year", couponrate, benefittype, benefitrate, premiumrate) VALUES('EN60', 34, 1, 8, 'A',100, 1.01);</v>
      </c>
      <c r="I432" s="6" t="str">
        <f t="shared" ref="I432:I477" si="67">"{""age"":"""&amp;B432&amp;""", ""year"":"""&amp;C432&amp;""", ""couponrate"":"""&amp;D432&amp;""", ""benefittype"":"""&amp;E432&amp;""", ""benefitrate"":"""&amp;F432&amp;""", """&amp;G$11&amp;""":"""&amp;G432&amp;"""}"</f>
        <v>{"age":"34", "year":"1", "couponrate":"8", "benefittype":"A", "benefitrate":"100", "premiumrate":"1.01"}</v>
      </c>
      <c r="J432" s="6" t="str">
        <f t="shared" ref="J432:J476" si="68">IF(OR(I433="]", I432="[", I432="]"), "", ",")</f>
        <v>,</v>
      </c>
    </row>
    <row r="433" spans="1:10">
      <c r="A433" s="4" t="str">
        <f>'EN60'!A$3</f>
        <v>EN60</v>
      </c>
      <c r="B433" s="4">
        <f t="shared" ref="B433:B477" si="69">B432</f>
        <v>34</v>
      </c>
      <c r="C433" s="4">
        <f t="shared" ref="C433:C477" si="70">IF(B433+C432+1&gt;80,"",C432+1)</f>
        <v>2</v>
      </c>
      <c r="D433" s="4">
        <f t="shared" si="64"/>
        <v>8</v>
      </c>
      <c r="E433" s="4" t="s">
        <v>27</v>
      </c>
      <c r="F433" s="4">
        <f t="shared" si="65"/>
        <v>200</v>
      </c>
      <c r="G433" s="5">
        <f t="shared" ref="G433:G477" si="71">G432</f>
        <v>1.01</v>
      </c>
      <c r="H433" s="6" t="str">
        <f t="shared" si="66"/>
        <v>INSERT INTO public.coupon (plancode, age, "year", couponrate, benefittype, benefitrate, premiumrate) VALUES('EN60', 34, 2, 8, 'A',200, 1.01);</v>
      </c>
      <c r="I433" s="6" t="str">
        <f t="shared" si="67"/>
        <v>{"age":"34", "year":"2", "couponrate":"8", "benefittype":"A", "benefitrate":"200", "premiumrate":"1.01"}</v>
      </c>
      <c r="J433" s="6" t="str">
        <f t="shared" si="68"/>
        <v>,</v>
      </c>
    </row>
    <row r="434" spans="1:10">
      <c r="A434" s="4" t="str">
        <f>'EN60'!A$3</f>
        <v>EN60</v>
      </c>
      <c r="B434" s="4">
        <f t="shared" si="69"/>
        <v>34</v>
      </c>
      <c r="C434" s="4">
        <f t="shared" si="70"/>
        <v>3</v>
      </c>
      <c r="D434" s="4">
        <f t="shared" si="64"/>
        <v>8</v>
      </c>
      <c r="E434" s="4" t="s">
        <v>27</v>
      </c>
      <c r="F434" s="4">
        <f t="shared" si="65"/>
        <v>300</v>
      </c>
      <c r="G434" s="5">
        <f t="shared" si="71"/>
        <v>1.01</v>
      </c>
      <c r="H434" s="6" t="str">
        <f t="shared" si="66"/>
        <v>INSERT INTO public.coupon (plancode, age, "year", couponrate, benefittype, benefitrate, premiumrate) VALUES('EN60', 34, 3, 8, 'A',300, 1.01);</v>
      </c>
      <c r="I434" s="6" t="str">
        <f t="shared" si="67"/>
        <v>{"age":"34", "year":"3", "couponrate":"8", "benefittype":"A", "benefitrate":"300", "premiumrate":"1.01"}</v>
      </c>
      <c r="J434" s="6" t="str">
        <f t="shared" si="68"/>
        <v>,</v>
      </c>
    </row>
    <row r="435" spans="1:10">
      <c r="A435" s="4" t="str">
        <f>'EN60'!A$3</f>
        <v>EN60</v>
      </c>
      <c r="B435" s="4">
        <f t="shared" si="69"/>
        <v>34</v>
      </c>
      <c r="C435" s="4">
        <f t="shared" si="70"/>
        <v>4</v>
      </c>
      <c r="D435" s="4">
        <f t="shared" si="64"/>
        <v>8</v>
      </c>
      <c r="E435" s="4" t="s">
        <v>27</v>
      </c>
      <c r="F435" s="4">
        <f t="shared" si="65"/>
        <v>400</v>
      </c>
      <c r="G435" s="5">
        <f t="shared" si="71"/>
        <v>1.01</v>
      </c>
      <c r="H435" s="6" t="str">
        <f t="shared" si="66"/>
        <v>INSERT INTO public.coupon (plancode, age, "year", couponrate, benefittype, benefitrate, premiumrate) VALUES('EN60', 34, 4, 8, 'A',400, 1.01);</v>
      </c>
      <c r="I435" s="6" t="str">
        <f t="shared" si="67"/>
        <v>{"age":"34", "year":"4", "couponrate":"8", "benefittype":"A", "benefitrate":"400", "premiumrate":"1.01"}</v>
      </c>
      <c r="J435" s="6" t="str">
        <f t="shared" si="68"/>
        <v>,</v>
      </c>
    </row>
    <row r="436" spans="1:10">
      <c r="A436" s="4" t="str">
        <f>'EN60'!A$3</f>
        <v>EN60</v>
      </c>
      <c r="B436" s="4">
        <f t="shared" si="69"/>
        <v>34</v>
      </c>
      <c r="C436" s="4">
        <f t="shared" si="70"/>
        <v>5</v>
      </c>
      <c r="D436" s="4">
        <f t="shared" si="64"/>
        <v>8</v>
      </c>
      <c r="E436" s="4" t="s">
        <v>27</v>
      </c>
      <c r="F436" s="4">
        <f t="shared" si="65"/>
        <v>500</v>
      </c>
      <c r="G436" s="5">
        <f t="shared" si="71"/>
        <v>1.01</v>
      </c>
      <c r="H436" s="6" t="str">
        <f t="shared" si="66"/>
        <v>INSERT INTO public.coupon (plancode, age, "year", couponrate, benefittype, benefitrate, premiumrate) VALUES('EN60', 34, 5, 8, 'A',500, 1.01);</v>
      </c>
      <c r="I436" s="6" t="str">
        <f t="shared" si="67"/>
        <v>{"age":"34", "year":"5", "couponrate":"8", "benefittype":"A", "benefitrate":"500", "premiumrate":"1.01"}</v>
      </c>
      <c r="J436" s="6" t="str">
        <f t="shared" si="68"/>
        <v>,</v>
      </c>
    </row>
    <row r="437" spans="1:10">
      <c r="A437" s="4" t="str">
        <f>'EN60'!A$3</f>
        <v>EN60</v>
      </c>
      <c r="B437" s="4">
        <f t="shared" si="69"/>
        <v>34</v>
      </c>
      <c r="C437" s="4">
        <f t="shared" si="70"/>
        <v>6</v>
      </c>
      <c r="D437" s="4">
        <f t="shared" si="64"/>
        <v>8</v>
      </c>
      <c r="E437" s="4" t="s">
        <v>27</v>
      </c>
      <c r="F437" s="4">
        <f t="shared" si="65"/>
        <v>600</v>
      </c>
      <c r="G437" s="5">
        <f t="shared" si="71"/>
        <v>1.01</v>
      </c>
      <c r="H437" s="6" t="str">
        <f t="shared" si="66"/>
        <v>INSERT INTO public.coupon (plancode, age, "year", couponrate, benefittype, benefitrate, premiumrate) VALUES('EN60', 34, 6, 8, 'A',600, 1.01);</v>
      </c>
      <c r="I437" s="6" t="str">
        <f t="shared" si="67"/>
        <v>{"age":"34", "year":"6", "couponrate":"8", "benefittype":"A", "benefitrate":"600", "premiumrate":"1.01"}</v>
      </c>
      <c r="J437" s="6" t="str">
        <f t="shared" si="68"/>
        <v>,</v>
      </c>
    </row>
    <row r="438" spans="1:10">
      <c r="A438" s="4" t="str">
        <f>'EN60'!A$3</f>
        <v>EN60</v>
      </c>
      <c r="B438" s="4">
        <f t="shared" si="69"/>
        <v>34</v>
      </c>
      <c r="C438" s="4">
        <f t="shared" si="70"/>
        <v>7</v>
      </c>
      <c r="D438" s="4">
        <f t="shared" si="64"/>
        <v>8</v>
      </c>
      <c r="E438" s="4" t="s">
        <v>27</v>
      </c>
      <c r="F438" s="4">
        <f t="shared" si="65"/>
        <v>700</v>
      </c>
      <c r="G438" s="5">
        <f t="shared" si="71"/>
        <v>1.01</v>
      </c>
      <c r="H438" s="6" t="str">
        <f t="shared" si="66"/>
        <v>INSERT INTO public.coupon (plancode, age, "year", couponrate, benefittype, benefitrate, premiumrate) VALUES('EN60', 34, 7, 8, 'A',700, 1.01);</v>
      </c>
      <c r="I438" s="6" t="str">
        <f t="shared" si="67"/>
        <v>{"age":"34", "year":"7", "couponrate":"8", "benefittype":"A", "benefitrate":"700", "premiumrate":"1.01"}</v>
      </c>
      <c r="J438" s="6" t="str">
        <f t="shared" si="68"/>
        <v>,</v>
      </c>
    </row>
    <row r="439" spans="1:10">
      <c r="A439" s="4" t="str">
        <f>'EN60'!A$3</f>
        <v>EN60</v>
      </c>
      <c r="B439" s="4">
        <f t="shared" si="69"/>
        <v>34</v>
      </c>
      <c r="C439" s="4">
        <f t="shared" si="70"/>
        <v>8</v>
      </c>
      <c r="D439" s="4">
        <f t="shared" si="64"/>
        <v>8</v>
      </c>
      <c r="E439" s="4" t="s">
        <v>27</v>
      </c>
      <c r="F439" s="4">
        <f t="shared" si="65"/>
        <v>800</v>
      </c>
      <c r="G439" s="5">
        <f t="shared" si="71"/>
        <v>1.01</v>
      </c>
      <c r="H439" s="6" t="str">
        <f t="shared" si="66"/>
        <v>INSERT INTO public.coupon (plancode, age, "year", couponrate, benefittype, benefitrate, premiumrate) VALUES('EN60', 34, 8, 8, 'A',800, 1.01);</v>
      </c>
      <c r="I439" s="6" t="str">
        <f t="shared" si="67"/>
        <v>{"age":"34", "year":"8", "couponrate":"8", "benefittype":"A", "benefitrate":"800", "premiumrate":"1.01"}</v>
      </c>
      <c r="J439" s="6" t="str">
        <f t="shared" si="68"/>
        <v>,</v>
      </c>
    </row>
    <row r="440" spans="1:10">
      <c r="A440" s="4" t="str">
        <f>'EN60'!A$3</f>
        <v>EN60</v>
      </c>
      <c r="B440" s="4">
        <f t="shared" si="69"/>
        <v>34</v>
      </c>
      <c r="C440" s="4">
        <f t="shared" si="70"/>
        <v>9</v>
      </c>
      <c r="D440" s="4">
        <f t="shared" si="64"/>
        <v>8</v>
      </c>
      <c r="E440" s="4" t="s">
        <v>27</v>
      </c>
      <c r="F440" s="4">
        <f t="shared" si="65"/>
        <v>800</v>
      </c>
      <c r="G440" s="5">
        <f t="shared" si="71"/>
        <v>1.01</v>
      </c>
      <c r="H440" s="6" t="str">
        <f t="shared" si="66"/>
        <v>INSERT INTO public.coupon (plancode, age, "year", couponrate, benefittype, benefitrate, premiumrate) VALUES('EN60', 34, 9, 8, 'A',800, 1.01);</v>
      </c>
      <c r="I440" s="6" t="str">
        <f t="shared" si="67"/>
        <v>{"age":"34", "year":"9", "couponrate":"8", "benefittype":"A", "benefitrate":"800", "premiumrate":"1.01"}</v>
      </c>
      <c r="J440" s="6" t="str">
        <f t="shared" si="68"/>
        <v>,</v>
      </c>
    </row>
    <row r="441" spans="1:10">
      <c r="A441" s="4" t="str">
        <f>'EN60'!A$3</f>
        <v>EN60</v>
      </c>
      <c r="B441" s="4">
        <f t="shared" si="69"/>
        <v>34</v>
      </c>
      <c r="C441" s="4">
        <f t="shared" si="70"/>
        <v>10</v>
      </c>
      <c r="D441" s="4">
        <f t="shared" si="64"/>
        <v>8</v>
      </c>
      <c r="E441" s="4" t="s">
        <v>27</v>
      </c>
      <c r="F441" s="4">
        <f t="shared" si="65"/>
        <v>800</v>
      </c>
      <c r="G441" s="5">
        <f t="shared" si="71"/>
        <v>1.01</v>
      </c>
      <c r="H441" s="6" t="str">
        <f t="shared" si="66"/>
        <v>INSERT INTO public.coupon (plancode, age, "year", couponrate, benefittype, benefitrate, premiumrate) VALUES('EN60', 34, 10, 8, 'A',800, 1.01);</v>
      </c>
      <c r="I441" s="6" t="str">
        <f t="shared" si="67"/>
        <v>{"age":"34", "year":"10", "couponrate":"8", "benefittype":"A", "benefitrate":"800", "premiumrate":"1.01"}</v>
      </c>
      <c r="J441" s="6" t="str">
        <f t="shared" si="68"/>
        <v>,</v>
      </c>
    </row>
    <row r="442" spans="1:10">
      <c r="A442" s="4" t="str">
        <f>'EN60'!A$3</f>
        <v>EN60</v>
      </c>
      <c r="B442" s="4">
        <f t="shared" si="69"/>
        <v>34</v>
      </c>
      <c r="C442" s="4">
        <f t="shared" si="70"/>
        <v>11</v>
      </c>
      <c r="D442" s="4">
        <f t="shared" si="64"/>
        <v>8</v>
      </c>
      <c r="E442" s="4" t="s">
        <v>27</v>
      </c>
      <c r="F442" s="4">
        <f t="shared" si="65"/>
        <v>800</v>
      </c>
      <c r="G442" s="5">
        <f t="shared" si="71"/>
        <v>1.01</v>
      </c>
      <c r="H442" s="6" t="str">
        <f t="shared" si="66"/>
        <v>INSERT INTO public.coupon (plancode, age, "year", couponrate, benefittype, benefitrate, premiumrate) VALUES('EN60', 34, 11, 8, 'A',800, 1.01);</v>
      </c>
      <c r="I442" s="6" t="str">
        <f t="shared" si="67"/>
        <v>{"age":"34", "year":"11", "couponrate":"8", "benefittype":"A", "benefitrate":"800", "premiumrate":"1.01"}</v>
      </c>
      <c r="J442" s="6" t="str">
        <f t="shared" si="68"/>
        <v>,</v>
      </c>
    </row>
    <row r="443" spans="1:10">
      <c r="A443" s="4" t="str">
        <f>'EN60'!A$3</f>
        <v>EN60</v>
      </c>
      <c r="B443" s="4">
        <f t="shared" si="69"/>
        <v>34</v>
      </c>
      <c r="C443" s="4">
        <f t="shared" si="70"/>
        <v>12</v>
      </c>
      <c r="D443" s="4">
        <f t="shared" si="64"/>
        <v>8</v>
      </c>
      <c r="E443" s="4" t="s">
        <v>27</v>
      </c>
      <c r="F443" s="4">
        <f t="shared" si="65"/>
        <v>800</v>
      </c>
      <c r="G443" s="5">
        <f t="shared" si="71"/>
        <v>1.01</v>
      </c>
      <c r="H443" s="6" t="str">
        <f t="shared" si="66"/>
        <v>INSERT INTO public.coupon (plancode, age, "year", couponrate, benefittype, benefitrate, premiumrate) VALUES('EN60', 34, 12, 8, 'A',800, 1.01);</v>
      </c>
      <c r="I443" s="6" t="str">
        <f t="shared" si="67"/>
        <v>{"age":"34", "year":"12", "couponrate":"8", "benefittype":"A", "benefitrate":"800", "premiumrate":"1.01"}</v>
      </c>
      <c r="J443" s="6" t="str">
        <f t="shared" si="68"/>
        <v>,</v>
      </c>
    </row>
    <row r="444" spans="1:10">
      <c r="A444" s="4" t="str">
        <f>'EN60'!A$3</f>
        <v>EN60</v>
      </c>
      <c r="B444" s="4">
        <f t="shared" si="69"/>
        <v>34</v>
      </c>
      <c r="C444" s="4">
        <f t="shared" si="70"/>
        <v>13</v>
      </c>
      <c r="D444" s="4">
        <f t="shared" si="64"/>
        <v>8</v>
      </c>
      <c r="E444" s="4" t="s">
        <v>27</v>
      </c>
      <c r="F444" s="4">
        <f t="shared" si="65"/>
        <v>800</v>
      </c>
      <c r="G444" s="5">
        <f t="shared" si="71"/>
        <v>1.01</v>
      </c>
      <c r="H444" s="6" t="str">
        <f t="shared" si="66"/>
        <v>INSERT INTO public.coupon (plancode, age, "year", couponrate, benefittype, benefitrate, premiumrate) VALUES('EN60', 34, 13, 8, 'A',800, 1.01);</v>
      </c>
      <c r="I444" s="6" t="str">
        <f t="shared" si="67"/>
        <v>{"age":"34", "year":"13", "couponrate":"8", "benefittype":"A", "benefitrate":"800", "premiumrate":"1.01"}</v>
      </c>
      <c r="J444" s="6" t="str">
        <f t="shared" si="68"/>
        <v>,</v>
      </c>
    </row>
    <row r="445" spans="1:10">
      <c r="A445" s="4" t="str">
        <f>'EN60'!A$3</f>
        <v>EN60</v>
      </c>
      <c r="B445" s="4">
        <f t="shared" si="69"/>
        <v>34</v>
      </c>
      <c r="C445" s="4">
        <f t="shared" si="70"/>
        <v>14</v>
      </c>
      <c r="D445" s="4">
        <f t="shared" si="64"/>
        <v>8</v>
      </c>
      <c r="E445" s="4" t="s">
        <v>27</v>
      </c>
      <c r="F445" s="4">
        <f t="shared" si="65"/>
        <v>800</v>
      </c>
      <c r="G445" s="5">
        <f t="shared" si="71"/>
        <v>1.01</v>
      </c>
      <c r="H445" s="6" t="str">
        <f t="shared" si="66"/>
        <v>INSERT INTO public.coupon (plancode, age, "year", couponrate, benefittype, benefitrate, premiumrate) VALUES('EN60', 34, 14, 8, 'A',800, 1.01);</v>
      </c>
      <c r="I445" s="6" t="str">
        <f t="shared" si="67"/>
        <v>{"age":"34", "year":"14", "couponrate":"8", "benefittype":"A", "benefitrate":"800", "premiumrate":"1.01"}</v>
      </c>
      <c r="J445" s="6" t="str">
        <f t="shared" si="68"/>
        <v>,</v>
      </c>
    </row>
    <row r="446" spans="1:10">
      <c r="A446" s="4" t="str">
        <f>'EN60'!A$3</f>
        <v>EN60</v>
      </c>
      <c r="B446" s="4">
        <f t="shared" si="69"/>
        <v>34</v>
      </c>
      <c r="C446" s="4">
        <f t="shared" si="70"/>
        <v>15</v>
      </c>
      <c r="D446" s="4">
        <f t="shared" si="64"/>
        <v>8</v>
      </c>
      <c r="E446" s="4" t="s">
        <v>27</v>
      </c>
      <c r="F446" s="4">
        <f t="shared" si="65"/>
        <v>800</v>
      </c>
      <c r="G446" s="5">
        <f t="shared" si="71"/>
        <v>1.01</v>
      </c>
      <c r="H446" s="6" t="str">
        <f t="shared" si="66"/>
        <v>INSERT INTO public.coupon (plancode, age, "year", couponrate, benefittype, benefitrate, premiumrate) VALUES('EN60', 34, 15, 8, 'A',800, 1.01);</v>
      </c>
      <c r="I446" s="6" t="str">
        <f t="shared" si="67"/>
        <v>{"age":"34", "year":"15", "couponrate":"8", "benefittype":"A", "benefitrate":"800", "premiumrate":"1.01"}</v>
      </c>
      <c r="J446" s="6" t="str">
        <f t="shared" si="68"/>
        <v>,</v>
      </c>
    </row>
    <row r="447" spans="1:10">
      <c r="A447" s="4" t="str">
        <f>'EN60'!A$3</f>
        <v>EN60</v>
      </c>
      <c r="B447" s="4">
        <f t="shared" si="69"/>
        <v>34</v>
      </c>
      <c r="C447" s="4">
        <f t="shared" si="70"/>
        <v>16</v>
      </c>
      <c r="D447" s="4">
        <f t="shared" si="64"/>
        <v>8</v>
      </c>
      <c r="E447" s="4" t="s">
        <v>27</v>
      </c>
      <c r="F447" s="4">
        <f t="shared" si="65"/>
        <v>800</v>
      </c>
      <c r="G447" s="5">
        <f t="shared" si="71"/>
        <v>1.01</v>
      </c>
      <c r="H447" s="6" t="str">
        <f t="shared" si="66"/>
        <v>INSERT INTO public.coupon (plancode, age, "year", couponrate, benefittype, benefitrate, premiumrate) VALUES('EN60', 34, 16, 8, 'A',800, 1.01);</v>
      </c>
      <c r="I447" s="6" t="str">
        <f t="shared" si="67"/>
        <v>{"age":"34", "year":"16", "couponrate":"8", "benefittype":"A", "benefitrate":"800", "premiumrate":"1.01"}</v>
      </c>
      <c r="J447" s="6" t="str">
        <f t="shared" si="68"/>
        <v>,</v>
      </c>
    </row>
    <row r="448" spans="1:10">
      <c r="A448" s="4" t="str">
        <f>'EN60'!A$3</f>
        <v>EN60</v>
      </c>
      <c r="B448" s="4">
        <f t="shared" si="69"/>
        <v>34</v>
      </c>
      <c r="C448" s="4">
        <f t="shared" si="70"/>
        <v>17</v>
      </c>
      <c r="D448" s="4">
        <f t="shared" si="64"/>
        <v>8</v>
      </c>
      <c r="E448" s="4" t="s">
        <v>27</v>
      </c>
      <c r="F448" s="4">
        <f t="shared" si="65"/>
        <v>800</v>
      </c>
      <c r="G448" s="5">
        <f t="shared" si="71"/>
        <v>1.01</v>
      </c>
      <c r="H448" s="6" t="str">
        <f t="shared" si="66"/>
        <v>INSERT INTO public.coupon (plancode, age, "year", couponrate, benefittype, benefitrate, premiumrate) VALUES('EN60', 34, 17, 8, 'A',800, 1.01);</v>
      </c>
      <c r="I448" s="6" t="str">
        <f t="shared" si="67"/>
        <v>{"age":"34", "year":"17", "couponrate":"8", "benefittype":"A", "benefitrate":"800", "premiumrate":"1.01"}</v>
      </c>
      <c r="J448" s="6" t="str">
        <f t="shared" si="68"/>
        <v>,</v>
      </c>
    </row>
    <row r="449" spans="1:10">
      <c r="A449" s="4" t="str">
        <f>'EN60'!A$3</f>
        <v>EN60</v>
      </c>
      <c r="B449" s="4">
        <f t="shared" si="69"/>
        <v>34</v>
      </c>
      <c r="C449" s="4">
        <f t="shared" si="70"/>
        <v>18</v>
      </c>
      <c r="D449" s="4">
        <f t="shared" si="64"/>
        <v>8</v>
      </c>
      <c r="E449" s="4" t="s">
        <v>27</v>
      </c>
      <c r="F449" s="4">
        <f t="shared" si="65"/>
        <v>800</v>
      </c>
      <c r="G449" s="5">
        <f t="shared" si="71"/>
        <v>1.01</v>
      </c>
      <c r="H449" s="6" t="str">
        <f t="shared" si="66"/>
        <v>INSERT INTO public.coupon (plancode, age, "year", couponrate, benefittype, benefitrate, premiumrate) VALUES('EN60', 34, 18, 8, 'A',800, 1.01);</v>
      </c>
      <c r="I449" s="6" t="str">
        <f t="shared" si="67"/>
        <v>{"age":"34", "year":"18", "couponrate":"8", "benefittype":"A", "benefitrate":"800", "premiumrate":"1.01"}</v>
      </c>
      <c r="J449" s="6" t="str">
        <f t="shared" si="68"/>
        <v>,</v>
      </c>
    </row>
    <row r="450" spans="1:10">
      <c r="A450" s="4" t="str">
        <f>'EN60'!A$3</f>
        <v>EN60</v>
      </c>
      <c r="B450" s="4">
        <f t="shared" si="69"/>
        <v>34</v>
      </c>
      <c r="C450" s="4">
        <f t="shared" si="70"/>
        <v>19</v>
      </c>
      <c r="D450" s="4">
        <f t="shared" si="64"/>
        <v>8</v>
      </c>
      <c r="E450" s="4" t="s">
        <v>27</v>
      </c>
      <c r="F450" s="4">
        <f t="shared" si="65"/>
        <v>800</v>
      </c>
      <c r="G450" s="5">
        <f t="shared" si="71"/>
        <v>1.01</v>
      </c>
      <c r="H450" s="6" t="str">
        <f t="shared" si="66"/>
        <v>INSERT INTO public.coupon (plancode, age, "year", couponrate, benefittype, benefitrate, premiumrate) VALUES('EN60', 34, 19, 8, 'A',800, 1.01);</v>
      </c>
      <c r="I450" s="6" t="str">
        <f t="shared" si="67"/>
        <v>{"age":"34", "year":"19", "couponrate":"8", "benefittype":"A", "benefitrate":"800", "premiumrate":"1.01"}</v>
      </c>
      <c r="J450" s="6" t="str">
        <f t="shared" si="68"/>
        <v>,</v>
      </c>
    </row>
    <row r="451" spans="1:10">
      <c r="A451" s="4" t="str">
        <f>'EN60'!A$3</f>
        <v>EN60</v>
      </c>
      <c r="B451" s="4">
        <f t="shared" si="69"/>
        <v>34</v>
      </c>
      <c r="C451" s="4">
        <f t="shared" si="70"/>
        <v>20</v>
      </c>
      <c r="D451" s="4">
        <f t="shared" si="64"/>
        <v>8</v>
      </c>
      <c r="E451" s="4" t="s">
        <v>27</v>
      </c>
      <c r="F451" s="4">
        <f t="shared" si="65"/>
        <v>800</v>
      </c>
      <c r="G451" s="5">
        <f t="shared" si="71"/>
        <v>1.01</v>
      </c>
      <c r="H451" s="6" t="str">
        <f t="shared" si="66"/>
        <v>INSERT INTO public.coupon (plancode, age, "year", couponrate, benefittype, benefitrate, premiumrate) VALUES('EN60', 34, 20, 8, 'A',800, 1.01);</v>
      </c>
      <c r="I451" s="6" t="str">
        <f t="shared" si="67"/>
        <v>{"age":"34", "year":"20", "couponrate":"8", "benefittype":"A", "benefitrate":"800", "premiumrate":"1.01"}</v>
      </c>
      <c r="J451" s="6" t="str">
        <f t="shared" si="68"/>
        <v>,</v>
      </c>
    </row>
    <row r="452" spans="1:10">
      <c r="A452" s="4" t="str">
        <f>'EN60'!A$3</f>
        <v>EN60</v>
      </c>
      <c r="B452" s="4">
        <f t="shared" si="69"/>
        <v>34</v>
      </c>
      <c r="C452" s="4">
        <f t="shared" si="70"/>
        <v>21</v>
      </c>
      <c r="D452" s="4">
        <f t="shared" si="64"/>
        <v>8</v>
      </c>
      <c r="E452" s="4" t="s">
        <v>27</v>
      </c>
      <c r="F452" s="4">
        <f t="shared" si="65"/>
        <v>800</v>
      </c>
      <c r="G452" s="5">
        <f t="shared" si="71"/>
        <v>1.01</v>
      </c>
      <c r="H452" s="6" t="str">
        <f t="shared" si="66"/>
        <v>INSERT INTO public.coupon (plancode, age, "year", couponrate, benefittype, benefitrate, premiumrate) VALUES('EN60', 34, 21, 8, 'A',800, 1.01);</v>
      </c>
      <c r="I452" s="6" t="str">
        <f t="shared" si="67"/>
        <v>{"age":"34", "year":"21", "couponrate":"8", "benefittype":"A", "benefitrate":"800", "premiumrate":"1.01"}</v>
      </c>
      <c r="J452" s="6" t="str">
        <f t="shared" si="68"/>
        <v>,</v>
      </c>
    </row>
    <row r="453" spans="1:10">
      <c r="A453" s="4" t="str">
        <f>'EN60'!A$3</f>
        <v>EN60</v>
      </c>
      <c r="B453" s="4">
        <f t="shared" si="69"/>
        <v>34</v>
      </c>
      <c r="C453" s="4">
        <f t="shared" si="70"/>
        <v>22</v>
      </c>
      <c r="D453" s="4">
        <f t="shared" si="64"/>
        <v>8</v>
      </c>
      <c r="E453" s="4" t="s">
        <v>27</v>
      </c>
      <c r="F453" s="4">
        <f t="shared" si="65"/>
        <v>800</v>
      </c>
      <c r="G453" s="5">
        <f t="shared" si="71"/>
        <v>1.01</v>
      </c>
      <c r="H453" s="6" t="str">
        <f t="shared" si="66"/>
        <v>INSERT INTO public.coupon (plancode, age, "year", couponrate, benefittype, benefitrate, premiumrate) VALUES('EN60', 34, 22, 8, 'A',800, 1.01);</v>
      </c>
      <c r="I453" s="6" t="str">
        <f t="shared" si="67"/>
        <v>{"age":"34", "year":"22", "couponrate":"8", "benefittype":"A", "benefitrate":"800", "premiumrate":"1.01"}</v>
      </c>
      <c r="J453" s="6" t="str">
        <f t="shared" si="68"/>
        <v>,</v>
      </c>
    </row>
    <row r="454" spans="1:10">
      <c r="A454" s="4" t="str">
        <f>'EN60'!A$3</f>
        <v>EN60</v>
      </c>
      <c r="B454" s="4">
        <f t="shared" si="69"/>
        <v>34</v>
      </c>
      <c r="C454" s="4">
        <f t="shared" si="70"/>
        <v>23</v>
      </c>
      <c r="D454" s="4">
        <f t="shared" si="64"/>
        <v>8</v>
      </c>
      <c r="E454" s="4" t="s">
        <v>27</v>
      </c>
      <c r="F454" s="4">
        <f t="shared" si="65"/>
        <v>800</v>
      </c>
      <c r="G454" s="5">
        <f t="shared" si="71"/>
        <v>1.01</v>
      </c>
      <c r="H454" s="6" t="str">
        <f t="shared" si="66"/>
        <v>INSERT INTO public.coupon (plancode, age, "year", couponrate, benefittype, benefitrate, premiumrate) VALUES('EN60', 34, 23, 8, 'A',800, 1.01);</v>
      </c>
      <c r="I454" s="6" t="str">
        <f t="shared" si="67"/>
        <v>{"age":"34", "year":"23", "couponrate":"8", "benefittype":"A", "benefitrate":"800", "premiumrate":"1.01"}</v>
      </c>
      <c r="J454" s="6" t="str">
        <f t="shared" si="68"/>
        <v>,</v>
      </c>
    </row>
    <row r="455" spans="1:10">
      <c r="A455" s="4" t="str">
        <f>'EN60'!A$3</f>
        <v>EN60</v>
      </c>
      <c r="B455" s="4">
        <f t="shared" si="69"/>
        <v>34</v>
      </c>
      <c r="C455" s="4">
        <f t="shared" si="70"/>
        <v>24</v>
      </c>
      <c r="D455" s="4">
        <f t="shared" si="64"/>
        <v>8</v>
      </c>
      <c r="E455" s="4" t="s">
        <v>27</v>
      </c>
      <c r="F455" s="4">
        <f t="shared" si="65"/>
        <v>800</v>
      </c>
      <c r="G455" s="5">
        <f t="shared" si="71"/>
        <v>1.01</v>
      </c>
      <c r="H455" s="6" t="str">
        <f t="shared" si="66"/>
        <v>INSERT INTO public.coupon (plancode, age, "year", couponrate, benefittype, benefitrate, premiumrate) VALUES('EN60', 34, 24, 8, 'A',800, 1.01);</v>
      </c>
      <c r="I455" s="6" t="str">
        <f t="shared" si="67"/>
        <v>{"age":"34", "year":"24", "couponrate":"8", "benefittype":"A", "benefitrate":"800", "premiumrate":"1.01"}</v>
      </c>
      <c r="J455" s="6" t="str">
        <f t="shared" si="68"/>
        <v>,</v>
      </c>
    </row>
    <row r="456" spans="1:10">
      <c r="A456" s="4" t="str">
        <f>'EN60'!A$3</f>
        <v>EN60</v>
      </c>
      <c r="B456" s="4">
        <f t="shared" si="69"/>
        <v>34</v>
      </c>
      <c r="C456" s="4">
        <f t="shared" si="70"/>
        <v>25</v>
      </c>
      <c r="D456" s="4">
        <f t="shared" si="64"/>
        <v>8</v>
      </c>
      <c r="E456" s="4" t="s">
        <v>27</v>
      </c>
      <c r="F456" s="4">
        <f t="shared" si="65"/>
        <v>800</v>
      </c>
      <c r="G456" s="5">
        <f t="shared" si="71"/>
        <v>1.01</v>
      </c>
      <c r="H456" s="6" t="str">
        <f t="shared" si="66"/>
        <v>INSERT INTO public.coupon (plancode, age, "year", couponrate, benefittype, benefitrate, premiumrate) VALUES('EN60', 34, 25, 8, 'A',800, 1.01);</v>
      </c>
      <c r="I456" s="6" t="str">
        <f t="shared" si="67"/>
        <v>{"age":"34", "year":"25", "couponrate":"8", "benefittype":"A", "benefitrate":"800", "premiumrate":"1.01"}</v>
      </c>
      <c r="J456" s="6" t="str">
        <f t="shared" si="68"/>
        <v>,</v>
      </c>
    </row>
    <row r="457" spans="1:10">
      <c r="A457" s="4" t="str">
        <f>'EN60'!A$3</f>
        <v>EN60</v>
      </c>
      <c r="B457" s="4">
        <f t="shared" si="69"/>
        <v>34</v>
      </c>
      <c r="C457" s="4">
        <f t="shared" si="70"/>
        <v>26</v>
      </c>
      <c r="D457" s="4">
        <f t="shared" si="64"/>
        <v>8</v>
      </c>
      <c r="E457" s="4" t="s">
        <v>27</v>
      </c>
      <c r="F457" s="4">
        <f t="shared" si="65"/>
        <v>800</v>
      </c>
      <c r="G457" s="5">
        <f t="shared" si="71"/>
        <v>1.01</v>
      </c>
      <c r="H457" s="6" t="str">
        <f t="shared" si="66"/>
        <v>INSERT INTO public.coupon (plancode, age, "year", couponrate, benefittype, benefitrate, premiumrate) VALUES('EN60', 34, 26, 8, 'A',800, 1.01);</v>
      </c>
      <c r="I457" s="6" t="str">
        <f t="shared" si="67"/>
        <v>{"age":"34", "year":"26", "couponrate":"8", "benefittype":"A", "benefitrate":"800", "premiumrate":"1.01"}</v>
      </c>
      <c r="J457" s="6" t="str">
        <f t="shared" si="68"/>
        <v>,</v>
      </c>
    </row>
    <row r="458" spans="1:10">
      <c r="A458" s="4" t="str">
        <f>'EN60'!A$3</f>
        <v>EN60</v>
      </c>
      <c r="B458" s="4">
        <f t="shared" si="69"/>
        <v>34</v>
      </c>
      <c r="C458" s="4">
        <f t="shared" si="70"/>
        <v>27</v>
      </c>
      <c r="D458" s="4">
        <f t="shared" si="64"/>
        <v>8</v>
      </c>
      <c r="E458" s="4" t="s">
        <v>27</v>
      </c>
      <c r="F458" s="4">
        <f t="shared" si="65"/>
        <v>800</v>
      </c>
      <c r="G458" s="5">
        <f t="shared" si="71"/>
        <v>1.01</v>
      </c>
      <c r="H458" s="6" t="str">
        <f t="shared" si="66"/>
        <v>INSERT INTO public.coupon (plancode, age, "year", couponrate, benefittype, benefitrate, premiumrate) VALUES('EN60', 34, 27, 8, 'A',800, 1.01);</v>
      </c>
      <c r="I458" s="6" t="str">
        <f t="shared" si="67"/>
        <v>{"age":"34", "year":"27", "couponrate":"8", "benefittype":"A", "benefitrate":"800", "premiumrate":"1.01"}</v>
      </c>
      <c r="J458" s="6" t="str">
        <f t="shared" si="68"/>
        <v>,</v>
      </c>
    </row>
    <row r="459" spans="1:10">
      <c r="A459" s="4" t="str">
        <f>'EN60'!A$3</f>
        <v>EN60</v>
      </c>
      <c r="B459" s="4">
        <f t="shared" si="69"/>
        <v>34</v>
      </c>
      <c r="C459" s="4">
        <f t="shared" si="70"/>
        <v>28</v>
      </c>
      <c r="D459" s="4">
        <f t="shared" si="64"/>
        <v>8</v>
      </c>
      <c r="E459" s="4" t="s">
        <v>27</v>
      </c>
      <c r="F459" s="4">
        <f t="shared" si="65"/>
        <v>800</v>
      </c>
      <c r="G459" s="5">
        <f t="shared" si="71"/>
        <v>1.01</v>
      </c>
      <c r="H459" s="6" t="str">
        <f t="shared" si="66"/>
        <v>INSERT INTO public.coupon (plancode, age, "year", couponrate, benefittype, benefitrate, premiumrate) VALUES('EN60', 34, 28, 8, 'A',800, 1.01);</v>
      </c>
      <c r="I459" s="6" t="str">
        <f t="shared" si="67"/>
        <v>{"age":"34", "year":"28", "couponrate":"8", "benefittype":"A", "benefitrate":"800", "premiumrate":"1.01"}</v>
      </c>
      <c r="J459" s="6" t="str">
        <f t="shared" si="68"/>
        <v>,</v>
      </c>
    </row>
    <row r="460" spans="1:10">
      <c r="A460" s="4" t="str">
        <f>'EN60'!A$3</f>
        <v>EN60</v>
      </c>
      <c r="B460" s="4">
        <f t="shared" si="69"/>
        <v>34</v>
      </c>
      <c r="C460" s="4">
        <f t="shared" si="70"/>
        <v>29</v>
      </c>
      <c r="D460" s="4">
        <f t="shared" si="64"/>
        <v>8</v>
      </c>
      <c r="E460" s="4" t="s">
        <v>27</v>
      </c>
      <c r="F460" s="4">
        <f t="shared" si="65"/>
        <v>800</v>
      </c>
      <c r="G460" s="5">
        <f t="shared" si="71"/>
        <v>1.01</v>
      </c>
      <c r="H460" s="6" t="str">
        <f t="shared" si="66"/>
        <v>INSERT INTO public.coupon (plancode, age, "year", couponrate, benefittype, benefitrate, premiumrate) VALUES('EN60', 34, 29, 8, 'A',800, 1.01);</v>
      </c>
      <c r="I460" s="6" t="str">
        <f t="shared" si="67"/>
        <v>{"age":"34", "year":"29", "couponrate":"8", "benefittype":"A", "benefitrate":"800", "premiumrate":"1.01"}</v>
      </c>
      <c r="J460" s="6" t="str">
        <f t="shared" si="68"/>
        <v>,</v>
      </c>
    </row>
    <row r="461" spans="1:10">
      <c r="A461" s="4" t="str">
        <f>'EN60'!A$3</f>
        <v>EN60</v>
      </c>
      <c r="B461" s="4">
        <f t="shared" si="69"/>
        <v>34</v>
      </c>
      <c r="C461" s="4">
        <f t="shared" si="70"/>
        <v>30</v>
      </c>
      <c r="D461" s="4">
        <f t="shared" si="64"/>
        <v>8</v>
      </c>
      <c r="E461" s="4" t="s">
        <v>27</v>
      </c>
      <c r="F461" s="4">
        <f t="shared" si="65"/>
        <v>800</v>
      </c>
      <c r="G461" s="5">
        <f t="shared" si="71"/>
        <v>1.01</v>
      </c>
      <c r="H461" s="6" t="str">
        <f t="shared" si="66"/>
        <v>INSERT INTO public.coupon (plancode, age, "year", couponrate, benefittype, benefitrate, premiumrate) VALUES('EN60', 34, 30, 8, 'A',800, 1.01);</v>
      </c>
      <c r="I461" s="6" t="str">
        <f t="shared" si="67"/>
        <v>{"age":"34", "year":"30", "couponrate":"8", "benefittype":"A", "benefitrate":"800", "premiumrate":"1.01"}</v>
      </c>
      <c r="J461" s="6" t="str">
        <f t="shared" si="68"/>
        <v>,</v>
      </c>
    </row>
    <row r="462" spans="1:10">
      <c r="A462" s="4" t="str">
        <f>'EN60'!A$3</f>
        <v>EN60</v>
      </c>
      <c r="B462" s="4">
        <f t="shared" si="69"/>
        <v>34</v>
      </c>
      <c r="C462" s="4">
        <f t="shared" si="70"/>
        <v>31</v>
      </c>
      <c r="D462" s="4">
        <f t="shared" si="64"/>
        <v>8</v>
      </c>
      <c r="E462" s="4" t="s">
        <v>27</v>
      </c>
      <c r="F462" s="4">
        <f t="shared" si="65"/>
        <v>800</v>
      </c>
      <c r="G462" s="5">
        <f t="shared" si="71"/>
        <v>1.01</v>
      </c>
      <c r="H462" s="6" t="str">
        <f t="shared" si="66"/>
        <v>INSERT INTO public.coupon (plancode, age, "year", couponrate, benefittype, benefitrate, premiumrate) VALUES('EN60', 34, 31, 8, 'A',800, 1.01);</v>
      </c>
      <c r="I462" s="6" t="str">
        <f t="shared" si="67"/>
        <v>{"age":"34", "year":"31", "couponrate":"8", "benefittype":"A", "benefitrate":"800", "premiumrate":"1.01"}</v>
      </c>
      <c r="J462" s="6" t="str">
        <f t="shared" si="68"/>
        <v>,</v>
      </c>
    </row>
    <row r="463" spans="1:10">
      <c r="A463" s="4" t="str">
        <f>'EN60'!A$3</f>
        <v>EN60</v>
      </c>
      <c r="B463" s="4">
        <f t="shared" si="69"/>
        <v>34</v>
      </c>
      <c r="C463" s="4">
        <f t="shared" si="70"/>
        <v>32</v>
      </c>
      <c r="D463" s="4">
        <f t="shared" si="64"/>
        <v>8</v>
      </c>
      <c r="E463" s="4" t="s">
        <v>27</v>
      </c>
      <c r="F463" s="4">
        <f t="shared" si="65"/>
        <v>800</v>
      </c>
      <c r="G463" s="5">
        <f t="shared" si="71"/>
        <v>1.01</v>
      </c>
      <c r="H463" s="6" t="str">
        <f t="shared" si="66"/>
        <v>INSERT INTO public.coupon (plancode, age, "year", couponrate, benefittype, benefitrate, premiumrate) VALUES('EN60', 34, 32, 8, 'A',800, 1.01);</v>
      </c>
      <c r="I463" s="6" t="str">
        <f t="shared" si="67"/>
        <v>{"age":"34", "year":"32", "couponrate":"8", "benefittype":"A", "benefitrate":"800", "premiumrate":"1.01"}</v>
      </c>
      <c r="J463" s="6" t="str">
        <f t="shared" si="68"/>
        <v>,</v>
      </c>
    </row>
    <row r="464" spans="1:10">
      <c r="A464" s="4" t="str">
        <f>'EN60'!A$3</f>
        <v>EN60</v>
      </c>
      <c r="B464" s="4">
        <f t="shared" si="69"/>
        <v>34</v>
      </c>
      <c r="C464" s="4">
        <f t="shared" si="70"/>
        <v>33</v>
      </c>
      <c r="D464" s="4">
        <f t="shared" si="64"/>
        <v>8</v>
      </c>
      <c r="E464" s="4" t="s">
        <v>27</v>
      </c>
      <c r="F464" s="4">
        <f t="shared" si="65"/>
        <v>800</v>
      </c>
      <c r="G464" s="5">
        <f t="shared" si="71"/>
        <v>1.01</v>
      </c>
      <c r="H464" s="6" t="str">
        <f t="shared" si="66"/>
        <v>INSERT INTO public.coupon (plancode, age, "year", couponrate, benefittype, benefitrate, premiumrate) VALUES('EN60', 34, 33, 8, 'A',800, 1.01);</v>
      </c>
      <c r="I464" s="6" t="str">
        <f t="shared" si="67"/>
        <v>{"age":"34", "year":"33", "couponrate":"8", "benefittype":"A", "benefitrate":"800", "premiumrate":"1.01"}</v>
      </c>
      <c r="J464" s="6" t="str">
        <f t="shared" si="68"/>
        <v>,</v>
      </c>
    </row>
    <row r="465" spans="1:10">
      <c r="A465" s="4" t="str">
        <f>'EN60'!A$3</f>
        <v>EN60</v>
      </c>
      <c r="B465" s="4">
        <f t="shared" si="69"/>
        <v>34</v>
      </c>
      <c r="C465" s="4">
        <f t="shared" si="70"/>
        <v>34</v>
      </c>
      <c r="D465" s="4">
        <f t="shared" si="64"/>
        <v>8</v>
      </c>
      <c r="E465" s="4" t="s">
        <v>27</v>
      </c>
      <c r="F465" s="4">
        <f t="shared" si="65"/>
        <v>800</v>
      </c>
      <c r="G465" s="5">
        <f t="shared" si="71"/>
        <v>1.01</v>
      </c>
      <c r="H465" s="6" t="str">
        <f t="shared" si="66"/>
        <v>INSERT INTO public.coupon (plancode, age, "year", couponrate, benefittype, benefitrate, premiumrate) VALUES('EN60', 34, 34, 8, 'A',800, 1.01);</v>
      </c>
      <c r="I465" s="6" t="str">
        <f t="shared" si="67"/>
        <v>{"age":"34", "year":"34", "couponrate":"8", "benefittype":"A", "benefitrate":"800", "premiumrate":"1.01"}</v>
      </c>
      <c r="J465" s="6" t="str">
        <f t="shared" si="68"/>
        <v>,</v>
      </c>
    </row>
    <row r="466" spans="1:10">
      <c r="A466" s="4" t="str">
        <f>'EN60'!A$3</f>
        <v>EN60</v>
      </c>
      <c r="B466" s="4">
        <f t="shared" si="69"/>
        <v>34</v>
      </c>
      <c r="C466" s="4">
        <f t="shared" si="70"/>
        <v>35</v>
      </c>
      <c r="D466" s="4">
        <f t="shared" si="64"/>
        <v>8</v>
      </c>
      <c r="E466" s="4" t="s">
        <v>27</v>
      </c>
      <c r="F466" s="4">
        <f t="shared" si="65"/>
        <v>800</v>
      </c>
      <c r="G466" s="5">
        <f t="shared" si="71"/>
        <v>1.01</v>
      </c>
      <c r="H466" s="6" t="str">
        <f t="shared" si="66"/>
        <v>INSERT INTO public.coupon (plancode, age, "year", couponrate, benefittype, benefitrate, premiumrate) VALUES('EN60', 34, 35, 8, 'A',800, 1.01);</v>
      </c>
      <c r="I466" s="6" t="str">
        <f t="shared" si="67"/>
        <v>{"age":"34", "year":"35", "couponrate":"8", "benefittype":"A", "benefitrate":"800", "premiumrate":"1.01"}</v>
      </c>
      <c r="J466" s="6" t="str">
        <f t="shared" si="68"/>
        <v>,</v>
      </c>
    </row>
    <row r="467" spans="1:10">
      <c r="A467" s="4" t="str">
        <f>'EN60'!A$3</f>
        <v>EN60</v>
      </c>
      <c r="B467" s="4">
        <f t="shared" si="69"/>
        <v>34</v>
      </c>
      <c r="C467" s="4">
        <f t="shared" si="70"/>
        <v>36</v>
      </c>
      <c r="D467" s="4">
        <f t="shared" si="64"/>
        <v>8</v>
      </c>
      <c r="E467" s="4" t="s">
        <v>27</v>
      </c>
      <c r="F467" s="4">
        <f t="shared" si="65"/>
        <v>800</v>
      </c>
      <c r="G467" s="5">
        <f t="shared" si="71"/>
        <v>1.01</v>
      </c>
      <c r="H467" s="6" t="str">
        <f t="shared" si="66"/>
        <v>INSERT INTO public.coupon (plancode, age, "year", couponrate, benefittype, benefitrate, premiumrate) VALUES('EN60', 34, 36, 8, 'A',800, 1.01);</v>
      </c>
      <c r="I467" s="6" t="str">
        <f t="shared" si="67"/>
        <v>{"age":"34", "year":"36", "couponrate":"8", "benefittype":"A", "benefitrate":"800", "premiumrate":"1.01"}</v>
      </c>
      <c r="J467" s="6" t="str">
        <f t="shared" si="68"/>
        <v>,</v>
      </c>
    </row>
    <row r="468" spans="1:10">
      <c r="A468" s="4" t="str">
        <f>'EN60'!A$3</f>
        <v>EN60</v>
      </c>
      <c r="B468" s="4">
        <f t="shared" si="69"/>
        <v>34</v>
      </c>
      <c r="C468" s="4">
        <f t="shared" si="70"/>
        <v>37</v>
      </c>
      <c r="D468" s="4">
        <f t="shared" si="64"/>
        <v>8</v>
      </c>
      <c r="E468" s="4" t="s">
        <v>27</v>
      </c>
      <c r="F468" s="4">
        <f t="shared" si="65"/>
        <v>800</v>
      </c>
      <c r="G468" s="5">
        <f t="shared" si="71"/>
        <v>1.01</v>
      </c>
      <c r="H468" s="6" t="str">
        <f t="shared" si="66"/>
        <v>INSERT INTO public.coupon (plancode, age, "year", couponrate, benefittype, benefitrate, premiumrate) VALUES('EN60', 34, 37, 8, 'A',800, 1.01);</v>
      </c>
      <c r="I468" s="6" t="str">
        <f t="shared" si="67"/>
        <v>{"age":"34", "year":"37", "couponrate":"8", "benefittype":"A", "benefitrate":"800", "premiumrate":"1.01"}</v>
      </c>
      <c r="J468" s="6" t="str">
        <f t="shared" si="68"/>
        <v>,</v>
      </c>
    </row>
    <row r="469" spans="1:10">
      <c r="A469" s="4" t="str">
        <f>'EN60'!A$3</f>
        <v>EN60</v>
      </c>
      <c r="B469" s="4">
        <f t="shared" si="69"/>
        <v>34</v>
      </c>
      <c r="C469" s="4">
        <f t="shared" si="70"/>
        <v>38</v>
      </c>
      <c r="D469" s="4">
        <f t="shared" si="64"/>
        <v>8</v>
      </c>
      <c r="E469" s="4" t="s">
        <v>27</v>
      </c>
      <c r="F469" s="4">
        <f t="shared" si="65"/>
        <v>800</v>
      </c>
      <c r="G469" s="5">
        <f t="shared" si="71"/>
        <v>1.01</v>
      </c>
      <c r="H469" s="6" t="str">
        <f t="shared" si="66"/>
        <v>INSERT INTO public.coupon (plancode, age, "year", couponrate, benefittype, benefitrate, premiumrate) VALUES('EN60', 34, 38, 8, 'A',800, 1.01);</v>
      </c>
      <c r="I469" s="6" t="str">
        <f t="shared" si="67"/>
        <v>{"age":"34", "year":"38", "couponrate":"8", "benefittype":"A", "benefitrate":"800", "premiumrate":"1.01"}</v>
      </c>
      <c r="J469" s="6" t="str">
        <f t="shared" si="68"/>
        <v>,</v>
      </c>
    </row>
    <row r="470" spans="1:10">
      <c r="A470" s="4" t="str">
        <f>'EN60'!A$3</f>
        <v>EN60</v>
      </c>
      <c r="B470" s="4">
        <f t="shared" si="69"/>
        <v>34</v>
      </c>
      <c r="C470" s="4">
        <f t="shared" si="70"/>
        <v>39</v>
      </c>
      <c r="D470" s="4">
        <f t="shared" si="64"/>
        <v>8</v>
      </c>
      <c r="E470" s="4" t="s">
        <v>27</v>
      </c>
      <c r="F470" s="4">
        <f t="shared" si="65"/>
        <v>800</v>
      </c>
      <c r="G470" s="5">
        <f t="shared" si="71"/>
        <v>1.01</v>
      </c>
      <c r="H470" s="6" t="str">
        <f t="shared" si="66"/>
        <v>INSERT INTO public.coupon (plancode, age, "year", couponrate, benefittype, benefitrate, premiumrate) VALUES('EN60', 34, 39, 8, 'A',800, 1.01);</v>
      </c>
      <c r="I470" s="6" t="str">
        <f t="shared" si="67"/>
        <v>{"age":"34", "year":"39", "couponrate":"8", "benefittype":"A", "benefitrate":"800", "premiumrate":"1.01"}</v>
      </c>
      <c r="J470" s="6" t="str">
        <f t="shared" si="68"/>
        <v>,</v>
      </c>
    </row>
    <row r="471" spans="1:10">
      <c r="A471" s="4" t="str">
        <f>'EN60'!A$3</f>
        <v>EN60</v>
      </c>
      <c r="B471" s="4">
        <f t="shared" si="69"/>
        <v>34</v>
      </c>
      <c r="C471" s="4">
        <f t="shared" si="70"/>
        <v>40</v>
      </c>
      <c r="D471" s="4">
        <f t="shared" si="64"/>
        <v>8</v>
      </c>
      <c r="E471" s="4" t="s">
        <v>27</v>
      </c>
      <c r="F471" s="4">
        <f t="shared" si="65"/>
        <v>800</v>
      </c>
      <c r="G471" s="5">
        <f t="shared" si="71"/>
        <v>1.01</v>
      </c>
      <c r="H471" s="6" t="str">
        <f t="shared" si="66"/>
        <v>INSERT INTO public.coupon (plancode, age, "year", couponrate, benefittype, benefitrate, premiumrate) VALUES('EN60', 34, 40, 8, 'A',800, 1.01);</v>
      </c>
      <c r="I471" s="6" t="str">
        <f t="shared" si="67"/>
        <v>{"age":"34", "year":"40", "couponrate":"8", "benefittype":"A", "benefitrate":"800", "premiumrate":"1.01"}</v>
      </c>
      <c r="J471" s="6" t="str">
        <f t="shared" si="68"/>
        <v>,</v>
      </c>
    </row>
    <row r="472" spans="1:10">
      <c r="A472" s="4" t="str">
        <f>'EN60'!A$3</f>
        <v>EN60</v>
      </c>
      <c r="B472" s="4">
        <f t="shared" si="69"/>
        <v>34</v>
      </c>
      <c r="C472" s="4">
        <f t="shared" si="70"/>
        <v>41</v>
      </c>
      <c r="D472" s="4">
        <f t="shared" si="64"/>
        <v>8</v>
      </c>
      <c r="E472" s="4" t="s">
        <v>27</v>
      </c>
      <c r="F472" s="4">
        <f t="shared" si="65"/>
        <v>800</v>
      </c>
      <c r="G472" s="5">
        <f t="shared" si="71"/>
        <v>1.01</v>
      </c>
      <c r="H472" s="6" t="str">
        <f t="shared" si="66"/>
        <v>INSERT INTO public.coupon (plancode, age, "year", couponrate, benefittype, benefitrate, premiumrate) VALUES('EN60', 34, 41, 8, 'A',800, 1.01);</v>
      </c>
      <c r="I472" s="6" t="str">
        <f t="shared" si="67"/>
        <v>{"age":"34", "year":"41", "couponrate":"8", "benefittype":"A", "benefitrate":"800", "premiumrate":"1.01"}</v>
      </c>
      <c r="J472" s="6" t="str">
        <f t="shared" si="68"/>
        <v>,</v>
      </c>
    </row>
    <row r="473" spans="1:10">
      <c r="A473" s="4" t="str">
        <f>'EN60'!A$3</f>
        <v>EN60</v>
      </c>
      <c r="B473" s="4">
        <f t="shared" si="69"/>
        <v>34</v>
      </c>
      <c r="C473" s="4">
        <f t="shared" si="70"/>
        <v>42</v>
      </c>
      <c r="D473" s="4">
        <f t="shared" si="64"/>
        <v>8</v>
      </c>
      <c r="E473" s="4" t="s">
        <v>27</v>
      </c>
      <c r="F473" s="4">
        <f t="shared" si="65"/>
        <v>800</v>
      </c>
      <c r="G473" s="5">
        <f t="shared" si="71"/>
        <v>1.01</v>
      </c>
      <c r="H473" s="6" t="str">
        <f t="shared" si="66"/>
        <v>INSERT INTO public.coupon (plancode, age, "year", couponrate, benefittype, benefitrate, premiumrate) VALUES('EN60', 34, 42, 8, 'A',800, 1.01);</v>
      </c>
      <c r="I473" s="6" t="str">
        <f t="shared" si="67"/>
        <v>{"age":"34", "year":"42", "couponrate":"8", "benefittype":"A", "benefitrate":"800", "premiumrate":"1.01"}</v>
      </c>
      <c r="J473" s="6" t="str">
        <f t="shared" si="68"/>
        <v>,</v>
      </c>
    </row>
    <row r="474" spans="1:10">
      <c r="A474" s="4" t="str">
        <f>'EN60'!A$3</f>
        <v>EN60</v>
      </c>
      <c r="B474" s="4">
        <f t="shared" si="69"/>
        <v>34</v>
      </c>
      <c r="C474" s="4">
        <f t="shared" si="70"/>
        <v>43</v>
      </c>
      <c r="D474" s="4">
        <f t="shared" si="64"/>
        <v>8</v>
      </c>
      <c r="E474" s="4" t="s">
        <v>27</v>
      </c>
      <c r="F474" s="4">
        <f t="shared" si="65"/>
        <v>800</v>
      </c>
      <c r="G474" s="5">
        <f t="shared" si="71"/>
        <v>1.01</v>
      </c>
      <c r="H474" s="6" t="str">
        <f t="shared" si="66"/>
        <v>INSERT INTO public.coupon (plancode, age, "year", couponrate, benefittype, benefitrate, premiumrate) VALUES('EN60', 34, 43, 8, 'A',800, 1.01);</v>
      </c>
      <c r="I474" s="6" t="str">
        <f t="shared" si="67"/>
        <v>{"age":"34", "year":"43", "couponrate":"8", "benefittype":"A", "benefitrate":"800", "premiumrate":"1.01"}</v>
      </c>
      <c r="J474" s="6" t="str">
        <f t="shared" si="68"/>
        <v>,</v>
      </c>
    </row>
    <row r="475" spans="1:10">
      <c r="A475" s="4" t="str">
        <f>'EN60'!A$3</f>
        <v>EN60</v>
      </c>
      <c r="B475" s="4">
        <f t="shared" si="69"/>
        <v>34</v>
      </c>
      <c r="C475" s="4">
        <f t="shared" si="70"/>
        <v>44</v>
      </c>
      <c r="D475" s="4">
        <f t="shared" si="64"/>
        <v>8</v>
      </c>
      <c r="E475" s="4" t="s">
        <v>27</v>
      </c>
      <c r="F475" s="4">
        <f t="shared" si="65"/>
        <v>800</v>
      </c>
      <c r="G475" s="5">
        <f t="shared" si="71"/>
        <v>1.01</v>
      </c>
      <c r="H475" s="6" t="str">
        <f t="shared" si="66"/>
        <v>INSERT INTO public.coupon (plancode, age, "year", couponrate, benefittype, benefitrate, premiumrate) VALUES('EN60', 34, 44, 8, 'A',800, 1.01);</v>
      </c>
      <c r="I475" s="6" t="str">
        <f t="shared" si="67"/>
        <v>{"age":"34", "year":"44", "couponrate":"8", "benefittype":"A", "benefitrate":"800", "premiumrate":"1.01"}</v>
      </c>
      <c r="J475" s="6" t="str">
        <f t="shared" si="68"/>
        <v>,</v>
      </c>
    </row>
    <row r="476" spans="1:10">
      <c r="A476" s="4" t="str">
        <f>'EN60'!A$3</f>
        <v>EN60</v>
      </c>
      <c r="B476" s="4">
        <f t="shared" si="69"/>
        <v>34</v>
      </c>
      <c r="C476" s="4">
        <f t="shared" si="70"/>
        <v>45</v>
      </c>
      <c r="D476" s="4">
        <f t="shared" si="64"/>
        <v>8</v>
      </c>
      <c r="E476" s="4" t="s">
        <v>27</v>
      </c>
      <c r="F476" s="4">
        <f t="shared" si="65"/>
        <v>800</v>
      </c>
      <c r="G476" s="5">
        <f t="shared" si="71"/>
        <v>1.01</v>
      </c>
      <c r="H476" s="6" t="str">
        <f t="shared" si="66"/>
        <v>INSERT INTO public.coupon (plancode, age, "year", couponrate, benefittype, benefitrate, premiumrate) VALUES('EN60', 34, 45, 8, 'A',800, 1.01);</v>
      </c>
      <c r="I476" s="6" t="str">
        <f t="shared" si="67"/>
        <v>{"age":"34", "year":"45", "couponrate":"8", "benefittype":"A", "benefitrate":"800", "premiumrate":"1.01"}</v>
      </c>
      <c r="J476" s="6" t="str">
        <f t="shared" si="68"/>
        <v>,</v>
      </c>
    </row>
    <row r="477" spans="1:10">
      <c r="A477" s="4" t="str">
        <f>'EN60'!A$3</f>
        <v>EN60</v>
      </c>
      <c r="B477" s="4">
        <f t="shared" si="69"/>
        <v>34</v>
      </c>
      <c r="C477" s="4">
        <f t="shared" si="70"/>
        <v>46</v>
      </c>
      <c r="D477" s="4">
        <f t="shared" si="64"/>
        <v>0</v>
      </c>
      <c r="E477" s="4" t="s">
        <v>27</v>
      </c>
      <c r="F477" s="4">
        <f t="shared" si="65"/>
        <v>800</v>
      </c>
      <c r="G477" s="5">
        <f t="shared" si="71"/>
        <v>1.01</v>
      </c>
      <c r="H477" s="6" t="str">
        <f t="shared" si="66"/>
        <v>INSERT INTO public.coupon (plancode, age, "year", couponrate, benefittype, benefitrate, premiumrate) VALUES('EN60', 34, 46, 0, 'A',800, 1.01);</v>
      </c>
      <c r="I477" s="6" t="str">
        <f t="shared" si="67"/>
        <v>{"age":"34", "year":"46", "couponrate":"0", "benefittype":"A", "benefitrate":"800", "premiumrate":"1.01"}</v>
      </c>
    </row>
    <row r="478" spans="1:10">
      <c r="C478" s="6"/>
      <c r="I478" s="6" t="s">
        <v>28</v>
      </c>
    </row>
    <row r="479" spans="1:10">
      <c r="A479" s="3" t="s">
        <v>2</v>
      </c>
      <c r="B479" s="3" t="s">
        <v>23</v>
      </c>
      <c r="C479" s="3" t="s">
        <v>24</v>
      </c>
      <c r="D479" s="3" t="s">
        <v>25</v>
      </c>
      <c r="E479" s="3" t="s">
        <v>8</v>
      </c>
      <c r="F479" s="3" t="s">
        <v>26</v>
      </c>
      <c r="G479" s="3" t="s">
        <v>4</v>
      </c>
      <c r="I479" s="6" t="str">
        <f>"[{""plancode"":"""&amp;A480&amp;""",""returncash"":"""&amp;B$7&amp;""",""ytable"":"""&amp;C$7&amp;""",""maturerate"":"""&amp;B$3&amp;""",""maturepmrate"":"""&amp;C$3&amp;""",""coupon"":["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480" spans="1:10">
      <c r="A480" s="4" t="str">
        <f>'EN60'!A$3</f>
        <v>EN60</v>
      </c>
      <c r="B480" s="8">
        <v>35</v>
      </c>
      <c r="C480" s="4">
        <v>1</v>
      </c>
      <c r="D480" s="4">
        <f t="shared" ref="D480:D524" si="72">IF(C480+B480=80,0,8)</f>
        <v>8</v>
      </c>
      <c r="E480" s="4" t="s">
        <v>27</v>
      </c>
      <c r="F480" s="4">
        <f t="shared" ref="F480:F524" si="73">IF(C480&gt;7, 800, C480*100)</f>
        <v>100</v>
      </c>
      <c r="G480" s="5">
        <f>'EN60'!C$3</f>
        <v>1.01</v>
      </c>
      <c r="H480" s="6" t="str">
        <f t="shared" ref="H480:H524" si="74">"INSERT INTO public.coupon ("&amp;A$11&amp;", "&amp;B$11&amp;", """&amp;C$11&amp;""", "&amp;D$11&amp;", "&amp;E$11&amp;", "&amp;F$11&amp;", "&amp;G$11&amp;") VALUES('"&amp;A480&amp;"', "&amp;B480&amp;", "&amp;C480&amp;", "&amp;D480&amp;", '"&amp;E480&amp;"',"&amp;F480&amp;", "&amp;G480&amp;");"</f>
        <v>INSERT INTO public.coupon (plancode, age, "year", couponrate, benefittype, benefitrate, premiumrate) VALUES('EN60', 35, 1, 8, 'A',100, 1.01);</v>
      </c>
      <c r="I480" s="6" t="str">
        <f t="shared" ref="I480:I524" si="75">"{""age"":"""&amp;B480&amp;""", ""year"":"""&amp;C480&amp;""", ""couponrate"":"""&amp;D480&amp;""", ""benefittype"":"""&amp;E480&amp;""", ""benefitrate"":"""&amp;F480&amp;""", """&amp;G$11&amp;""":"""&amp;G480&amp;"""}"</f>
        <v>{"age":"35", "year":"1", "couponrate":"8", "benefittype":"A", "benefitrate":"100", "premiumrate":"1.01"}</v>
      </c>
      <c r="J480" s="6" t="str">
        <f t="shared" ref="J480:J523" si="76">IF(OR(I481="]", I480="[", I480="]"), "", ",")</f>
        <v>,</v>
      </c>
    </row>
    <row r="481" spans="1:10">
      <c r="A481" s="4" t="str">
        <f>'EN60'!A$3</f>
        <v>EN60</v>
      </c>
      <c r="B481" s="4">
        <f t="shared" ref="B481:B524" si="77">B480</f>
        <v>35</v>
      </c>
      <c r="C481" s="4">
        <f t="shared" ref="C481:C524" si="78">IF(B481+C480+1&gt;80,"",C480+1)</f>
        <v>2</v>
      </c>
      <c r="D481" s="4">
        <f t="shared" si="72"/>
        <v>8</v>
      </c>
      <c r="E481" s="4" t="s">
        <v>27</v>
      </c>
      <c r="F481" s="4">
        <f t="shared" si="73"/>
        <v>200</v>
      </c>
      <c r="G481" s="5">
        <f t="shared" ref="G481:G524" si="79">G480</f>
        <v>1.01</v>
      </c>
      <c r="H481" s="6" t="str">
        <f t="shared" si="74"/>
        <v>INSERT INTO public.coupon (plancode, age, "year", couponrate, benefittype, benefitrate, premiumrate) VALUES('EN60', 35, 2, 8, 'A',200, 1.01);</v>
      </c>
      <c r="I481" s="6" t="str">
        <f t="shared" si="75"/>
        <v>{"age":"35", "year":"2", "couponrate":"8", "benefittype":"A", "benefitrate":"200", "premiumrate":"1.01"}</v>
      </c>
      <c r="J481" s="6" t="str">
        <f t="shared" si="76"/>
        <v>,</v>
      </c>
    </row>
    <row r="482" spans="1:10">
      <c r="A482" s="4" t="str">
        <f>'EN60'!A$3</f>
        <v>EN60</v>
      </c>
      <c r="B482" s="4">
        <f t="shared" si="77"/>
        <v>35</v>
      </c>
      <c r="C482" s="4">
        <f t="shared" si="78"/>
        <v>3</v>
      </c>
      <c r="D482" s="4">
        <f t="shared" si="72"/>
        <v>8</v>
      </c>
      <c r="E482" s="4" t="s">
        <v>27</v>
      </c>
      <c r="F482" s="4">
        <f t="shared" si="73"/>
        <v>300</v>
      </c>
      <c r="G482" s="5">
        <f t="shared" si="79"/>
        <v>1.01</v>
      </c>
      <c r="H482" s="6" t="str">
        <f t="shared" si="74"/>
        <v>INSERT INTO public.coupon (plancode, age, "year", couponrate, benefittype, benefitrate, premiumrate) VALUES('EN60', 35, 3, 8, 'A',300, 1.01);</v>
      </c>
      <c r="I482" s="6" t="str">
        <f t="shared" si="75"/>
        <v>{"age":"35", "year":"3", "couponrate":"8", "benefittype":"A", "benefitrate":"300", "premiumrate":"1.01"}</v>
      </c>
      <c r="J482" s="6" t="str">
        <f t="shared" si="76"/>
        <v>,</v>
      </c>
    </row>
    <row r="483" spans="1:10">
      <c r="A483" s="4" t="str">
        <f>'EN60'!A$3</f>
        <v>EN60</v>
      </c>
      <c r="B483" s="4">
        <f t="shared" si="77"/>
        <v>35</v>
      </c>
      <c r="C483" s="4">
        <f t="shared" si="78"/>
        <v>4</v>
      </c>
      <c r="D483" s="4">
        <f t="shared" si="72"/>
        <v>8</v>
      </c>
      <c r="E483" s="4" t="s">
        <v>27</v>
      </c>
      <c r="F483" s="4">
        <f t="shared" si="73"/>
        <v>400</v>
      </c>
      <c r="G483" s="5">
        <f t="shared" si="79"/>
        <v>1.01</v>
      </c>
      <c r="H483" s="6" t="str">
        <f t="shared" si="74"/>
        <v>INSERT INTO public.coupon (plancode, age, "year", couponrate, benefittype, benefitrate, premiumrate) VALUES('EN60', 35, 4, 8, 'A',400, 1.01);</v>
      </c>
      <c r="I483" s="6" t="str">
        <f t="shared" si="75"/>
        <v>{"age":"35", "year":"4", "couponrate":"8", "benefittype":"A", "benefitrate":"400", "premiumrate":"1.01"}</v>
      </c>
      <c r="J483" s="6" t="str">
        <f t="shared" si="76"/>
        <v>,</v>
      </c>
    </row>
    <row r="484" spans="1:10">
      <c r="A484" s="4" t="str">
        <f>'EN60'!A$3</f>
        <v>EN60</v>
      </c>
      <c r="B484" s="4">
        <f t="shared" si="77"/>
        <v>35</v>
      </c>
      <c r="C484" s="4">
        <f t="shared" si="78"/>
        <v>5</v>
      </c>
      <c r="D484" s="4">
        <f t="shared" si="72"/>
        <v>8</v>
      </c>
      <c r="E484" s="4" t="s">
        <v>27</v>
      </c>
      <c r="F484" s="4">
        <f t="shared" si="73"/>
        <v>500</v>
      </c>
      <c r="G484" s="5">
        <f t="shared" si="79"/>
        <v>1.01</v>
      </c>
      <c r="H484" s="6" t="str">
        <f t="shared" si="74"/>
        <v>INSERT INTO public.coupon (plancode, age, "year", couponrate, benefittype, benefitrate, premiumrate) VALUES('EN60', 35, 5, 8, 'A',500, 1.01);</v>
      </c>
      <c r="I484" s="6" t="str">
        <f t="shared" si="75"/>
        <v>{"age":"35", "year":"5", "couponrate":"8", "benefittype":"A", "benefitrate":"500", "premiumrate":"1.01"}</v>
      </c>
      <c r="J484" s="6" t="str">
        <f t="shared" si="76"/>
        <v>,</v>
      </c>
    </row>
    <row r="485" spans="1:10">
      <c r="A485" s="4" t="str">
        <f>'EN60'!A$3</f>
        <v>EN60</v>
      </c>
      <c r="B485" s="4">
        <f t="shared" si="77"/>
        <v>35</v>
      </c>
      <c r="C485" s="4">
        <f t="shared" si="78"/>
        <v>6</v>
      </c>
      <c r="D485" s="4">
        <f t="shared" si="72"/>
        <v>8</v>
      </c>
      <c r="E485" s="4" t="s">
        <v>27</v>
      </c>
      <c r="F485" s="4">
        <f t="shared" si="73"/>
        <v>600</v>
      </c>
      <c r="G485" s="5">
        <f t="shared" si="79"/>
        <v>1.01</v>
      </c>
      <c r="H485" s="6" t="str">
        <f t="shared" si="74"/>
        <v>INSERT INTO public.coupon (plancode, age, "year", couponrate, benefittype, benefitrate, premiumrate) VALUES('EN60', 35, 6, 8, 'A',600, 1.01);</v>
      </c>
      <c r="I485" s="6" t="str">
        <f t="shared" si="75"/>
        <v>{"age":"35", "year":"6", "couponrate":"8", "benefittype":"A", "benefitrate":"600", "premiumrate":"1.01"}</v>
      </c>
      <c r="J485" s="6" t="str">
        <f t="shared" si="76"/>
        <v>,</v>
      </c>
    </row>
    <row r="486" spans="1:10">
      <c r="A486" s="4" t="str">
        <f>'EN60'!A$3</f>
        <v>EN60</v>
      </c>
      <c r="B486" s="4">
        <f t="shared" si="77"/>
        <v>35</v>
      </c>
      <c r="C486" s="4">
        <f t="shared" si="78"/>
        <v>7</v>
      </c>
      <c r="D486" s="4">
        <f t="shared" si="72"/>
        <v>8</v>
      </c>
      <c r="E486" s="4" t="s">
        <v>27</v>
      </c>
      <c r="F486" s="4">
        <f t="shared" si="73"/>
        <v>700</v>
      </c>
      <c r="G486" s="5">
        <f t="shared" si="79"/>
        <v>1.01</v>
      </c>
      <c r="H486" s="6" t="str">
        <f t="shared" si="74"/>
        <v>INSERT INTO public.coupon (plancode, age, "year", couponrate, benefittype, benefitrate, premiumrate) VALUES('EN60', 35, 7, 8, 'A',700, 1.01);</v>
      </c>
      <c r="I486" s="6" t="str">
        <f t="shared" si="75"/>
        <v>{"age":"35", "year":"7", "couponrate":"8", "benefittype":"A", "benefitrate":"700", "premiumrate":"1.01"}</v>
      </c>
      <c r="J486" s="6" t="str">
        <f t="shared" si="76"/>
        <v>,</v>
      </c>
    </row>
    <row r="487" spans="1:10">
      <c r="A487" s="4" t="str">
        <f>'EN60'!A$3</f>
        <v>EN60</v>
      </c>
      <c r="B487" s="4">
        <f t="shared" si="77"/>
        <v>35</v>
      </c>
      <c r="C487" s="4">
        <f t="shared" si="78"/>
        <v>8</v>
      </c>
      <c r="D487" s="4">
        <f t="shared" si="72"/>
        <v>8</v>
      </c>
      <c r="E487" s="4" t="s">
        <v>27</v>
      </c>
      <c r="F487" s="4">
        <f t="shared" si="73"/>
        <v>800</v>
      </c>
      <c r="G487" s="5">
        <f t="shared" si="79"/>
        <v>1.01</v>
      </c>
      <c r="H487" s="6" t="str">
        <f t="shared" si="74"/>
        <v>INSERT INTO public.coupon (plancode, age, "year", couponrate, benefittype, benefitrate, premiumrate) VALUES('EN60', 35, 8, 8, 'A',800, 1.01);</v>
      </c>
      <c r="I487" s="6" t="str">
        <f t="shared" si="75"/>
        <v>{"age":"35", "year":"8", "couponrate":"8", "benefittype":"A", "benefitrate":"800", "premiumrate":"1.01"}</v>
      </c>
      <c r="J487" s="6" t="str">
        <f t="shared" si="76"/>
        <v>,</v>
      </c>
    </row>
    <row r="488" spans="1:10">
      <c r="A488" s="4" t="str">
        <f>'EN60'!A$3</f>
        <v>EN60</v>
      </c>
      <c r="B488" s="4">
        <f t="shared" si="77"/>
        <v>35</v>
      </c>
      <c r="C488" s="4">
        <f t="shared" si="78"/>
        <v>9</v>
      </c>
      <c r="D488" s="4">
        <f t="shared" si="72"/>
        <v>8</v>
      </c>
      <c r="E488" s="4" t="s">
        <v>27</v>
      </c>
      <c r="F488" s="4">
        <f t="shared" si="73"/>
        <v>800</v>
      </c>
      <c r="G488" s="5">
        <f t="shared" si="79"/>
        <v>1.01</v>
      </c>
      <c r="H488" s="6" t="str">
        <f t="shared" si="74"/>
        <v>INSERT INTO public.coupon (plancode, age, "year", couponrate, benefittype, benefitrate, premiumrate) VALUES('EN60', 35, 9, 8, 'A',800, 1.01);</v>
      </c>
      <c r="I488" s="6" t="str">
        <f t="shared" si="75"/>
        <v>{"age":"35", "year":"9", "couponrate":"8", "benefittype":"A", "benefitrate":"800", "premiumrate":"1.01"}</v>
      </c>
      <c r="J488" s="6" t="str">
        <f t="shared" si="76"/>
        <v>,</v>
      </c>
    </row>
    <row r="489" spans="1:10">
      <c r="A489" s="4" t="str">
        <f>'EN60'!A$3</f>
        <v>EN60</v>
      </c>
      <c r="B489" s="4">
        <f t="shared" si="77"/>
        <v>35</v>
      </c>
      <c r="C489" s="4">
        <f t="shared" si="78"/>
        <v>10</v>
      </c>
      <c r="D489" s="4">
        <f t="shared" si="72"/>
        <v>8</v>
      </c>
      <c r="E489" s="4" t="s">
        <v>27</v>
      </c>
      <c r="F489" s="4">
        <f t="shared" si="73"/>
        <v>800</v>
      </c>
      <c r="G489" s="5">
        <f t="shared" si="79"/>
        <v>1.01</v>
      </c>
      <c r="H489" s="6" t="str">
        <f t="shared" si="74"/>
        <v>INSERT INTO public.coupon (plancode, age, "year", couponrate, benefittype, benefitrate, premiumrate) VALUES('EN60', 35, 10, 8, 'A',800, 1.01);</v>
      </c>
      <c r="I489" s="6" t="str">
        <f t="shared" si="75"/>
        <v>{"age":"35", "year":"10", "couponrate":"8", "benefittype":"A", "benefitrate":"800", "premiumrate":"1.01"}</v>
      </c>
      <c r="J489" s="6" t="str">
        <f t="shared" si="76"/>
        <v>,</v>
      </c>
    </row>
    <row r="490" spans="1:10">
      <c r="A490" s="4" t="str">
        <f>'EN60'!A$3</f>
        <v>EN60</v>
      </c>
      <c r="B490" s="4">
        <f t="shared" si="77"/>
        <v>35</v>
      </c>
      <c r="C490" s="4">
        <f t="shared" si="78"/>
        <v>11</v>
      </c>
      <c r="D490" s="4">
        <f t="shared" si="72"/>
        <v>8</v>
      </c>
      <c r="E490" s="4" t="s">
        <v>27</v>
      </c>
      <c r="F490" s="4">
        <f t="shared" si="73"/>
        <v>800</v>
      </c>
      <c r="G490" s="5">
        <f t="shared" si="79"/>
        <v>1.01</v>
      </c>
      <c r="H490" s="6" t="str">
        <f t="shared" si="74"/>
        <v>INSERT INTO public.coupon (plancode, age, "year", couponrate, benefittype, benefitrate, premiumrate) VALUES('EN60', 35, 11, 8, 'A',800, 1.01);</v>
      </c>
      <c r="I490" s="6" t="str">
        <f t="shared" si="75"/>
        <v>{"age":"35", "year":"11", "couponrate":"8", "benefittype":"A", "benefitrate":"800", "premiumrate":"1.01"}</v>
      </c>
      <c r="J490" s="6" t="str">
        <f t="shared" si="76"/>
        <v>,</v>
      </c>
    </row>
    <row r="491" spans="1:10">
      <c r="A491" s="4" t="str">
        <f>'EN60'!A$3</f>
        <v>EN60</v>
      </c>
      <c r="B491" s="4">
        <f t="shared" si="77"/>
        <v>35</v>
      </c>
      <c r="C491" s="4">
        <f t="shared" si="78"/>
        <v>12</v>
      </c>
      <c r="D491" s="4">
        <f t="shared" si="72"/>
        <v>8</v>
      </c>
      <c r="E491" s="4" t="s">
        <v>27</v>
      </c>
      <c r="F491" s="4">
        <f t="shared" si="73"/>
        <v>800</v>
      </c>
      <c r="G491" s="5">
        <f t="shared" si="79"/>
        <v>1.01</v>
      </c>
      <c r="H491" s="6" t="str">
        <f t="shared" si="74"/>
        <v>INSERT INTO public.coupon (plancode, age, "year", couponrate, benefittype, benefitrate, premiumrate) VALUES('EN60', 35, 12, 8, 'A',800, 1.01);</v>
      </c>
      <c r="I491" s="6" t="str">
        <f t="shared" si="75"/>
        <v>{"age":"35", "year":"12", "couponrate":"8", "benefittype":"A", "benefitrate":"800", "premiumrate":"1.01"}</v>
      </c>
      <c r="J491" s="6" t="str">
        <f t="shared" si="76"/>
        <v>,</v>
      </c>
    </row>
    <row r="492" spans="1:10">
      <c r="A492" s="4" t="str">
        <f>'EN60'!A$3</f>
        <v>EN60</v>
      </c>
      <c r="B492" s="4">
        <f t="shared" si="77"/>
        <v>35</v>
      </c>
      <c r="C492" s="4">
        <f t="shared" si="78"/>
        <v>13</v>
      </c>
      <c r="D492" s="4">
        <f t="shared" si="72"/>
        <v>8</v>
      </c>
      <c r="E492" s="4" t="s">
        <v>27</v>
      </c>
      <c r="F492" s="4">
        <f t="shared" si="73"/>
        <v>800</v>
      </c>
      <c r="G492" s="5">
        <f t="shared" si="79"/>
        <v>1.01</v>
      </c>
      <c r="H492" s="6" t="str">
        <f t="shared" si="74"/>
        <v>INSERT INTO public.coupon (plancode, age, "year", couponrate, benefittype, benefitrate, premiumrate) VALUES('EN60', 35, 13, 8, 'A',800, 1.01);</v>
      </c>
      <c r="I492" s="6" t="str">
        <f t="shared" si="75"/>
        <v>{"age":"35", "year":"13", "couponrate":"8", "benefittype":"A", "benefitrate":"800", "premiumrate":"1.01"}</v>
      </c>
      <c r="J492" s="6" t="str">
        <f t="shared" si="76"/>
        <v>,</v>
      </c>
    </row>
    <row r="493" spans="1:10">
      <c r="A493" s="4" t="str">
        <f>'EN60'!A$3</f>
        <v>EN60</v>
      </c>
      <c r="B493" s="4">
        <f t="shared" si="77"/>
        <v>35</v>
      </c>
      <c r="C493" s="4">
        <f t="shared" si="78"/>
        <v>14</v>
      </c>
      <c r="D493" s="4">
        <f t="shared" si="72"/>
        <v>8</v>
      </c>
      <c r="E493" s="4" t="s">
        <v>27</v>
      </c>
      <c r="F493" s="4">
        <f t="shared" si="73"/>
        <v>800</v>
      </c>
      <c r="G493" s="5">
        <f t="shared" si="79"/>
        <v>1.01</v>
      </c>
      <c r="H493" s="6" t="str">
        <f t="shared" si="74"/>
        <v>INSERT INTO public.coupon (plancode, age, "year", couponrate, benefittype, benefitrate, premiumrate) VALUES('EN60', 35, 14, 8, 'A',800, 1.01);</v>
      </c>
      <c r="I493" s="6" t="str">
        <f t="shared" si="75"/>
        <v>{"age":"35", "year":"14", "couponrate":"8", "benefittype":"A", "benefitrate":"800", "premiumrate":"1.01"}</v>
      </c>
      <c r="J493" s="6" t="str">
        <f t="shared" si="76"/>
        <v>,</v>
      </c>
    </row>
    <row r="494" spans="1:10">
      <c r="A494" s="4" t="str">
        <f>'EN60'!A$3</f>
        <v>EN60</v>
      </c>
      <c r="B494" s="4">
        <f t="shared" si="77"/>
        <v>35</v>
      </c>
      <c r="C494" s="4">
        <f t="shared" si="78"/>
        <v>15</v>
      </c>
      <c r="D494" s="4">
        <f t="shared" si="72"/>
        <v>8</v>
      </c>
      <c r="E494" s="4" t="s">
        <v>27</v>
      </c>
      <c r="F494" s="4">
        <f t="shared" si="73"/>
        <v>800</v>
      </c>
      <c r="G494" s="5">
        <f t="shared" si="79"/>
        <v>1.01</v>
      </c>
      <c r="H494" s="6" t="str">
        <f t="shared" si="74"/>
        <v>INSERT INTO public.coupon (plancode, age, "year", couponrate, benefittype, benefitrate, premiumrate) VALUES('EN60', 35, 15, 8, 'A',800, 1.01);</v>
      </c>
      <c r="I494" s="6" t="str">
        <f t="shared" si="75"/>
        <v>{"age":"35", "year":"15", "couponrate":"8", "benefittype":"A", "benefitrate":"800", "premiumrate":"1.01"}</v>
      </c>
      <c r="J494" s="6" t="str">
        <f t="shared" si="76"/>
        <v>,</v>
      </c>
    </row>
    <row r="495" spans="1:10">
      <c r="A495" s="4" t="str">
        <f>'EN60'!A$3</f>
        <v>EN60</v>
      </c>
      <c r="B495" s="4">
        <f t="shared" si="77"/>
        <v>35</v>
      </c>
      <c r="C495" s="4">
        <f t="shared" si="78"/>
        <v>16</v>
      </c>
      <c r="D495" s="4">
        <f t="shared" si="72"/>
        <v>8</v>
      </c>
      <c r="E495" s="4" t="s">
        <v>27</v>
      </c>
      <c r="F495" s="4">
        <f t="shared" si="73"/>
        <v>800</v>
      </c>
      <c r="G495" s="5">
        <f t="shared" si="79"/>
        <v>1.01</v>
      </c>
      <c r="H495" s="6" t="str">
        <f t="shared" si="74"/>
        <v>INSERT INTO public.coupon (plancode, age, "year", couponrate, benefittype, benefitrate, premiumrate) VALUES('EN60', 35, 16, 8, 'A',800, 1.01);</v>
      </c>
      <c r="I495" s="6" t="str">
        <f t="shared" si="75"/>
        <v>{"age":"35", "year":"16", "couponrate":"8", "benefittype":"A", "benefitrate":"800", "premiumrate":"1.01"}</v>
      </c>
      <c r="J495" s="6" t="str">
        <f t="shared" si="76"/>
        <v>,</v>
      </c>
    </row>
    <row r="496" spans="1:10">
      <c r="A496" s="4" t="str">
        <f>'EN60'!A$3</f>
        <v>EN60</v>
      </c>
      <c r="B496" s="4">
        <f t="shared" si="77"/>
        <v>35</v>
      </c>
      <c r="C496" s="4">
        <f t="shared" si="78"/>
        <v>17</v>
      </c>
      <c r="D496" s="4">
        <f t="shared" si="72"/>
        <v>8</v>
      </c>
      <c r="E496" s="4" t="s">
        <v>27</v>
      </c>
      <c r="F496" s="4">
        <f t="shared" si="73"/>
        <v>800</v>
      </c>
      <c r="G496" s="5">
        <f t="shared" si="79"/>
        <v>1.01</v>
      </c>
      <c r="H496" s="6" t="str">
        <f t="shared" si="74"/>
        <v>INSERT INTO public.coupon (plancode, age, "year", couponrate, benefittype, benefitrate, premiumrate) VALUES('EN60', 35, 17, 8, 'A',800, 1.01);</v>
      </c>
      <c r="I496" s="6" t="str">
        <f t="shared" si="75"/>
        <v>{"age":"35", "year":"17", "couponrate":"8", "benefittype":"A", "benefitrate":"800", "premiumrate":"1.01"}</v>
      </c>
      <c r="J496" s="6" t="str">
        <f t="shared" si="76"/>
        <v>,</v>
      </c>
    </row>
    <row r="497" spans="1:10">
      <c r="A497" s="4" t="str">
        <f>'EN60'!A$3</f>
        <v>EN60</v>
      </c>
      <c r="B497" s="4">
        <f t="shared" si="77"/>
        <v>35</v>
      </c>
      <c r="C497" s="4">
        <f t="shared" si="78"/>
        <v>18</v>
      </c>
      <c r="D497" s="4">
        <f t="shared" si="72"/>
        <v>8</v>
      </c>
      <c r="E497" s="4" t="s">
        <v>27</v>
      </c>
      <c r="F497" s="4">
        <f t="shared" si="73"/>
        <v>800</v>
      </c>
      <c r="G497" s="5">
        <f t="shared" si="79"/>
        <v>1.01</v>
      </c>
      <c r="H497" s="6" t="str">
        <f t="shared" si="74"/>
        <v>INSERT INTO public.coupon (plancode, age, "year", couponrate, benefittype, benefitrate, premiumrate) VALUES('EN60', 35, 18, 8, 'A',800, 1.01);</v>
      </c>
      <c r="I497" s="6" t="str">
        <f t="shared" si="75"/>
        <v>{"age":"35", "year":"18", "couponrate":"8", "benefittype":"A", "benefitrate":"800", "premiumrate":"1.01"}</v>
      </c>
      <c r="J497" s="6" t="str">
        <f t="shared" si="76"/>
        <v>,</v>
      </c>
    </row>
    <row r="498" spans="1:10">
      <c r="A498" s="4" t="str">
        <f>'EN60'!A$3</f>
        <v>EN60</v>
      </c>
      <c r="B498" s="4">
        <f t="shared" si="77"/>
        <v>35</v>
      </c>
      <c r="C498" s="4">
        <f t="shared" si="78"/>
        <v>19</v>
      </c>
      <c r="D498" s="4">
        <f t="shared" si="72"/>
        <v>8</v>
      </c>
      <c r="E498" s="4" t="s">
        <v>27</v>
      </c>
      <c r="F498" s="4">
        <f t="shared" si="73"/>
        <v>800</v>
      </c>
      <c r="G498" s="5">
        <f t="shared" si="79"/>
        <v>1.01</v>
      </c>
      <c r="H498" s="6" t="str">
        <f t="shared" si="74"/>
        <v>INSERT INTO public.coupon (plancode, age, "year", couponrate, benefittype, benefitrate, premiumrate) VALUES('EN60', 35, 19, 8, 'A',800, 1.01);</v>
      </c>
      <c r="I498" s="6" t="str">
        <f t="shared" si="75"/>
        <v>{"age":"35", "year":"19", "couponrate":"8", "benefittype":"A", "benefitrate":"800", "premiumrate":"1.01"}</v>
      </c>
      <c r="J498" s="6" t="str">
        <f t="shared" si="76"/>
        <v>,</v>
      </c>
    </row>
    <row r="499" spans="1:10">
      <c r="A499" s="4" t="str">
        <f>'EN60'!A$3</f>
        <v>EN60</v>
      </c>
      <c r="B499" s="4">
        <f t="shared" si="77"/>
        <v>35</v>
      </c>
      <c r="C499" s="4">
        <f t="shared" si="78"/>
        <v>20</v>
      </c>
      <c r="D499" s="4">
        <f t="shared" si="72"/>
        <v>8</v>
      </c>
      <c r="E499" s="4" t="s">
        <v>27</v>
      </c>
      <c r="F499" s="4">
        <f t="shared" si="73"/>
        <v>800</v>
      </c>
      <c r="G499" s="5">
        <f t="shared" si="79"/>
        <v>1.01</v>
      </c>
      <c r="H499" s="6" t="str">
        <f t="shared" si="74"/>
        <v>INSERT INTO public.coupon (plancode, age, "year", couponrate, benefittype, benefitrate, premiumrate) VALUES('EN60', 35, 20, 8, 'A',800, 1.01);</v>
      </c>
      <c r="I499" s="6" t="str">
        <f t="shared" si="75"/>
        <v>{"age":"35", "year":"20", "couponrate":"8", "benefittype":"A", "benefitrate":"800", "premiumrate":"1.01"}</v>
      </c>
      <c r="J499" s="6" t="str">
        <f t="shared" si="76"/>
        <v>,</v>
      </c>
    </row>
    <row r="500" spans="1:10">
      <c r="A500" s="4" t="str">
        <f>'EN60'!A$3</f>
        <v>EN60</v>
      </c>
      <c r="B500" s="4">
        <f t="shared" si="77"/>
        <v>35</v>
      </c>
      <c r="C500" s="4">
        <f t="shared" si="78"/>
        <v>21</v>
      </c>
      <c r="D500" s="4">
        <f t="shared" si="72"/>
        <v>8</v>
      </c>
      <c r="E500" s="4" t="s">
        <v>27</v>
      </c>
      <c r="F500" s="4">
        <f t="shared" si="73"/>
        <v>800</v>
      </c>
      <c r="G500" s="5">
        <f t="shared" si="79"/>
        <v>1.01</v>
      </c>
      <c r="H500" s="6" t="str">
        <f t="shared" si="74"/>
        <v>INSERT INTO public.coupon (plancode, age, "year", couponrate, benefittype, benefitrate, premiumrate) VALUES('EN60', 35, 21, 8, 'A',800, 1.01);</v>
      </c>
      <c r="I500" s="6" t="str">
        <f t="shared" si="75"/>
        <v>{"age":"35", "year":"21", "couponrate":"8", "benefittype":"A", "benefitrate":"800", "premiumrate":"1.01"}</v>
      </c>
      <c r="J500" s="6" t="str">
        <f t="shared" si="76"/>
        <v>,</v>
      </c>
    </row>
    <row r="501" spans="1:10">
      <c r="A501" s="4" t="str">
        <f>'EN60'!A$3</f>
        <v>EN60</v>
      </c>
      <c r="B501" s="4">
        <f t="shared" si="77"/>
        <v>35</v>
      </c>
      <c r="C501" s="4">
        <f t="shared" si="78"/>
        <v>22</v>
      </c>
      <c r="D501" s="4">
        <f t="shared" si="72"/>
        <v>8</v>
      </c>
      <c r="E501" s="4" t="s">
        <v>27</v>
      </c>
      <c r="F501" s="4">
        <f t="shared" si="73"/>
        <v>800</v>
      </c>
      <c r="G501" s="5">
        <f t="shared" si="79"/>
        <v>1.01</v>
      </c>
      <c r="H501" s="6" t="str">
        <f t="shared" si="74"/>
        <v>INSERT INTO public.coupon (plancode, age, "year", couponrate, benefittype, benefitrate, premiumrate) VALUES('EN60', 35, 22, 8, 'A',800, 1.01);</v>
      </c>
      <c r="I501" s="6" t="str">
        <f t="shared" si="75"/>
        <v>{"age":"35", "year":"22", "couponrate":"8", "benefittype":"A", "benefitrate":"800", "premiumrate":"1.01"}</v>
      </c>
      <c r="J501" s="6" t="str">
        <f t="shared" si="76"/>
        <v>,</v>
      </c>
    </row>
    <row r="502" spans="1:10">
      <c r="A502" s="4" t="str">
        <f>'EN60'!A$3</f>
        <v>EN60</v>
      </c>
      <c r="B502" s="4">
        <f t="shared" si="77"/>
        <v>35</v>
      </c>
      <c r="C502" s="4">
        <f t="shared" si="78"/>
        <v>23</v>
      </c>
      <c r="D502" s="4">
        <f t="shared" si="72"/>
        <v>8</v>
      </c>
      <c r="E502" s="4" t="s">
        <v>27</v>
      </c>
      <c r="F502" s="4">
        <f t="shared" si="73"/>
        <v>800</v>
      </c>
      <c r="G502" s="5">
        <f t="shared" si="79"/>
        <v>1.01</v>
      </c>
      <c r="H502" s="6" t="str">
        <f t="shared" si="74"/>
        <v>INSERT INTO public.coupon (plancode, age, "year", couponrate, benefittype, benefitrate, premiumrate) VALUES('EN60', 35, 23, 8, 'A',800, 1.01);</v>
      </c>
      <c r="I502" s="6" t="str">
        <f t="shared" si="75"/>
        <v>{"age":"35", "year":"23", "couponrate":"8", "benefittype":"A", "benefitrate":"800", "premiumrate":"1.01"}</v>
      </c>
      <c r="J502" s="6" t="str">
        <f t="shared" si="76"/>
        <v>,</v>
      </c>
    </row>
    <row r="503" spans="1:10">
      <c r="A503" s="4" t="str">
        <f>'EN60'!A$3</f>
        <v>EN60</v>
      </c>
      <c r="B503" s="4">
        <f t="shared" si="77"/>
        <v>35</v>
      </c>
      <c r="C503" s="4">
        <f t="shared" si="78"/>
        <v>24</v>
      </c>
      <c r="D503" s="4">
        <f t="shared" si="72"/>
        <v>8</v>
      </c>
      <c r="E503" s="4" t="s">
        <v>27</v>
      </c>
      <c r="F503" s="4">
        <f t="shared" si="73"/>
        <v>800</v>
      </c>
      <c r="G503" s="5">
        <f t="shared" si="79"/>
        <v>1.01</v>
      </c>
      <c r="H503" s="6" t="str">
        <f t="shared" si="74"/>
        <v>INSERT INTO public.coupon (plancode, age, "year", couponrate, benefittype, benefitrate, premiumrate) VALUES('EN60', 35, 24, 8, 'A',800, 1.01);</v>
      </c>
      <c r="I503" s="6" t="str">
        <f t="shared" si="75"/>
        <v>{"age":"35", "year":"24", "couponrate":"8", "benefittype":"A", "benefitrate":"800", "premiumrate":"1.01"}</v>
      </c>
      <c r="J503" s="6" t="str">
        <f t="shared" si="76"/>
        <v>,</v>
      </c>
    </row>
    <row r="504" spans="1:10">
      <c r="A504" s="4" t="str">
        <f>'EN60'!A$3</f>
        <v>EN60</v>
      </c>
      <c r="B504" s="4">
        <f t="shared" si="77"/>
        <v>35</v>
      </c>
      <c r="C504" s="4">
        <f t="shared" si="78"/>
        <v>25</v>
      </c>
      <c r="D504" s="4">
        <f t="shared" si="72"/>
        <v>8</v>
      </c>
      <c r="E504" s="4" t="s">
        <v>27</v>
      </c>
      <c r="F504" s="4">
        <f t="shared" si="73"/>
        <v>800</v>
      </c>
      <c r="G504" s="5">
        <f t="shared" si="79"/>
        <v>1.01</v>
      </c>
      <c r="H504" s="6" t="str">
        <f t="shared" si="74"/>
        <v>INSERT INTO public.coupon (plancode, age, "year", couponrate, benefittype, benefitrate, premiumrate) VALUES('EN60', 35, 25, 8, 'A',800, 1.01);</v>
      </c>
      <c r="I504" s="6" t="str">
        <f t="shared" si="75"/>
        <v>{"age":"35", "year":"25", "couponrate":"8", "benefittype":"A", "benefitrate":"800", "premiumrate":"1.01"}</v>
      </c>
      <c r="J504" s="6" t="str">
        <f t="shared" si="76"/>
        <v>,</v>
      </c>
    </row>
    <row r="505" spans="1:10">
      <c r="A505" s="4" t="str">
        <f>'EN60'!A$3</f>
        <v>EN60</v>
      </c>
      <c r="B505" s="4">
        <f t="shared" si="77"/>
        <v>35</v>
      </c>
      <c r="C505" s="4">
        <f t="shared" si="78"/>
        <v>26</v>
      </c>
      <c r="D505" s="4">
        <f t="shared" si="72"/>
        <v>8</v>
      </c>
      <c r="E505" s="4" t="s">
        <v>27</v>
      </c>
      <c r="F505" s="4">
        <f t="shared" si="73"/>
        <v>800</v>
      </c>
      <c r="G505" s="5">
        <f t="shared" si="79"/>
        <v>1.01</v>
      </c>
      <c r="H505" s="6" t="str">
        <f t="shared" si="74"/>
        <v>INSERT INTO public.coupon (plancode, age, "year", couponrate, benefittype, benefitrate, premiumrate) VALUES('EN60', 35, 26, 8, 'A',800, 1.01);</v>
      </c>
      <c r="I505" s="6" t="str">
        <f t="shared" si="75"/>
        <v>{"age":"35", "year":"26", "couponrate":"8", "benefittype":"A", "benefitrate":"800", "premiumrate":"1.01"}</v>
      </c>
      <c r="J505" s="6" t="str">
        <f t="shared" si="76"/>
        <v>,</v>
      </c>
    </row>
    <row r="506" spans="1:10">
      <c r="A506" s="4" t="str">
        <f>'EN60'!A$3</f>
        <v>EN60</v>
      </c>
      <c r="B506" s="4">
        <f t="shared" si="77"/>
        <v>35</v>
      </c>
      <c r="C506" s="4">
        <f t="shared" si="78"/>
        <v>27</v>
      </c>
      <c r="D506" s="4">
        <f t="shared" si="72"/>
        <v>8</v>
      </c>
      <c r="E506" s="4" t="s">
        <v>27</v>
      </c>
      <c r="F506" s="4">
        <f t="shared" si="73"/>
        <v>800</v>
      </c>
      <c r="G506" s="5">
        <f t="shared" si="79"/>
        <v>1.01</v>
      </c>
      <c r="H506" s="6" t="str">
        <f t="shared" si="74"/>
        <v>INSERT INTO public.coupon (plancode, age, "year", couponrate, benefittype, benefitrate, premiumrate) VALUES('EN60', 35, 27, 8, 'A',800, 1.01);</v>
      </c>
      <c r="I506" s="6" t="str">
        <f t="shared" si="75"/>
        <v>{"age":"35", "year":"27", "couponrate":"8", "benefittype":"A", "benefitrate":"800", "premiumrate":"1.01"}</v>
      </c>
      <c r="J506" s="6" t="str">
        <f t="shared" si="76"/>
        <v>,</v>
      </c>
    </row>
    <row r="507" spans="1:10">
      <c r="A507" s="4" t="str">
        <f>'EN60'!A$3</f>
        <v>EN60</v>
      </c>
      <c r="B507" s="4">
        <f t="shared" si="77"/>
        <v>35</v>
      </c>
      <c r="C507" s="4">
        <f t="shared" si="78"/>
        <v>28</v>
      </c>
      <c r="D507" s="4">
        <f t="shared" si="72"/>
        <v>8</v>
      </c>
      <c r="E507" s="4" t="s">
        <v>27</v>
      </c>
      <c r="F507" s="4">
        <f t="shared" si="73"/>
        <v>800</v>
      </c>
      <c r="G507" s="5">
        <f t="shared" si="79"/>
        <v>1.01</v>
      </c>
      <c r="H507" s="6" t="str">
        <f t="shared" si="74"/>
        <v>INSERT INTO public.coupon (plancode, age, "year", couponrate, benefittype, benefitrate, premiumrate) VALUES('EN60', 35, 28, 8, 'A',800, 1.01);</v>
      </c>
      <c r="I507" s="6" t="str">
        <f t="shared" si="75"/>
        <v>{"age":"35", "year":"28", "couponrate":"8", "benefittype":"A", "benefitrate":"800", "premiumrate":"1.01"}</v>
      </c>
      <c r="J507" s="6" t="str">
        <f t="shared" si="76"/>
        <v>,</v>
      </c>
    </row>
    <row r="508" spans="1:10">
      <c r="A508" s="4" t="str">
        <f>'EN60'!A$3</f>
        <v>EN60</v>
      </c>
      <c r="B508" s="4">
        <f t="shared" si="77"/>
        <v>35</v>
      </c>
      <c r="C508" s="4">
        <f t="shared" si="78"/>
        <v>29</v>
      </c>
      <c r="D508" s="4">
        <f t="shared" si="72"/>
        <v>8</v>
      </c>
      <c r="E508" s="4" t="s">
        <v>27</v>
      </c>
      <c r="F508" s="4">
        <f t="shared" si="73"/>
        <v>800</v>
      </c>
      <c r="G508" s="5">
        <f t="shared" si="79"/>
        <v>1.01</v>
      </c>
      <c r="H508" s="6" t="str">
        <f t="shared" si="74"/>
        <v>INSERT INTO public.coupon (plancode, age, "year", couponrate, benefittype, benefitrate, premiumrate) VALUES('EN60', 35, 29, 8, 'A',800, 1.01);</v>
      </c>
      <c r="I508" s="6" t="str">
        <f t="shared" si="75"/>
        <v>{"age":"35", "year":"29", "couponrate":"8", "benefittype":"A", "benefitrate":"800", "premiumrate":"1.01"}</v>
      </c>
      <c r="J508" s="6" t="str">
        <f t="shared" si="76"/>
        <v>,</v>
      </c>
    </row>
    <row r="509" spans="1:10">
      <c r="A509" s="4" t="str">
        <f>'EN60'!A$3</f>
        <v>EN60</v>
      </c>
      <c r="B509" s="4">
        <f t="shared" si="77"/>
        <v>35</v>
      </c>
      <c r="C509" s="4">
        <f t="shared" si="78"/>
        <v>30</v>
      </c>
      <c r="D509" s="4">
        <f t="shared" si="72"/>
        <v>8</v>
      </c>
      <c r="E509" s="4" t="s">
        <v>27</v>
      </c>
      <c r="F509" s="4">
        <f t="shared" si="73"/>
        <v>800</v>
      </c>
      <c r="G509" s="5">
        <f t="shared" si="79"/>
        <v>1.01</v>
      </c>
      <c r="H509" s="6" t="str">
        <f t="shared" si="74"/>
        <v>INSERT INTO public.coupon (plancode, age, "year", couponrate, benefittype, benefitrate, premiumrate) VALUES('EN60', 35, 30, 8, 'A',800, 1.01);</v>
      </c>
      <c r="I509" s="6" t="str">
        <f t="shared" si="75"/>
        <v>{"age":"35", "year":"30", "couponrate":"8", "benefittype":"A", "benefitrate":"800", "premiumrate":"1.01"}</v>
      </c>
      <c r="J509" s="6" t="str">
        <f t="shared" si="76"/>
        <v>,</v>
      </c>
    </row>
    <row r="510" spans="1:10">
      <c r="A510" s="4" t="str">
        <f>'EN60'!A$3</f>
        <v>EN60</v>
      </c>
      <c r="B510" s="4">
        <f t="shared" si="77"/>
        <v>35</v>
      </c>
      <c r="C510" s="4">
        <f t="shared" si="78"/>
        <v>31</v>
      </c>
      <c r="D510" s="4">
        <f t="shared" si="72"/>
        <v>8</v>
      </c>
      <c r="E510" s="4" t="s">
        <v>27</v>
      </c>
      <c r="F510" s="4">
        <f t="shared" si="73"/>
        <v>800</v>
      </c>
      <c r="G510" s="5">
        <f t="shared" si="79"/>
        <v>1.01</v>
      </c>
      <c r="H510" s="6" t="str">
        <f t="shared" si="74"/>
        <v>INSERT INTO public.coupon (plancode, age, "year", couponrate, benefittype, benefitrate, premiumrate) VALUES('EN60', 35, 31, 8, 'A',800, 1.01);</v>
      </c>
      <c r="I510" s="6" t="str">
        <f t="shared" si="75"/>
        <v>{"age":"35", "year":"31", "couponrate":"8", "benefittype":"A", "benefitrate":"800", "premiumrate":"1.01"}</v>
      </c>
      <c r="J510" s="6" t="str">
        <f t="shared" si="76"/>
        <v>,</v>
      </c>
    </row>
    <row r="511" spans="1:10">
      <c r="A511" s="4" t="str">
        <f>'EN60'!A$3</f>
        <v>EN60</v>
      </c>
      <c r="B511" s="4">
        <f t="shared" si="77"/>
        <v>35</v>
      </c>
      <c r="C511" s="4">
        <f t="shared" si="78"/>
        <v>32</v>
      </c>
      <c r="D511" s="4">
        <f t="shared" si="72"/>
        <v>8</v>
      </c>
      <c r="E511" s="4" t="s">
        <v>27</v>
      </c>
      <c r="F511" s="4">
        <f t="shared" si="73"/>
        <v>800</v>
      </c>
      <c r="G511" s="5">
        <f t="shared" si="79"/>
        <v>1.01</v>
      </c>
      <c r="H511" s="6" t="str">
        <f t="shared" si="74"/>
        <v>INSERT INTO public.coupon (plancode, age, "year", couponrate, benefittype, benefitrate, premiumrate) VALUES('EN60', 35, 32, 8, 'A',800, 1.01);</v>
      </c>
      <c r="I511" s="6" t="str">
        <f t="shared" si="75"/>
        <v>{"age":"35", "year":"32", "couponrate":"8", "benefittype":"A", "benefitrate":"800", "premiumrate":"1.01"}</v>
      </c>
      <c r="J511" s="6" t="str">
        <f t="shared" si="76"/>
        <v>,</v>
      </c>
    </row>
    <row r="512" spans="1:10">
      <c r="A512" s="4" t="str">
        <f>'EN60'!A$3</f>
        <v>EN60</v>
      </c>
      <c r="B512" s="4">
        <f t="shared" si="77"/>
        <v>35</v>
      </c>
      <c r="C512" s="4">
        <f t="shared" si="78"/>
        <v>33</v>
      </c>
      <c r="D512" s="4">
        <f t="shared" si="72"/>
        <v>8</v>
      </c>
      <c r="E512" s="4" t="s">
        <v>27</v>
      </c>
      <c r="F512" s="4">
        <f t="shared" si="73"/>
        <v>800</v>
      </c>
      <c r="G512" s="5">
        <f t="shared" si="79"/>
        <v>1.01</v>
      </c>
      <c r="H512" s="6" t="str">
        <f t="shared" si="74"/>
        <v>INSERT INTO public.coupon (plancode, age, "year", couponrate, benefittype, benefitrate, premiumrate) VALUES('EN60', 35, 33, 8, 'A',800, 1.01);</v>
      </c>
      <c r="I512" s="6" t="str">
        <f t="shared" si="75"/>
        <v>{"age":"35", "year":"33", "couponrate":"8", "benefittype":"A", "benefitrate":"800", "premiumrate":"1.01"}</v>
      </c>
      <c r="J512" s="6" t="str">
        <f t="shared" si="76"/>
        <v>,</v>
      </c>
    </row>
    <row r="513" spans="1:10">
      <c r="A513" s="4" t="str">
        <f>'EN60'!A$3</f>
        <v>EN60</v>
      </c>
      <c r="B513" s="4">
        <f t="shared" si="77"/>
        <v>35</v>
      </c>
      <c r="C513" s="4">
        <f t="shared" si="78"/>
        <v>34</v>
      </c>
      <c r="D513" s="4">
        <f t="shared" si="72"/>
        <v>8</v>
      </c>
      <c r="E513" s="4" t="s">
        <v>27</v>
      </c>
      <c r="F513" s="4">
        <f t="shared" si="73"/>
        <v>800</v>
      </c>
      <c r="G513" s="5">
        <f t="shared" si="79"/>
        <v>1.01</v>
      </c>
      <c r="H513" s="6" t="str">
        <f t="shared" si="74"/>
        <v>INSERT INTO public.coupon (plancode, age, "year", couponrate, benefittype, benefitrate, premiumrate) VALUES('EN60', 35, 34, 8, 'A',800, 1.01);</v>
      </c>
      <c r="I513" s="6" t="str">
        <f t="shared" si="75"/>
        <v>{"age":"35", "year":"34", "couponrate":"8", "benefittype":"A", "benefitrate":"800", "premiumrate":"1.01"}</v>
      </c>
      <c r="J513" s="6" t="str">
        <f t="shared" si="76"/>
        <v>,</v>
      </c>
    </row>
    <row r="514" spans="1:10">
      <c r="A514" s="4" t="str">
        <f>'EN60'!A$3</f>
        <v>EN60</v>
      </c>
      <c r="B514" s="4">
        <f t="shared" si="77"/>
        <v>35</v>
      </c>
      <c r="C514" s="4">
        <f t="shared" si="78"/>
        <v>35</v>
      </c>
      <c r="D514" s="4">
        <f t="shared" si="72"/>
        <v>8</v>
      </c>
      <c r="E514" s="4" t="s">
        <v>27</v>
      </c>
      <c r="F514" s="4">
        <f t="shared" si="73"/>
        <v>800</v>
      </c>
      <c r="G514" s="5">
        <f t="shared" si="79"/>
        <v>1.01</v>
      </c>
      <c r="H514" s="6" t="str">
        <f t="shared" si="74"/>
        <v>INSERT INTO public.coupon (plancode, age, "year", couponrate, benefittype, benefitrate, premiumrate) VALUES('EN60', 35, 35, 8, 'A',800, 1.01);</v>
      </c>
      <c r="I514" s="6" t="str">
        <f t="shared" si="75"/>
        <v>{"age":"35", "year":"35", "couponrate":"8", "benefittype":"A", "benefitrate":"800", "premiumrate":"1.01"}</v>
      </c>
      <c r="J514" s="6" t="str">
        <f t="shared" si="76"/>
        <v>,</v>
      </c>
    </row>
    <row r="515" spans="1:10">
      <c r="A515" s="4" t="str">
        <f>'EN60'!A$3</f>
        <v>EN60</v>
      </c>
      <c r="B515" s="4">
        <f t="shared" si="77"/>
        <v>35</v>
      </c>
      <c r="C515" s="4">
        <f t="shared" si="78"/>
        <v>36</v>
      </c>
      <c r="D515" s="4">
        <f t="shared" si="72"/>
        <v>8</v>
      </c>
      <c r="E515" s="4" t="s">
        <v>27</v>
      </c>
      <c r="F515" s="4">
        <f t="shared" si="73"/>
        <v>800</v>
      </c>
      <c r="G515" s="5">
        <f t="shared" si="79"/>
        <v>1.01</v>
      </c>
      <c r="H515" s="6" t="str">
        <f t="shared" si="74"/>
        <v>INSERT INTO public.coupon (plancode, age, "year", couponrate, benefittype, benefitrate, premiumrate) VALUES('EN60', 35, 36, 8, 'A',800, 1.01);</v>
      </c>
      <c r="I515" s="6" t="str">
        <f t="shared" si="75"/>
        <v>{"age":"35", "year":"36", "couponrate":"8", "benefittype":"A", "benefitrate":"800", "premiumrate":"1.01"}</v>
      </c>
      <c r="J515" s="6" t="str">
        <f t="shared" si="76"/>
        <v>,</v>
      </c>
    </row>
    <row r="516" spans="1:10">
      <c r="A516" s="4" t="str">
        <f>'EN60'!A$3</f>
        <v>EN60</v>
      </c>
      <c r="B516" s="4">
        <f t="shared" si="77"/>
        <v>35</v>
      </c>
      <c r="C516" s="4">
        <f t="shared" si="78"/>
        <v>37</v>
      </c>
      <c r="D516" s="4">
        <f t="shared" si="72"/>
        <v>8</v>
      </c>
      <c r="E516" s="4" t="s">
        <v>27</v>
      </c>
      <c r="F516" s="4">
        <f t="shared" si="73"/>
        <v>800</v>
      </c>
      <c r="G516" s="5">
        <f t="shared" si="79"/>
        <v>1.01</v>
      </c>
      <c r="H516" s="6" t="str">
        <f t="shared" si="74"/>
        <v>INSERT INTO public.coupon (plancode, age, "year", couponrate, benefittype, benefitrate, premiumrate) VALUES('EN60', 35, 37, 8, 'A',800, 1.01);</v>
      </c>
      <c r="I516" s="6" t="str">
        <f t="shared" si="75"/>
        <v>{"age":"35", "year":"37", "couponrate":"8", "benefittype":"A", "benefitrate":"800", "premiumrate":"1.01"}</v>
      </c>
      <c r="J516" s="6" t="str">
        <f t="shared" si="76"/>
        <v>,</v>
      </c>
    </row>
    <row r="517" spans="1:10">
      <c r="A517" s="4" t="str">
        <f>'EN60'!A$3</f>
        <v>EN60</v>
      </c>
      <c r="B517" s="4">
        <f t="shared" si="77"/>
        <v>35</v>
      </c>
      <c r="C517" s="4">
        <f t="shared" si="78"/>
        <v>38</v>
      </c>
      <c r="D517" s="4">
        <f t="shared" si="72"/>
        <v>8</v>
      </c>
      <c r="E517" s="4" t="s">
        <v>27</v>
      </c>
      <c r="F517" s="4">
        <f t="shared" si="73"/>
        <v>800</v>
      </c>
      <c r="G517" s="5">
        <f t="shared" si="79"/>
        <v>1.01</v>
      </c>
      <c r="H517" s="6" t="str">
        <f t="shared" si="74"/>
        <v>INSERT INTO public.coupon (plancode, age, "year", couponrate, benefittype, benefitrate, premiumrate) VALUES('EN60', 35, 38, 8, 'A',800, 1.01);</v>
      </c>
      <c r="I517" s="6" t="str">
        <f t="shared" si="75"/>
        <v>{"age":"35", "year":"38", "couponrate":"8", "benefittype":"A", "benefitrate":"800", "premiumrate":"1.01"}</v>
      </c>
      <c r="J517" s="6" t="str">
        <f t="shared" si="76"/>
        <v>,</v>
      </c>
    </row>
    <row r="518" spans="1:10">
      <c r="A518" s="4" t="str">
        <f>'EN60'!A$3</f>
        <v>EN60</v>
      </c>
      <c r="B518" s="4">
        <f t="shared" si="77"/>
        <v>35</v>
      </c>
      <c r="C518" s="4">
        <f t="shared" si="78"/>
        <v>39</v>
      </c>
      <c r="D518" s="4">
        <f t="shared" si="72"/>
        <v>8</v>
      </c>
      <c r="E518" s="4" t="s">
        <v>27</v>
      </c>
      <c r="F518" s="4">
        <f t="shared" si="73"/>
        <v>800</v>
      </c>
      <c r="G518" s="5">
        <f t="shared" si="79"/>
        <v>1.01</v>
      </c>
      <c r="H518" s="6" t="str">
        <f t="shared" si="74"/>
        <v>INSERT INTO public.coupon (plancode, age, "year", couponrate, benefittype, benefitrate, premiumrate) VALUES('EN60', 35, 39, 8, 'A',800, 1.01);</v>
      </c>
      <c r="I518" s="6" t="str">
        <f t="shared" si="75"/>
        <v>{"age":"35", "year":"39", "couponrate":"8", "benefittype":"A", "benefitrate":"800", "premiumrate":"1.01"}</v>
      </c>
      <c r="J518" s="6" t="str">
        <f t="shared" si="76"/>
        <v>,</v>
      </c>
    </row>
    <row r="519" spans="1:10">
      <c r="A519" s="4" t="str">
        <f>'EN60'!A$3</f>
        <v>EN60</v>
      </c>
      <c r="B519" s="4">
        <f t="shared" si="77"/>
        <v>35</v>
      </c>
      <c r="C519" s="4">
        <f t="shared" si="78"/>
        <v>40</v>
      </c>
      <c r="D519" s="4">
        <f t="shared" si="72"/>
        <v>8</v>
      </c>
      <c r="E519" s="4" t="s">
        <v>27</v>
      </c>
      <c r="F519" s="4">
        <f t="shared" si="73"/>
        <v>800</v>
      </c>
      <c r="G519" s="5">
        <f t="shared" si="79"/>
        <v>1.01</v>
      </c>
      <c r="H519" s="6" t="str">
        <f t="shared" si="74"/>
        <v>INSERT INTO public.coupon (plancode, age, "year", couponrate, benefittype, benefitrate, premiumrate) VALUES('EN60', 35, 40, 8, 'A',800, 1.01);</v>
      </c>
      <c r="I519" s="6" t="str">
        <f t="shared" si="75"/>
        <v>{"age":"35", "year":"40", "couponrate":"8", "benefittype":"A", "benefitrate":"800", "premiumrate":"1.01"}</v>
      </c>
      <c r="J519" s="6" t="str">
        <f t="shared" si="76"/>
        <v>,</v>
      </c>
    </row>
    <row r="520" spans="1:10">
      <c r="A520" s="4" t="str">
        <f>'EN60'!A$3</f>
        <v>EN60</v>
      </c>
      <c r="B520" s="4">
        <f t="shared" si="77"/>
        <v>35</v>
      </c>
      <c r="C520" s="4">
        <f t="shared" si="78"/>
        <v>41</v>
      </c>
      <c r="D520" s="4">
        <f t="shared" si="72"/>
        <v>8</v>
      </c>
      <c r="E520" s="4" t="s">
        <v>27</v>
      </c>
      <c r="F520" s="4">
        <f t="shared" si="73"/>
        <v>800</v>
      </c>
      <c r="G520" s="5">
        <f t="shared" si="79"/>
        <v>1.01</v>
      </c>
      <c r="H520" s="6" t="str">
        <f t="shared" si="74"/>
        <v>INSERT INTO public.coupon (plancode, age, "year", couponrate, benefittype, benefitrate, premiumrate) VALUES('EN60', 35, 41, 8, 'A',800, 1.01);</v>
      </c>
      <c r="I520" s="6" t="str">
        <f t="shared" si="75"/>
        <v>{"age":"35", "year":"41", "couponrate":"8", "benefittype":"A", "benefitrate":"800", "premiumrate":"1.01"}</v>
      </c>
      <c r="J520" s="6" t="str">
        <f t="shared" si="76"/>
        <v>,</v>
      </c>
    </row>
    <row r="521" spans="1:10">
      <c r="A521" s="4" t="str">
        <f>'EN60'!A$3</f>
        <v>EN60</v>
      </c>
      <c r="B521" s="4">
        <f t="shared" si="77"/>
        <v>35</v>
      </c>
      <c r="C521" s="4">
        <f t="shared" si="78"/>
        <v>42</v>
      </c>
      <c r="D521" s="4">
        <f t="shared" si="72"/>
        <v>8</v>
      </c>
      <c r="E521" s="4" t="s">
        <v>27</v>
      </c>
      <c r="F521" s="4">
        <f t="shared" si="73"/>
        <v>800</v>
      </c>
      <c r="G521" s="5">
        <f t="shared" si="79"/>
        <v>1.01</v>
      </c>
      <c r="H521" s="6" t="str">
        <f t="shared" si="74"/>
        <v>INSERT INTO public.coupon (plancode, age, "year", couponrate, benefittype, benefitrate, premiumrate) VALUES('EN60', 35, 42, 8, 'A',800, 1.01);</v>
      </c>
      <c r="I521" s="6" t="str">
        <f t="shared" si="75"/>
        <v>{"age":"35", "year":"42", "couponrate":"8", "benefittype":"A", "benefitrate":"800", "premiumrate":"1.01"}</v>
      </c>
      <c r="J521" s="6" t="str">
        <f t="shared" si="76"/>
        <v>,</v>
      </c>
    </row>
    <row r="522" spans="1:10">
      <c r="A522" s="4" t="str">
        <f>'EN60'!A$3</f>
        <v>EN60</v>
      </c>
      <c r="B522" s="4">
        <f t="shared" si="77"/>
        <v>35</v>
      </c>
      <c r="C522" s="4">
        <f t="shared" si="78"/>
        <v>43</v>
      </c>
      <c r="D522" s="4">
        <f t="shared" si="72"/>
        <v>8</v>
      </c>
      <c r="E522" s="4" t="s">
        <v>27</v>
      </c>
      <c r="F522" s="4">
        <f t="shared" si="73"/>
        <v>800</v>
      </c>
      <c r="G522" s="5">
        <f t="shared" si="79"/>
        <v>1.01</v>
      </c>
      <c r="H522" s="6" t="str">
        <f t="shared" si="74"/>
        <v>INSERT INTO public.coupon (plancode, age, "year", couponrate, benefittype, benefitrate, premiumrate) VALUES('EN60', 35, 43, 8, 'A',800, 1.01);</v>
      </c>
      <c r="I522" s="6" t="str">
        <f t="shared" si="75"/>
        <v>{"age":"35", "year":"43", "couponrate":"8", "benefittype":"A", "benefitrate":"800", "premiumrate":"1.01"}</v>
      </c>
      <c r="J522" s="6" t="str">
        <f t="shared" si="76"/>
        <v>,</v>
      </c>
    </row>
    <row r="523" spans="1:10">
      <c r="A523" s="4" t="str">
        <f>'EN60'!A$3</f>
        <v>EN60</v>
      </c>
      <c r="B523" s="4">
        <f t="shared" si="77"/>
        <v>35</v>
      </c>
      <c r="C523" s="4">
        <f t="shared" si="78"/>
        <v>44</v>
      </c>
      <c r="D523" s="4">
        <f t="shared" si="72"/>
        <v>8</v>
      </c>
      <c r="E523" s="4" t="s">
        <v>27</v>
      </c>
      <c r="F523" s="4">
        <f t="shared" si="73"/>
        <v>800</v>
      </c>
      <c r="G523" s="5">
        <f t="shared" si="79"/>
        <v>1.01</v>
      </c>
      <c r="H523" s="6" t="str">
        <f t="shared" si="74"/>
        <v>INSERT INTO public.coupon (plancode, age, "year", couponrate, benefittype, benefitrate, premiumrate) VALUES('EN60', 35, 44, 8, 'A',800, 1.01);</v>
      </c>
      <c r="I523" s="6" t="str">
        <f t="shared" si="75"/>
        <v>{"age":"35", "year":"44", "couponrate":"8", "benefittype":"A", "benefitrate":"800", "premiumrate":"1.01"}</v>
      </c>
      <c r="J523" s="6" t="str">
        <f t="shared" si="76"/>
        <v>,</v>
      </c>
    </row>
    <row r="524" spans="1:10">
      <c r="A524" s="4" t="str">
        <f>'EN60'!A$3</f>
        <v>EN60</v>
      </c>
      <c r="B524" s="4">
        <f t="shared" si="77"/>
        <v>35</v>
      </c>
      <c r="C524" s="4">
        <f t="shared" si="78"/>
        <v>45</v>
      </c>
      <c r="D524" s="4">
        <f t="shared" si="72"/>
        <v>0</v>
      </c>
      <c r="E524" s="4" t="s">
        <v>27</v>
      </c>
      <c r="F524" s="4">
        <f t="shared" si="73"/>
        <v>800</v>
      </c>
      <c r="G524" s="5">
        <f t="shared" si="79"/>
        <v>1.01</v>
      </c>
      <c r="H524" s="6" t="str">
        <f t="shared" si="74"/>
        <v>INSERT INTO public.coupon (plancode, age, "year", couponrate, benefittype, benefitrate, premiumrate) VALUES('EN60', 35, 45, 0, 'A',800, 1.01);</v>
      </c>
      <c r="I524" s="6" t="str">
        <f t="shared" si="75"/>
        <v>{"age":"35", "year":"45", "couponrate":"0", "benefittype":"A", "benefitrate":"800", "premiumrate":"1.01"}</v>
      </c>
    </row>
    <row r="525" spans="1:10">
      <c r="C525" s="6"/>
      <c r="I525" s="6" t="s">
        <v>28</v>
      </c>
    </row>
    <row r="526" spans="1:10">
      <c r="A526" s="3" t="s">
        <v>2</v>
      </c>
      <c r="B526" s="3" t="s">
        <v>23</v>
      </c>
      <c r="C526" s="3" t="s">
        <v>24</v>
      </c>
      <c r="D526" s="3" t="s">
        <v>25</v>
      </c>
      <c r="E526" s="3" t="s">
        <v>8</v>
      </c>
      <c r="F526" s="3" t="s">
        <v>26</v>
      </c>
      <c r="G526" s="3" t="s">
        <v>4</v>
      </c>
      <c r="I526" s="6" t="str">
        <f>"[{""plancode"":"""&amp;A527&amp;""",""returncash"":"""&amp;B$7&amp;""",""ytable"":"""&amp;C$7&amp;""",""maturerate"":"""&amp;B$3&amp;""",""maturepmrate"":"""&amp;C$3&amp;""",""coupon"":["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527" spans="1:10">
      <c r="A527" s="4" t="str">
        <f>'EN60'!A$3</f>
        <v>EN60</v>
      </c>
      <c r="B527" s="8">
        <v>36</v>
      </c>
      <c r="C527" s="4">
        <v>1</v>
      </c>
      <c r="D527" s="4">
        <f t="shared" ref="D527:D570" si="80">IF(C527+B527=80,0,8)</f>
        <v>8</v>
      </c>
      <c r="E527" s="4" t="s">
        <v>27</v>
      </c>
      <c r="F527" s="4">
        <f t="shared" ref="F527:F570" si="81">IF(C527&gt;7, 800, C527*100)</f>
        <v>100</v>
      </c>
      <c r="G527" s="5">
        <f>'EN60'!C$3</f>
        <v>1.01</v>
      </c>
      <c r="H527" s="6" t="str">
        <f t="shared" ref="H527:H570" si="82">"INSERT INTO public.coupon ("&amp;A$11&amp;", "&amp;B$11&amp;", """&amp;C$11&amp;""", "&amp;D$11&amp;", "&amp;E$11&amp;", "&amp;F$11&amp;", "&amp;G$11&amp;") VALUES('"&amp;A527&amp;"', "&amp;B527&amp;", "&amp;C527&amp;", "&amp;D527&amp;", '"&amp;E527&amp;"',"&amp;F527&amp;", "&amp;G527&amp;");"</f>
        <v>INSERT INTO public.coupon (plancode, age, "year", couponrate, benefittype, benefitrate, premiumrate) VALUES('EN60', 36, 1, 8, 'A',100, 1.01);</v>
      </c>
      <c r="I527" s="6" t="str">
        <f t="shared" ref="I527:I570" si="83">"{""age"":"""&amp;B527&amp;""", ""year"":"""&amp;C527&amp;""", ""couponrate"":"""&amp;D527&amp;""", ""benefittype"":"""&amp;E527&amp;""", ""benefitrate"":"""&amp;F527&amp;""", """&amp;G$11&amp;""":"""&amp;G527&amp;"""}"</f>
        <v>{"age":"36", "year":"1", "couponrate":"8", "benefittype":"A", "benefitrate":"100", "premiumrate":"1.01"}</v>
      </c>
      <c r="J527" s="6" t="str">
        <f t="shared" ref="J527:J569" si="84">IF(OR(I528="]", I527="[", I527="]"), "", ",")</f>
        <v>,</v>
      </c>
    </row>
    <row r="528" spans="1:10">
      <c r="A528" s="4" t="str">
        <f>'EN60'!A$3</f>
        <v>EN60</v>
      </c>
      <c r="B528" s="4">
        <f t="shared" ref="B528:B570" si="85">B527</f>
        <v>36</v>
      </c>
      <c r="C528" s="4">
        <f t="shared" ref="C528:C570" si="86">C527+1</f>
        <v>2</v>
      </c>
      <c r="D528" s="4">
        <f t="shared" si="80"/>
        <v>8</v>
      </c>
      <c r="E528" s="4" t="s">
        <v>27</v>
      </c>
      <c r="F528" s="4">
        <f t="shared" si="81"/>
        <v>200</v>
      </c>
      <c r="G528" s="5">
        <f t="shared" ref="G528:G570" si="87">G527</f>
        <v>1.01</v>
      </c>
      <c r="H528" s="6" t="str">
        <f t="shared" si="82"/>
        <v>INSERT INTO public.coupon (plancode, age, "year", couponrate, benefittype, benefitrate, premiumrate) VALUES('EN60', 36, 2, 8, 'A',200, 1.01);</v>
      </c>
      <c r="I528" s="6" t="str">
        <f t="shared" si="83"/>
        <v>{"age":"36", "year":"2", "couponrate":"8", "benefittype":"A", "benefitrate":"200", "premiumrate":"1.01"}</v>
      </c>
      <c r="J528" s="6" t="str">
        <f t="shared" si="84"/>
        <v>,</v>
      </c>
    </row>
    <row r="529" spans="1:10">
      <c r="A529" s="4" t="str">
        <f>'EN60'!A$3</f>
        <v>EN60</v>
      </c>
      <c r="B529" s="4">
        <f t="shared" si="85"/>
        <v>36</v>
      </c>
      <c r="C529" s="4">
        <f t="shared" si="86"/>
        <v>3</v>
      </c>
      <c r="D529" s="4">
        <f t="shared" si="80"/>
        <v>8</v>
      </c>
      <c r="E529" s="4" t="s">
        <v>27</v>
      </c>
      <c r="F529" s="4">
        <f t="shared" si="81"/>
        <v>300</v>
      </c>
      <c r="G529" s="5">
        <f t="shared" si="87"/>
        <v>1.01</v>
      </c>
      <c r="H529" s="6" t="str">
        <f t="shared" si="82"/>
        <v>INSERT INTO public.coupon (plancode, age, "year", couponrate, benefittype, benefitrate, premiumrate) VALUES('EN60', 36, 3, 8, 'A',300, 1.01);</v>
      </c>
      <c r="I529" s="6" t="str">
        <f t="shared" si="83"/>
        <v>{"age":"36", "year":"3", "couponrate":"8", "benefittype":"A", "benefitrate":"300", "premiumrate":"1.01"}</v>
      </c>
      <c r="J529" s="6" t="str">
        <f t="shared" si="84"/>
        <v>,</v>
      </c>
    </row>
    <row r="530" spans="1:10">
      <c r="A530" s="4" t="str">
        <f>'EN60'!A$3</f>
        <v>EN60</v>
      </c>
      <c r="B530" s="4">
        <f t="shared" si="85"/>
        <v>36</v>
      </c>
      <c r="C530" s="4">
        <f t="shared" si="86"/>
        <v>4</v>
      </c>
      <c r="D530" s="4">
        <f t="shared" si="80"/>
        <v>8</v>
      </c>
      <c r="E530" s="4" t="s">
        <v>27</v>
      </c>
      <c r="F530" s="4">
        <f t="shared" si="81"/>
        <v>400</v>
      </c>
      <c r="G530" s="5">
        <f t="shared" si="87"/>
        <v>1.01</v>
      </c>
      <c r="H530" s="6" t="str">
        <f t="shared" si="82"/>
        <v>INSERT INTO public.coupon (plancode, age, "year", couponrate, benefittype, benefitrate, premiumrate) VALUES('EN60', 36, 4, 8, 'A',400, 1.01);</v>
      </c>
      <c r="I530" s="6" t="str">
        <f t="shared" si="83"/>
        <v>{"age":"36", "year":"4", "couponrate":"8", "benefittype":"A", "benefitrate":"400", "premiumrate":"1.01"}</v>
      </c>
      <c r="J530" s="6" t="str">
        <f t="shared" si="84"/>
        <v>,</v>
      </c>
    </row>
    <row r="531" spans="1:10">
      <c r="A531" s="4" t="str">
        <f>'EN60'!A$3</f>
        <v>EN60</v>
      </c>
      <c r="B531" s="4">
        <f t="shared" si="85"/>
        <v>36</v>
      </c>
      <c r="C531" s="4">
        <f t="shared" si="86"/>
        <v>5</v>
      </c>
      <c r="D531" s="4">
        <f t="shared" si="80"/>
        <v>8</v>
      </c>
      <c r="E531" s="4" t="s">
        <v>27</v>
      </c>
      <c r="F531" s="4">
        <f t="shared" si="81"/>
        <v>500</v>
      </c>
      <c r="G531" s="5">
        <f t="shared" si="87"/>
        <v>1.01</v>
      </c>
      <c r="H531" s="6" t="str">
        <f t="shared" si="82"/>
        <v>INSERT INTO public.coupon (plancode, age, "year", couponrate, benefittype, benefitrate, premiumrate) VALUES('EN60', 36, 5, 8, 'A',500, 1.01);</v>
      </c>
      <c r="I531" s="6" t="str">
        <f t="shared" si="83"/>
        <v>{"age":"36", "year":"5", "couponrate":"8", "benefittype":"A", "benefitrate":"500", "premiumrate":"1.01"}</v>
      </c>
      <c r="J531" s="6" t="str">
        <f t="shared" si="84"/>
        <v>,</v>
      </c>
    </row>
    <row r="532" spans="1:10">
      <c r="A532" s="4" t="str">
        <f>'EN60'!A$3</f>
        <v>EN60</v>
      </c>
      <c r="B532" s="4">
        <f t="shared" si="85"/>
        <v>36</v>
      </c>
      <c r="C532" s="4">
        <f t="shared" si="86"/>
        <v>6</v>
      </c>
      <c r="D532" s="4">
        <f t="shared" si="80"/>
        <v>8</v>
      </c>
      <c r="E532" s="4" t="s">
        <v>27</v>
      </c>
      <c r="F532" s="4">
        <f t="shared" si="81"/>
        <v>600</v>
      </c>
      <c r="G532" s="5">
        <f t="shared" si="87"/>
        <v>1.01</v>
      </c>
      <c r="H532" s="6" t="str">
        <f t="shared" si="82"/>
        <v>INSERT INTO public.coupon (plancode, age, "year", couponrate, benefittype, benefitrate, premiumrate) VALUES('EN60', 36, 6, 8, 'A',600, 1.01);</v>
      </c>
      <c r="I532" s="6" t="str">
        <f t="shared" si="83"/>
        <v>{"age":"36", "year":"6", "couponrate":"8", "benefittype":"A", "benefitrate":"600", "premiumrate":"1.01"}</v>
      </c>
      <c r="J532" s="6" t="str">
        <f t="shared" si="84"/>
        <v>,</v>
      </c>
    </row>
    <row r="533" spans="1:10">
      <c r="A533" s="4" t="str">
        <f>'EN60'!A$3</f>
        <v>EN60</v>
      </c>
      <c r="B533" s="4">
        <f t="shared" si="85"/>
        <v>36</v>
      </c>
      <c r="C533" s="4">
        <f t="shared" si="86"/>
        <v>7</v>
      </c>
      <c r="D533" s="4">
        <f t="shared" si="80"/>
        <v>8</v>
      </c>
      <c r="E533" s="4" t="s">
        <v>27</v>
      </c>
      <c r="F533" s="4">
        <f t="shared" si="81"/>
        <v>700</v>
      </c>
      <c r="G533" s="5">
        <f t="shared" si="87"/>
        <v>1.01</v>
      </c>
      <c r="H533" s="6" t="str">
        <f t="shared" si="82"/>
        <v>INSERT INTO public.coupon (plancode, age, "year", couponrate, benefittype, benefitrate, premiumrate) VALUES('EN60', 36, 7, 8, 'A',700, 1.01);</v>
      </c>
      <c r="I533" s="6" t="str">
        <f t="shared" si="83"/>
        <v>{"age":"36", "year":"7", "couponrate":"8", "benefittype":"A", "benefitrate":"700", "premiumrate":"1.01"}</v>
      </c>
      <c r="J533" s="6" t="str">
        <f t="shared" si="84"/>
        <v>,</v>
      </c>
    </row>
    <row r="534" spans="1:10">
      <c r="A534" s="4" t="str">
        <f>'EN60'!A$3</f>
        <v>EN60</v>
      </c>
      <c r="B534" s="4">
        <f t="shared" si="85"/>
        <v>36</v>
      </c>
      <c r="C534" s="4">
        <f t="shared" si="86"/>
        <v>8</v>
      </c>
      <c r="D534" s="4">
        <f t="shared" si="80"/>
        <v>8</v>
      </c>
      <c r="E534" s="4" t="s">
        <v>27</v>
      </c>
      <c r="F534" s="4">
        <f t="shared" si="81"/>
        <v>800</v>
      </c>
      <c r="G534" s="5">
        <f t="shared" si="87"/>
        <v>1.01</v>
      </c>
      <c r="H534" s="6" t="str">
        <f t="shared" si="82"/>
        <v>INSERT INTO public.coupon (plancode, age, "year", couponrate, benefittype, benefitrate, premiumrate) VALUES('EN60', 36, 8, 8, 'A',800, 1.01);</v>
      </c>
      <c r="I534" s="6" t="str">
        <f t="shared" si="83"/>
        <v>{"age":"36", "year":"8", "couponrate":"8", "benefittype":"A", "benefitrate":"800", "premiumrate":"1.01"}</v>
      </c>
      <c r="J534" s="6" t="str">
        <f t="shared" si="84"/>
        <v>,</v>
      </c>
    </row>
    <row r="535" spans="1:10">
      <c r="A535" s="4" t="str">
        <f>'EN60'!A$3</f>
        <v>EN60</v>
      </c>
      <c r="B535" s="4">
        <f t="shared" si="85"/>
        <v>36</v>
      </c>
      <c r="C535" s="4">
        <f t="shared" si="86"/>
        <v>9</v>
      </c>
      <c r="D535" s="4">
        <f t="shared" si="80"/>
        <v>8</v>
      </c>
      <c r="E535" s="4" t="s">
        <v>27</v>
      </c>
      <c r="F535" s="4">
        <f t="shared" si="81"/>
        <v>800</v>
      </c>
      <c r="G535" s="5">
        <f t="shared" si="87"/>
        <v>1.01</v>
      </c>
      <c r="H535" s="6" t="str">
        <f t="shared" si="82"/>
        <v>INSERT INTO public.coupon (plancode, age, "year", couponrate, benefittype, benefitrate, premiumrate) VALUES('EN60', 36, 9, 8, 'A',800, 1.01);</v>
      </c>
      <c r="I535" s="6" t="str">
        <f t="shared" si="83"/>
        <v>{"age":"36", "year":"9", "couponrate":"8", "benefittype":"A", "benefitrate":"800", "premiumrate":"1.01"}</v>
      </c>
      <c r="J535" s="6" t="str">
        <f t="shared" si="84"/>
        <v>,</v>
      </c>
    </row>
    <row r="536" spans="1:10">
      <c r="A536" s="4" t="str">
        <f>'EN60'!A$3</f>
        <v>EN60</v>
      </c>
      <c r="B536" s="4">
        <f t="shared" si="85"/>
        <v>36</v>
      </c>
      <c r="C536" s="4">
        <f t="shared" si="86"/>
        <v>10</v>
      </c>
      <c r="D536" s="4">
        <f t="shared" si="80"/>
        <v>8</v>
      </c>
      <c r="E536" s="4" t="s">
        <v>27</v>
      </c>
      <c r="F536" s="4">
        <f t="shared" si="81"/>
        <v>800</v>
      </c>
      <c r="G536" s="5">
        <f t="shared" si="87"/>
        <v>1.01</v>
      </c>
      <c r="H536" s="6" t="str">
        <f t="shared" si="82"/>
        <v>INSERT INTO public.coupon (plancode, age, "year", couponrate, benefittype, benefitrate, premiumrate) VALUES('EN60', 36, 10, 8, 'A',800, 1.01);</v>
      </c>
      <c r="I536" s="6" t="str">
        <f t="shared" si="83"/>
        <v>{"age":"36", "year":"10", "couponrate":"8", "benefittype":"A", "benefitrate":"800", "premiumrate":"1.01"}</v>
      </c>
      <c r="J536" s="6" t="str">
        <f t="shared" si="84"/>
        <v>,</v>
      </c>
    </row>
    <row r="537" spans="1:10">
      <c r="A537" s="4" t="str">
        <f>'EN60'!A$3</f>
        <v>EN60</v>
      </c>
      <c r="B537" s="4">
        <f t="shared" si="85"/>
        <v>36</v>
      </c>
      <c r="C537" s="4">
        <f t="shared" si="86"/>
        <v>11</v>
      </c>
      <c r="D537" s="4">
        <f t="shared" si="80"/>
        <v>8</v>
      </c>
      <c r="E537" s="4" t="s">
        <v>27</v>
      </c>
      <c r="F537" s="4">
        <f t="shared" si="81"/>
        <v>800</v>
      </c>
      <c r="G537" s="5">
        <f t="shared" si="87"/>
        <v>1.01</v>
      </c>
      <c r="H537" s="6" t="str">
        <f t="shared" si="82"/>
        <v>INSERT INTO public.coupon (plancode, age, "year", couponrate, benefittype, benefitrate, premiumrate) VALUES('EN60', 36, 11, 8, 'A',800, 1.01);</v>
      </c>
      <c r="I537" s="6" t="str">
        <f t="shared" si="83"/>
        <v>{"age":"36", "year":"11", "couponrate":"8", "benefittype":"A", "benefitrate":"800", "premiumrate":"1.01"}</v>
      </c>
      <c r="J537" s="6" t="str">
        <f t="shared" si="84"/>
        <v>,</v>
      </c>
    </row>
    <row r="538" spans="1:10">
      <c r="A538" s="4" t="str">
        <f>'EN60'!A$3</f>
        <v>EN60</v>
      </c>
      <c r="B538" s="4">
        <f t="shared" si="85"/>
        <v>36</v>
      </c>
      <c r="C538" s="4">
        <f t="shared" si="86"/>
        <v>12</v>
      </c>
      <c r="D538" s="4">
        <f t="shared" si="80"/>
        <v>8</v>
      </c>
      <c r="E538" s="4" t="s">
        <v>27</v>
      </c>
      <c r="F538" s="4">
        <f t="shared" si="81"/>
        <v>800</v>
      </c>
      <c r="G538" s="5">
        <f t="shared" si="87"/>
        <v>1.01</v>
      </c>
      <c r="H538" s="6" t="str">
        <f t="shared" si="82"/>
        <v>INSERT INTO public.coupon (plancode, age, "year", couponrate, benefittype, benefitrate, premiumrate) VALUES('EN60', 36, 12, 8, 'A',800, 1.01);</v>
      </c>
      <c r="I538" s="6" t="str">
        <f t="shared" si="83"/>
        <v>{"age":"36", "year":"12", "couponrate":"8", "benefittype":"A", "benefitrate":"800", "premiumrate":"1.01"}</v>
      </c>
      <c r="J538" s="6" t="str">
        <f t="shared" si="84"/>
        <v>,</v>
      </c>
    </row>
    <row r="539" spans="1:10">
      <c r="A539" s="4" t="str">
        <f>'EN60'!A$3</f>
        <v>EN60</v>
      </c>
      <c r="B539" s="4">
        <f t="shared" si="85"/>
        <v>36</v>
      </c>
      <c r="C539" s="4">
        <f t="shared" si="86"/>
        <v>13</v>
      </c>
      <c r="D539" s="4">
        <f t="shared" si="80"/>
        <v>8</v>
      </c>
      <c r="E539" s="4" t="s">
        <v>27</v>
      </c>
      <c r="F539" s="4">
        <f t="shared" si="81"/>
        <v>800</v>
      </c>
      <c r="G539" s="5">
        <f t="shared" si="87"/>
        <v>1.01</v>
      </c>
      <c r="H539" s="6" t="str">
        <f t="shared" si="82"/>
        <v>INSERT INTO public.coupon (plancode, age, "year", couponrate, benefittype, benefitrate, premiumrate) VALUES('EN60', 36, 13, 8, 'A',800, 1.01);</v>
      </c>
      <c r="I539" s="6" t="str">
        <f t="shared" si="83"/>
        <v>{"age":"36", "year":"13", "couponrate":"8", "benefittype":"A", "benefitrate":"800", "premiumrate":"1.01"}</v>
      </c>
      <c r="J539" s="6" t="str">
        <f t="shared" si="84"/>
        <v>,</v>
      </c>
    </row>
    <row r="540" spans="1:10">
      <c r="A540" s="4" t="str">
        <f>'EN60'!A$3</f>
        <v>EN60</v>
      </c>
      <c r="B540" s="4">
        <f t="shared" si="85"/>
        <v>36</v>
      </c>
      <c r="C540" s="4">
        <f t="shared" si="86"/>
        <v>14</v>
      </c>
      <c r="D540" s="4">
        <f t="shared" si="80"/>
        <v>8</v>
      </c>
      <c r="E540" s="4" t="s">
        <v>27</v>
      </c>
      <c r="F540" s="4">
        <f t="shared" si="81"/>
        <v>800</v>
      </c>
      <c r="G540" s="5">
        <f t="shared" si="87"/>
        <v>1.01</v>
      </c>
      <c r="H540" s="6" t="str">
        <f t="shared" si="82"/>
        <v>INSERT INTO public.coupon (plancode, age, "year", couponrate, benefittype, benefitrate, premiumrate) VALUES('EN60', 36, 14, 8, 'A',800, 1.01);</v>
      </c>
      <c r="I540" s="6" t="str">
        <f t="shared" si="83"/>
        <v>{"age":"36", "year":"14", "couponrate":"8", "benefittype":"A", "benefitrate":"800", "premiumrate":"1.01"}</v>
      </c>
      <c r="J540" s="6" t="str">
        <f t="shared" si="84"/>
        <v>,</v>
      </c>
    </row>
    <row r="541" spans="1:10">
      <c r="A541" s="4" t="str">
        <f>'EN60'!A$3</f>
        <v>EN60</v>
      </c>
      <c r="B541" s="4">
        <f t="shared" si="85"/>
        <v>36</v>
      </c>
      <c r="C541" s="4">
        <f t="shared" si="86"/>
        <v>15</v>
      </c>
      <c r="D541" s="4">
        <f t="shared" si="80"/>
        <v>8</v>
      </c>
      <c r="E541" s="4" t="s">
        <v>27</v>
      </c>
      <c r="F541" s="4">
        <f t="shared" si="81"/>
        <v>800</v>
      </c>
      <c r="G541" s="5">
        <f t="shared" si="87"/>
        <v>1.01</v>
      </c>
      <c r="H541" s="6" t="str">
        <f t="shared" si="82"/>
        <v>INSERT INTO public.coupon (plancode, age, "year", couponrate, benefittype, benefitrate, premiumrate) VALUES('EN60', 36, 15, 8, 'A',800, 1.01);</v>
      </c>
      <c r="I541" s="6" t="str">
        <f t="shared" si="83"/>
        <v>{"age":"36", "year":"15", "couponrate":"8", "benefittype":"A", "benefitrate":"800", "premiumrate":"1.01"}</v>
      </c>
      <c r="J541" s="6" t="str">
        <f t="shared" si="84"/>
        <v>,</v>
      </c>
    </row>
    <row r="542" spans="1:10">
      <c r="A542" s="4" t="str">
        <f>'EN60'!A$3</f>
        <v>EN60</v>
      </c>
      <c r="B542" s="4">
        <f t="shared" si="85"/>
        <v>36</v>
      </c>
      <c r="C542" s="4">
        <f t="shared" si="86"/>
        <v>16</v>
      </c>
      <c r="D542" s="4">
        <f t="shared" si="80"/>
        <v>8</v>
      </c>
      <c r="E542" s="4" t="s">
        <v>27</v>
      </c>
      <c r="F542" s="4">
        <f t="shared" si="81"/>
        <v>800</v>
      </c>
      <c r="G542" s="5">
        <f t="shared" si="87"/>
        <v>1.01</v>
      </c>
      <c r="H542" s="6" t="str">
        <f t="shared" si="82"/>
        <v>INSERT INTO public.coupon (plancode, age, "year", couponrate, benefittype, benefitrate, premiumrate) VALUES('EN60', 36, 16, 8, 'A',800, 1.01);</v>
      </c>
      <c r="I542" s="6" t="str">
        <f t="shared" si="83"/>
        <v>{"age":"36", "year":"16", "couponrate":"8", "benefittype":"A", "benefitrate":"800", "premiumrate":"1.01"}</v>
      </c>
      <c r="J542" s="6" t="str">
        <f t="shared" si="84"/>
        <v>,</v>
      </c>
    </row>
    <row r="543" spans="1:10">
      <c r="A543" s="4" t="str">
        <f>'EN60'!A$3</f>
        <v>EN60</v>
      </c>
      <c r="B543" s="4">
        <f t="shared" si="85"/>
        <v>36</v>
      </c>
      <c r="C543" s="4">
        <f t="shared" si="86"/>
        <v>17</v>
      </c>
      <c r="D543" s="4">
        <f t="shared" si="80"/>
        <v>8</v>
      </c>
      <c r="E543" s="4" t="s">
        <v>27</v>
      </c>
      <c r="F543" s="4">
        <f t="shared" si="81"/>
        <v>800</v>
      </c>
      <c r="G543" s="5">
        <f t="shared" si="87"/>
        <v>1.01</v>
      </c>
      <c r="H543" s="6" t="str">
        <f t="shared" si="82"/>
        <v>INSERT INTO public.coupon (plancode, age, "year", couponrate, benefittype, benefitrate, premiumrate) VALUES('EN60', 36, 17, 8, 'A',800, 1.01);</v>
      </c>
      <c r="I543" s="6" t="str">
        <f t="shared" si="83"/>
        <v>{"age":"36", "year":"17", "couponrate":"8", "benefittype":"A", "benefitrate":"800", "premiumrate":"1.01"}</v>
      </c>
      <c r="J543" s="6" t="str">
        <f t="shared" si="84"/>
        <v>,</v>
      </c>
    </row>
    <row r="544" spans="1:10">
      <c r="A544" s="4" t="str">
        <f>'EN60'!A$3</f>
        <v>EN60</v>
      </c>
      <c r="B544" s="4">
        <f t="shared" si="85"/>
        <v>36</v>
      </c>
      <c r="C544" s="4">
        <f t="shared" si="86"/>
        <v>18</v>
      </c>
      <c r="D544" s="4">
        <f t="shared" si="80"/>
        <v>8</v>
      </c>
      <c r="E544" s="4" t="s">
        <v>27</v>
      </c>
      <c r="F544" s="4">
        <f t="shared" si="81"/>
        <v>800</v>
      </c>
      <c r="G544" s="5">
        <f t="shared" si="87"/>
        <v>1.01</v>
      </c>
      <c r="H544" s="6" t="str">
        <f t="shared" si="82"/>
        <v>INSERT INTO public.coupon (plancode, age, "year", couponrate, benefittype, benefitrate, premiumrate) VALUES('EN60', 36, 18, 8, 'A',800, 1.01);</v>
      </c>
      <c r="I544" s="6" t="str">
        <f t="shared" si="83"/>
        <v>{"age":"36", "year":"18", "couponrate":"8", "benefittype":"A", "benefitrate":"800", "premiumrate":"1.01"}</v>
      </c>
      <c r="J544" s="6" t="str">
        <f t="shared" si="84"/>
        <v>,</v>
      </c>
    </row>
    <row r="545" spans="1:10">
      <c r="A545" s="4" t="str">
        <f>'EN60'!A$3</f>
        <v>EN60</v>
      </c>
      <c r="B545" s="4">
        <f t="shared" si="85"/>
        <v>36</v>
      </c>
      <c r="C545" s="4">
        <f t="shared" si="86"/>
        <v>19</v>
      </c>
      <c r="D545" s="4">
        <f t="shared" si="80"/>
        <v>8</v>
      </c>
      <c r="E545" s="4" t="s">
        <v>27</v>
      </c>
      <c r="F545" s="4">
        <f t="shared" si="81"/>
        <v>800</v>
      </c>
      <c r="G545" s="5">
        <f t="shared" si="87"/>
        <v>1.01</v>
      </c>
      <c r="H545" s="6" t="str">
        <f t="shared" si="82"/>
        <v>INSERT INTO public.coupon (plancode, age, "year", couponrate, benefittype, benefitrate, premiumrate) VALUES('EN60', 36, 19, 8, 'A',800, 1.01);</v>
      </c>
      <c r="I545" s="6" t="str">
        <f t="shared" si="83"/>
        <v>{"age":"36", "year":"19", "couponrate":"8", "benefittype":"A", "benefitrate":"800", "premiumrate":"1.01"}</v>
      </c>
      <c r="J545" s="6" t="str">
        <f t="shared" si="84"/>
        <v>,</v>
      </c>
    </row>
    <row r="546" spans="1:10">
      <c r="A546" s="4" t="str">
        <f>'EN60'!A$3</f>
        <v>EN60</v>
      </c>
      <c r="B546" s="4">
        <f t="shared" si="85"/>
        <v>36</v>
      </c>
      <c r="C546" s="4">
        <f t="shared" si="86"/>
        <v>20</v>
      </c>
      <c r="D546" s="4">
        <f t="shared" si="80"/>
        <v>8</v>
      </c>
      <c r="E546" s="4" t="s">
        <v>27</v>
      </c>
      <c r="F546" s="4">
        <f t="shared" si="81"/>
        <v>800</v>
      </c>
      <c r="G546" s="5">
        <f t="shared" si="87"/>
        <v>1.01</v>
      </c>
      <c r="H546" s="6" t="str">
        <f t="shared" si="82"/>
        <v>INSERT INTO public.coupon (plancode, age, "year", couponrate, benefittype, benefitrate, premiumrate) VALUES('EN60', 36, 20, 8, 'A',800, 1.01);</v>
      </c>
      <c r="I546" s="6" t="str">
        <f t="shared" si="83"/>
        <v>{"age":"36", "year":"20", "couponrate":"8", "benefittype":"A", "benefitrate":"800", "premiumrate":"1.01"}</v>
      </c>
      <c r="J546" s="6" t="str">
        <f t="shared" si="84"/>
        <v>,</v>
      </c>
    </row>
    <row r="547" spans="1:10">
      <c r="A547" s="4" t="str">
        <f>'EN60'!A$3</f>
        <v>EN60</v>
      </c>
      <c r="B547" s="4">
        <f t="shared" si="85"/>
        <v>36</v>
      </c>
      <c r="C547" s="4">
        <f t="shared" si="86"/>
        <v>21</v>
      </c>
      <c r="D547" s="4">
        <f t="shared" si="80"/>
        <v>8</v>
      </c>
      <c r="E547" s="4" t="s">
        <v>27</v>
      </c>
      <c r="F547" s="4">
        <f t="shared" si="81"/>
        <v>800</v>
      </c>
      <c r="G547" s="5">
        <f t="shared" si="87"/>
        <v>1.01</v>
      </c>
      <c r="H547" s="6" t="str">
        <f t="shared" si="82"/>
        <v>INSERT INTO public.coupon (plancode, age, "year", couponrate, benefittype, benefitrate, premiumrate) VALUES('EN60', 36, 21, 8, 'A',800, 1.01);</v>
      </c>
      <c r="I547" s="6" t="str">
        <f t="shared" si="83"/>
        <v>{"age":"36", "year":"21", "couponrate":"8", "benefittype":"A", "benefitrate":"800", "premiumrate":"1.01"}</v>
      </c>
      <c r="J547" s="6" t="str">
        <f t="shared" si="84"/>
        <v>,</v>
      </c>
    </row>
    <row r="548" spans="1:10">
      <c r="A548" s="4" t="str">
        <f>'EN60'!A$3</f>
        <v>EN60</v>
      </c>
      <c r="B548" s="4">
        <f t="shared" si="85"/>
        <v>36</v>
      </c>
      <c r="C548" s="4">
        <f t="shared" si="86"/>
        <v>22</v>
      </c>
      <c r="D548" s="4">
        <f t="shared" si="80"/>
        <v>8</v>
      </c>
      <c r="E548" s="4" t="s">
        <v>27</v>
      </c>
      <c r="F548" s="4">
        <f t="shared" si="81"/>
        <v>800</v>
      </c>
      <c r="G548" s="5">
        <f t="shared" si="87"/>
        <v>1.01</v>
      </c>
      <c r="H548" s="6" t="str">
        <f t="shared" si="82"/>
        <v>INSERT INTO public.coupon (plancode, age, "year", couponrate, benefittype, benefitrate, premiumrate) VALUES('EN60', 36, 22, 8, 'A',800, 1.01);</v>
      </c>
      <c r="I548" s="6" t="str">
        <f t="shared" si="83"/>
        <v>{"age":"36", "year":"22", "couponrate":"8", "benefittype":"A", "benefitrate":"800", "premiumrate":"1.01"}</v>
      </c>
      <c r="J548" s="6" t="str">
        <f t="shared" si="84"/>
        <v>,</v>
      </c>
    </row>
    <row r="549" spans="1:10">
      <c r="A549" s="4" t="str">
        <f>'EN60'!A$3</f>
        <v>EN60</v>
      </c>
      <c r="B549" s="4">
        <f t="shared" si="85"/>
        <v>36</v>
      </c>
      <c r="C549" s="4">
        <f t="shared" si="86"/>
        <v>23</v>
      </c>
      <c r="D549" s="4">
        <f t="shared" si="80"/>
        <v>8</v>
      </c>
      <c r="E549" s="4" t="s">
        <v>27</v>
      </c>
      <c r="F549" s="4">
        <f t="shared" si="81"/>
        <v>800</v>
      </c>
      <c r="G549" s="5">
        <f t="shared" si="87"/>
        <v>1.01</v>
      </c>
      <c r="H549" s="6" t="str">
        <f t="shared" si="82"/>
        <v>INSERT INTO public.coupon (plancode, age, "year", couponrate, benefittype, benefitrate, premiumrate) VALUES('EN60', 36, 23, 8, 'A',800, 1.01);</v>
      </c>
      <c r="I549" s="6" t="str">
        <f t="shared" si="83"/>
        <v>{"age":"36", "year":"23", "couponrate":"8", "benefittype":"A", "benefitrate":"800", "premiumrate":"1.01"}</v>
      </c>
      <c r="J549" s="6" t="str">
        <f t="shared" si="84"/>
        <v>,</v>
      </c>
    </row>
    <row r="550" spans="1:10">
      <c r="A550" s="4" t="str">
        <f>'EN60'!A$3</f>
        <v>EN60</v>
      </c>
      <c r="B550" s="4">
        <f t="shared" si="85"/>
        <v>36</v>
      </c>
      <c r="C550" s="4">
        <f t="shared" si="86"/>
        <v>24</v>
      </c>
      <c r="D550" s="4">
        <f t="shared" si="80"/>
        <v>8</v>
      </c>
      <c r="E550" s="4" t="s">
        <v>27</v>
      </c>
      <c r="F550" s="4">
        <f t="shared" si="81"/>
        <v>800</v>
      </c>
      <c r="G550" s="5">
        <f t="shared" si="87"/>
        <v>1.01</v>
      </c>
      <c r="H550" s="6" t="str">
        <f t="shared" si="82"/>
        <v>INSERT INTO public.coupon (plancode, age, "year", couponrate, benefittype, benefitrate, premiumrate) VALUES('EN60', 36, 24, 8, 'A',800, 1.01);</v>
      </c>
      <c r="I550" s="6" t="str">
        <f t="shared" si="83"/>
        <v>{"age":"36", "year":"24", "couponrate":"8", "benefittype":"A", "benefitrate":"800", "premiumrate":"1.01"}</v>
      </c>
      <c r="J550" s="6" t="str">
        <f t="shared" si="84"/>
        <v>,</v>
      </c>
    </row>
    <row r="551" spans="1:10">
      <c r="A551" s="4" t="str">
        <f>'EN60'!A$3</f>
        <v>EN60</v>
      </c>
      <c r="B551" s="4">
        <f t="shared" si="85"/>
        <v>36</v>
      </c>
      <c r="C551" s="4">
        <f t="shared" si="86"/>
        <v>25</v>
      </c>
      <c r="D551" s="4">
        <f t="shared" si="80"/>
        <v>8</v>
      </c>
      <c r="E551" s="4" t="s">
        <v>27</v>
      </c>
      <c r="F551" s="4">
        <f t="shared" si="81"/>
        <v>800</v>
      </c>
      <c r="G551" s="5">
        <f t="shared" si="87"/>
        <v>1.01</v>
      </c>
      <c r="H551" s="6" t="str">
        <f t="shared" si="82"/>
        <v>INSERT INTO public.coupon (plancode, age, "year", couponrate, benefittype, benefitrate, premiumrate) VALUES('EN60', 36, 25, 8, 'A',800, 1.01);</v>
      </c>
      <c r="I551" s="6" t="str">
        <f t="shared" si="83"/>
        <v>{"age":"36", "year":"25", "couponrate":"8", "benefittype":"A", "benefitrate":"800", "premiumrate":"1.01"}</v>
      </c>
      <c r="J551" s="6" t="str">
        <f t="shared" si="84"/>
        <v>,</v>
      </c>
    </row>
    <row r="552" spans="1:10">
      <c r="A552" s="4" t="str">
        <f>'EN60'!A$3</f>
        <v>EN60</v>
      </c>
      <c r="B552" s="4">
        <f t="shared" si="85"/>
        <v>36</v>
      </c>
      <c r="C552" s="4">
        <f t="shared" si="86"/>
        <v>26</v>
      </c>
      <c r="D552" s="4">
        <f t="shared" si="80"/>
        <v>8</v>
      </c>
      <c r="E552" s="4" t="s">
        <v>27</v>
      </c>
      <c r="F552" s="4">
        <f t="shared" si="81"/>
        <v>800</v>
      </c>
      <c r="G552" s="5">
        <f t="shared" si="87"/>
        <v>1.01</v>
      </c>
      <c r="H552" s="6" t="str">
        <f t="shared" si="82"/>
        <v>INSERT INTO public.coupon (plancode, age, "year", couponrate, benefittype, benefitrate, premiumrate) VALUES('EN60', 36, 26, 8, 'A',800, 1.01);</v>
      </c>
      <c r="I552" s="6" t="str">
        <f t="shared" si="83"/>
        <v>{"age":"36", "year":"26", "couponrate":"8", "benefittype":"A", "benefitrate":"800", "premiumrate":"1.01"}</v>
      </c>
      <c r="J552" s="6" t="str">
        <f t="shared" si="84"/>
        <v>,</v>
      </c>
    </row>
    <row r="553" spans="1:10">
      <c r="A553" s="4" t="str">
        <f>'EN60'!A$3</f>
        <v>EN60</v>
      </c>
      <c r="B553" s="4">
        <f t="shared" si="85"/>
        <v>36</v>
      </c>
      <c r="C553" s="4">
        <f t="shared" si="86"/>
        <v>27</v>
      </c>
      <c r="D553" s="4">
        <f t="shared" si="80"/>
        <v>8</v>
      </c>
      <c r="E553" s="4" t="s">
        <v>27</v>
      </c>
      <c r="F553" s="4">
        <f t="shared" si="81"/>
        <v>800</v>
      </c>
      <c r="G553" s="5">
        <f t="shared" si="87"/>
        <v>1.01</v>
      </c>
      <c r="H553" s="6" t="str">
        <f t="shared" si="82"/>
        <v>INSERT INTO public.coupon (plancode, age, "year", couponrate, benefittype, benefitrate, premiumrate) VALUES('EN60', 36, 27, 8, 'A',800, 1.01);</v>
      </c>
      <c r="I553" s="6" t="str">
        <f t="shared" si="83"/>
        <v>{"age":"36", "year":"27", "couponrate":"8", "benefittype":"A", "benefitrate":"800", "premiumrate":"1.01"}</v>
      </c>
      <c r="J553" s="6" t="str">
        <f t="shared" si="84"/>
        <v>,</v>
      </c>
    </row>
    <row r="554" spans="1:10">
      <c r="A554" s="4" t="str">
        <f>'EN60'!A$3</f>
        <v>EN60</v>
      </c>
      <c r="B554" s="4">
        <f t="shared" si="85"/>
        <v>36</v>
      </c>
      <c r="C554" s="4">
        <f t="shared" si="86"/>
        <v>28</v>
      </c>
      <c r="D554" s="4">
        <f t="shared" si="80"/>
        <v>8</v>
      </c>
      <c r="E554" s="4" t="s">
        <v>27</v>
      </c>
      <c r="F554" s="4">
        <f t="shared" si="81"/>
        <v>800</v>
      </c>
      <c r="G554" s="5">
        <f t="shared" si="87"/>
        <v>1.01</v>
      </c>
      <c r="H554" s="6" t="str">
        <f t="shared" si="82"/>
        <v>INSERT INTO public.coupon (plancode, age, "year", couponrate, benefittype, benefitrate, premiumrate) VALUES('EN60', 36, 28, 8, 'A',800, 1.01);</v>
      </c>
      <c r="I554" s="6" t="str">
        <f t="shared" si="83"/>
        <v>{"age":"36", "year":"28", "couponrate":"8", "benefittype":"A", "benefitrate":"800", "premiumrate":"1.01"}</v>
      </c>
      <c r="J554" s="6" t="str">
        <f t="shared" si="84"/>
        <v>,</v>
      </c>
    </row>
    <row r="555" spans="1:10">
      <c r="A555" s="4" t="str">
        <f>'EN60'!A$3</f>
        <v>EN60</v>
      </c>
      <c r="B555" s="4">
        <f t="shared" si="85"/>
        <v>36</v>
      </c>
      <c r="C555" s="4">
        <f t="shared" si="86"/>
        <v>29</v>
      </c>
      <c r="D555" s="4">
        <f t="shared" si="80"/>
        <v>8</v>
      </c>
      <c r="E555" s="4" t="s">
        <v>27</v>
      </c>
      <c r="F555" s="4">
        <f t="shared" si="81"/>
        <v>800</v>
      </c>
      <c r="G555" s="5">
        <f t="shared" si="87"/>
        <v>1.01</v>
      </c>
      <c r="H555" s="6" t="str">
        <f t="shared" si="82"/>
        <v>INSERT INTO public.coupon (plancode, age, "year", couponrate, benefittype, benefitrate, premiumrate) VALUES('EN60', 36, 29, 8, 'A',800, 1.01);</v>
      </c>
      <c r="I555" s="6" t="str">
        <f t="shared" si="83"/>
        <v>{"age":"36", "year":"29", "couponrate":"8", "benefittype":"A", "benefitrate":"800", "premiumrate":"1.01"}</v>
      </c>
      <c r="J555" s="6" t="str">
        <f t="shared" si="84"/>
        <v>,</v>
      </c>
    </row>
    <row r="556" spans="1:10">
      <c r="A556" s="4" t="str">
        <f>'EN60'!A$3</f>
        <v>EN60</v>
      </c>
      <c r="B556" s="4">
        <f t="shared" si="85"/>
        <v>36</v>
      </c>
      <c r="C556" s="4">
        <f t="shared" si="86"/>
        <v>30</v>
      </c>
      <c r="D556" s="4">
        <f t="shared" si="80"/>
        <v>8</v>
      </c>
      <c r="E556" s="4" t="s">
        <v>27</v>
      </c>
      <c r="F556" s="4">
        <f t="shared" si="81"/>
        <v>800</v>
      </c>
      <c r="G556" s="5">
        <f t="shared" si="87"/>
        <v>1.01</v>
      </c>
      <c r="H556" s="6" t="str">
        <f t="shared" si="82"/>
        <v>INSERT INTO public.coupon (plancode, age, "year", couponrate, benefittype, benefitrate, premiumrate) VALUES('EN60', 36, 30, 8, 'A',800, 1.01);</v>
      </c>
      <c r="I556" s="6" t="str">
        <f t="shared" si="83"/>
        <v>{"age":"36", "year":"30", "couponrate":"8", "benefittype":"A", "benefitrate":"800", "premiumrate":"1.01"}</v>
      </c>
      <c r="J556" s="6" t="str">
        <f t="shared" si="84"/>
        <v>,</v>
      </c>
    </row>
    <row r="557" spans="1:10">
      <c r="A557" s="4" t="str">
        <f>'EN60'!A$3</f>
        <v>EN60</v>
      </c>
      <c r="B557" s="4">
        <f t="shared" si="85"/>
        <v>36</v>
      </c>
      <c r="C557" s="4">
        <f t="shared" si="86"/>
        <v>31</v>
      </c>
      <c r="D557" s="4">
        <f t="shared" si="80"/>
        <v>8</v>
      </c>
      <c r="E557" s="4" t="s">
        <v>27</v>
      </c>
      <c r="F557" s="4">
        <f t="shared" si="81"/>
        <v>800</v>
      </c>
      <c r="G557" s="5">
        <f t="shared" si="87"/>
        <v>1.01</v>
      </c>
      <c r="H557" s="6" t="str">
        <f t="shared" si="82"/>
        <v>INSERT INTO public.coupon (plancode, age, "year", couponrate, benefittype, benefitrate, premiumrate) VALUES('EN60', 36, 31, 8, 'A',800, 1.01);</v>
      </c>
      <c r="I557" s="6" t="str">
        <f t="shared" si="83"/>
        <v>{"age":"36", "year":"31", "couponrate":"8", "benefittype":"A", "benefitrate":"800", "premiumrate":"1.01"}</v>
      </c>
      <c r="J557" s="6" t="str">
        <f t="shared" si="84"/>
        <v>,</v>
      </c>
    </row>
    <row r="558" spans="1:10">
      <c r="A558" s="4" t="str">
        <f>'EN60'!A$3</f>
        <v>EN60</v>
      </c>
      <c r="B558" s="4">
        <f t="shared" si="85"/>
        <v>36</v>
      </c>
      <c r="C558" s="4">
        <f t="shared" si="86"/>
        <v>32</v>
      </c>
      <c r="D558" s="4">
        <f t="shared" si="80"/>
        <v>8</v>
      </c>
      <c r="E558" s="4" t="s">
        <v>27</v>
      </c>
      <c r="F558" s="4">
        <f t="shared" si="81"/>
        <v>800</v>
      </c>
      <c r="G558" s="5">
        <f t="shared" si="87"/>
        <v>1.01</v>
      </c>
      <c r="H558" s="6" t="str">
        <f t="shared" si="82"/>
        <v>INSERT INTO public.coupon (plancode, age, "year", couponrate, benefittype, benefitrate, premiumrate) VALUES('EN60', 36, 32, 8, 'A',800, 1.01);</v>
      </c>
      <c r="I558" s="6" t="str">
        <f t="shared" si="83"/>
        <v>{"age":"36", "year":"32", "couponrate":"8", "benefittype":"A", "benefitrate":"800", "premiumrate":"1.01"}</v>
      </c>
      <c r="J558" s="6" t="str">
        <f t="shared" si="84"/>
        <v>,</v>
      </c>
    </row>
    <row r="559" spans="1:10">
      <c r="A559" s="4" t="str">
        <f>'EN60'!A$3</f>
        <v>EN60</v>
      </c>
      <c r="B559" s="4">
        <f t="shared" si="85"/>
        <v>36</v>
      </c>
      <c r="C559" s="4">
        <f t="shared" si="86"/>
        <v>33</v>
      </c>
      <c r="D559" s="4">
        <f t="shared" si="80"/>
        <v>8</v>
      </c>
      <c r="E559" s="4" t="s">
        <v>27</v>
      </c>
      <c r="F559" s="4">
        <f t="shared" si="81"/>
        <v>800</v>
      </c>
      <c r="G559" s="5">
        <f t="shared" si="87"/>
        <v>1.01</v>
      </c>
      <c r="H559" s="6" t="str">
        <f t="shared" si="82"/>
        <v>INSERT INTO public.coupon (plancode, age, "year", couponrate, benefittype, benefitrate, premiumrate) VALUES('EN60', 36, 33, 8, 'A',800, 1.01);</v>
      </c>
      <c r="I559" s="6" t="str">
        <f t="shared" si="83"/>
        <v>{"age":"36", "year":"33", "couponrate":"8", "benefittype":"A", "benefitrate":"800", "premiumrate":"1.01"}</v>
      </c>
      <c r="J559" s="6" t="str">
        <f t="shared" si="84"/>
        <v>,</v>
      </c>
    </row>
    <row r="560" spans="1:10">
      <c r="A560" s="4" t="str">
        <f>'EN60'!A$3</f>
        <v>EN60</v>
      </c>
      <c r="B560" s="4">
        <f t="shared" si="85"/>
        <v>36</v>
      </c>
      <c r="C560" s="4">
        <f t="shared" si="86"/>
        <v>34</v>
      </c>
      <c r="D560" s="4">
        <f t="shared" si="80"/>
        <v>8</v>
      </c>
      <c r="E560" s="4" t="s">
        <v>27</v>
      </c>
      <c r="F560" s="4">
        <f t="shared" si="81"/>
        <v>800</v>
      </c>
      <c r="G560" s="5">
        <f t="shared" si="87"/>
        <v>1.01</v>
      </c>
      <c r="H560" s="6" t="str">
        <f t="shared" si="82"/>
        <v>INSERT INTO public.coupon (plancode, age, "year", couponrate, benefittype, benefitrate, premiumrate) VALUES('EN60', 36, 34, 8, 'A',800, 1.01);</v>
      </c>
      <c r="I560" s="6" t="str">
        <f t="shared" si="83"/>
        <v>{"age":"36", "year":"34", "couponrate":"8", "benefittype":"A", "benefitrate":"800", "premiumrate":"1.01"}</v>
      </c>
      <c r="J560" s="6" t="str">
        <f t="shared" si="84"/>
        <v>,</v>
      </c>
    </row>
    <row r="561" spans="1:10">
      <c r="A561" s="4" t="str">
        <f>'EN60'!A$3</f>
        <v>EN60</v>
      </c>
      <c r="B561" s="4">
        <f t="shared" si="85"/>
        <v>36</v>
      </c>
      <c r="C561" s="4">
        <f t="shared" si="86"/>
        <v>35</v>
      </c>
      <c r="D561" s="4">
        <f t="shared" si="80"/>
        <v>8</v>
      </c>
      <c r="E561" s="4" t="s">
        <v>27</v>
      </c>
      <c r="F561" s="4">
        <f t="shared" si="81"/>
        <v>800</v>
      </c>
      <c r="G561" s="5">
        <f t="shared" si="87"/>
        <v>1.01</v>
      </c>
      <c r="H561" s="6" t="str">
        <f t="shared" si="82"/>
        <v>INSERT INTO public.coupon (plancode, age, "year", couponrate, benefittype, benefitrate, premiumrate) VALUES('EN60', 36, 35, 8, 'A',800, 1.01);</v>
      </c>
      <c r="I561" s="6" t="str">
        <f t="shared" si="83"/>
        <v>{"age":"36", "year":"35", "couponrate":"8", "benefittype":"A", "benefitrate":"800", "premiumrate":"1.01"}</v>
      </c>
      <c r="J561" s="6" t="str">
        <f t="shared" si="84"/>
        <v>,</v>
      </c>
    </row>
    <row r="562" spans="1:10">
      <c r="A562" s="4" t="str">
        <f>'EN60'!A$3</f>
        <v>EN60</v>
      </c>
      <c r="B562" s="4">
        <f t="shared" si="85"/>
        <v>36</v>
      </c>
      <c r="C562" s="4">
        <f t="shared" si="86"/>
        <v>36</v>
      </c>
      <c r="D562" s="4">
        <f t="shared" si="80"/>
        <v>8</v>
      </c>
      <c r="E562" s="4" t="s">
        <v>27</v>
      </c>
      <c r="F562" s="4">
        <f t="shared" si="81"/>
        <v>800</v>
      </c>
      <c r="G562" s="5">
        <f t="shared" si="87"/>
        <v>1.01</v>
      </c>
      <c r="H562" s="6" t="str">
        <f t="shared" si="82"/>
        <v>INSERT INTO public.coupon (plancode, age, "year", couponrate, benefittype, benefitrate, premiumrate) VALUES('EN60', 36, 36, 8, 'A',800, 1.01);</v>
      </c>
      <c r="I562" s="6" t="str">
        <f t="shared" si="83"/>
        <v>{"age":"36", "year":"36", "couponrate":"8", "benefittype":"A", "benefitrate":"800", "premiumrate":"1.01"}</v>
      </c>
      <c r="J562" s="6" t="str">
        <f t="shared" si="84"/>
        <v>,</v>
      </c>
    </row>
    <row r="563" spans="1:10">
      <c r="A563" s="4" t="str">
        <f>'EN60'!A$3</f>
        <v>EN60</v>
      </c>
      <c r="B563" s="4">
        <f t="shared" si="85"/>
        <v>36</v>
      </c>
      <c r="C563" s="4">
        <f t="shared" si="86"/>
        <v>37</v>
      </c>
      <c r="D563" s="4">
        <f t="shared" si="80"/>
        <v>8</v>
      </c>
      <c r="E563" s="4" t="s">
        <v>27</v>
      </c>
      <c r="F563" s="4">
        <f t="shared" si="81"/>
        <v>800</v>
      </c>
      <c r="G563" s="5">
        <f t="shared" si="87"/>
        <v>1.01</v>
      </c>
      <c r="H563" s="6" t="str">
        <f t="shared" si="82"/>
        <v>INSERT INTO public.coupon (plancode, age, "year", couponrate, benefittype, benefitrate, premiumrate) VALUES('EN60', 36, 37, 8, 'A',800, 1.01);</v>
      </c>
      <c r="I563" s="6" t="str">
        <f t="shared" si="83"/>
        <v>{"age":"36", "year":"37", "couponrate":"8", "benefittype":"A", "benefitrate":"800", "premiumrate":"1.01"}</v>
      </c>
      <c r="J563" s="6" t="str">
        <f t="shared" si="84"/>
        <v>,</v>
      </c>
    </row>
    <row r="564" spans="1:10">
      <c r="A564" s="4" t="str">
        <f>'EN60'!A$3</f>
        <v>EN60</v>
      </c>
      <c r="B564" s="4">
        <f t="shared" si="85"/>
        <v>36</v>
      </c>
      <c r="C564" s="4">
        <f t="shared" si="86"/>
        <v>38</v>
      </c>
      <c r="D564" s="4">
        <f t="shared" si="80"/>
        <v>8</v>
      </c>
      <c r="E564" s="4" t="s">
        <v>27</v>
      </c>
      <c r="F564" s="4">
        <f t="shared" si="81"/>
        <v>800</v>
      </c>
      <c r="G564" s="5">
        <f t="shared" si="87"/>
        <v>1.01</v>
      </c>
      <c r="H564" s="6" t="str">
        <f t="shared" si="82"/>
        <v>INSERT INTO public.coupon (plancode, age, "year", couponrate, benefittype, benefitrate, premiumrate) VALUES('EN60', 36, 38, 8, 'A',800, 1.01);</v>
      </c>
      <c r="I564" s="6" t="str">
        <f t="shared" si="83"/>
        <v>{"age":"36", "year":"38", "couponrate":"8", "benefittype":"A", "benefitrate":"800", "premiumrate":"1.01"}</v>
      </c>
      <c r="J564" s="6" t="str">
        <f t="shared" si="84"/>
        <v>,</v>
      </c>
    </row>
    <row r="565" spans="1:10">
      <c r="A565" s="4" t="str">
        <f>'EN60'!A$3</f>
        <v>EN60</v>
      </c>
      <c r="B565" s="4">
        <f t="shared" si="85"/>
        <v>36</v>
      </c>
      <c r="C565" s="4">
        <f t="shared" si="86"/>
        <v>39</v>
      </c>
      <c r="D565" s="4">
        <f t="shared" si="80"/>
        <v>8</v>
      </c>
      <c r="E565" s="4" t="s">
        <v>27</v>
      </c>
      <c r="F565" s="4">
        <f t="shared" si="81"/>
        <v>800</v>
      </c>
      <c r="G565" s="5">
        <f t="shared" si="87"/>
        <v>1.01</v>
      </c>
      <c r="H565" s="6" t="str">
        <f t="shared" si="82"/>
        <v>INSERT INTO public.coupon (plancode, age, "year", couponrate, benefittype, benefitrate, premiumrate) VALUES('EN60', 36, 39, 8, 'A',800, 1.01);</v>
      </c>
      <c r="I565" s="6" t="str">
        <f t="shared" si="83"/>
        <v>{"age":"36", "year":"39", "couponrate":"8", "benefittype":"A", "benefitrate":"800", "premiumrate":"1.01"}</v>
      </c>
      <c r="J565" s="6" t="str">
        <f t="shared" si="84"/>
        <v>,</v>
      </c>
    </row>
    <row r="566" spans="1:10">
      <c r="A566" s="4" t="str">
        <f>'EN60'!A$3</f>
        <v>EN60</v>
      </c>
      <c r="B566" s="4">
        <f t="shared" si="85"/>
        <v>36</v>
      </c>
      <c r="C566" s="4">
        <f t="shared" si="86"/>
        <v>40</v>
      </c>
      <c r="D566" s="4">
        <f t="shared" si="80"/>
        <v>8</v>
      </c>
      <c r="E566" s="4" t="s">
        <v>27</v>
      </c>
      <c r="F566" s="4">
        <f t="shared" si="81"/>
        <v>800</v>
      </c>
      <c r="G566" s="5">
        <f t="shared" si="87"/>
        <v>1.01</v>
      </c>
      <c r="H566" s="6" t="str">
        <f t="shared" si="82"/>
        <v>INSERT INTO public.coupon (plancode, age, "year", couponrate, benefittype, benefitrate, premiumrate) VALUES('EN60', 36, 40, 8, 'A',800, 1.01);</v>
      </c>
      <c r="I566" s="6" t="str">
        <f t="shared" si="83"/>
        <v>{"age":"36", "year":"40", "couponrate":"8", "benefittype":"A", "benefitrate":"800", "premiumrate":"1.01"}</v>
      </c>
      <c r="J566" s="6" t="str">
        <f t="shared" si="84"/>
        <v>,</v>
      </c>
    </row>
    <row r="567" spans="1:10">
      <c r="A567" s="4" t="str">
        <f>'EN60'!A$3</f>
        <v>EN60</v>
      </c>
      <c r="B567" s="4">
        <f t="shared" si="85"/>
        <v>36</v>
      </c>
      <c r="C567" s="4">
        <f t="shared" si="86"/>
        <v>41</v>
      </c>
      <c r="D567" s="4">
        <f t="shared" si="80"/>
        <v>8</v>
      </c>
      <c r="E567" s="4" t="s">
        <v>27</v>
      </c>
      <c r="F567" s="4">
        <f t="shared" si="81"/>
        <v>800</v>
      </c>
      <c r="G567" s="5">
        <f t="shared" si="87"/>
        <v>1.01</v>
      </c>
      <c r="H567" s="6" t="str">
        <f t="shared" si="82"/>
        <v>INSERT INTO public.coupon (plancode, age, "year", couponrate, benefittype, benefitrate, premiumrate) VALUES('EN60', 36, 41, 8, 'A',800, 1.01);</v>
      </c>
      <c r="I567" s="6" t="str">
        <f t="shared" si="83"/>
        <v>{"age":"36", "year":"41", "couponrate":"8", "benefittype":"A", "benefitrate":"800", "premiumrate":"1.01"}</v>
      </c>
      <c r="J567" s="6" t="str">
        <f t="shared" si="84"/>
        <v>,</v>
      </c>
    </row>
    <row r="568" spans="1:10">
      <c r="A568" s="4" t="str">
        <f>'EN60'!A$3</f>
        <v>EN60</v>
      </c>
      <c r="B568" s="4">
        <f t="shared" si="85"/>
        <v>36</v>
      </c>
      <c r="C568" s="4">
        <f t="shared" si="86"/>
        <v>42</v>
      </c>
      <c r="D568" s="4">
        <f t="shared" si="80"/>
        <v>8</v>
      </c>
      <c r="E568" s="4" t="s">
        <v>27</v>
      </c>
      <c r="F568" s="4">
        <f t="shared" si="81"/>
        <v>800</v>
      </c>
      <c r="G568" s="5">
        <f t="shared" si="87"/>
        <v>1.01</v>
      </c>
      <c r="H568" s="6" t="str">
        <f t="shared" si="82"/>
        <v>INSERT INTO public.coupon (plancode, age, "year", couponrate, benefittype, benefitrate, premiumrate) VALUES('EN60', 36, 42, 8, 'A',800, 1.01);</v>
      </c>
      <c r="I568" s="6" t="str">
        <f t="shared" si="83"/>
        <v>{"age":"36", "year":"42", "couponrate":"8", "benefittype":"A", "benefitrate":"800", "premiumrate":"1.01"}</v>
      </c>
      <c r="J568" s="6" t="str">
        <f t="shared" si="84"/>
        <v>,</v>
      </c>
    </row>
    <row r="569" spans="1:10">
      <c r="A569" s="4" t="str">
        <f>'EN60'!A$3</f>
        <v>EN60</v>
      </c>
      <c r="B569" s="4">
        <f t="shared" si="85"/>
        <v>36</v>
      </c>
      <c r="C569" s="4">
        <f t="shared" si="86"/>
        <v>43</v>
      </c>
      <c r="D569" s="4">
        <f t="shared" si="80"/>
        <v>8</v>
      </c>
      <c r="E569" s="4" t="s">
        <v>27</v>
      </c>
      <c r="F569" s="4">
        <f t="shared" si="81"/>
        <v>800</v>
      </c>
      <c r="G569" s="5">
        <f t="shared" si="87"/>
        <v>1.01</v>
      </c>
      <c r="H569" s="6" t="str">
        <f t="shared" si="82"/>
        <v>INSERT INTO public.coupon (plancode, age, "year", couponrate, benefittype, benefitrate, premiumrate) VALUES('EN60', 36, 43, 8, 'A',800, 1.01);</v>
      </c>
      <c r="I569" s="6" t="str">
        <f t="shared" si="83"/>
        <v>{"age":"36", "year":"43", "couponrate":"8", "benefittype":"A", "benefitrate":"800", "premiumrate":"1.01"}</v>
      </c>
      <c r="J569" s="6" t="str">
        <f t="shared" si="84"/>
        <v>,</v>
      </c>
    </row>
    <row r="570" spans="1:10">
      <c r="A570" s="4" t="str">
        <f>'EN60'!A$3</f>
        <v>EN60</v>
      </c>
      <c r="B570" s="4">
        <f t="shared" si="85"/>
        <v>36</v>
      </c>
      <c r="C570" s="4">
        <f t="shared" si="86"/>
        <v>44</v>
      </c>
      <c r="D570" s="4">
        <f t="shared" si="80"/>
        <v>0</v>
      </c>
      <c r="E570" s="4" t="s">
        <v>27</v>
      </c>
      <c r="F570" s="4">
        <f t="shared" si="81"/>
        <v>800</v>
      </c>
      <c r="G570" s="5">
        <f t="shared" si="87"/>
        <v>1.01</v>
      </c>
      <c r="H570" s="6" t="str">
        <f t="shared" si="82"/>
        <v>INSERT INTO public.coupon (plancode, age, "year", couponrate, benefittype, benefitrate, premiumrate) VALUES('EN60', 36, 44, 0, 'A',800, 1.01);</v>
      </c>
      <c r="I570" s="6" t="str">
        <f t="shared" si="83"/>
        <v>{"age":"36", "year":"44", "couponrate":"0", "benefittype":"A", "benefitrate":"800", "premiumrate":"1.01"}</v>
      </c>
    </row>
    <row r="571" spans="1:10">
      <c r="C571" s="6"/>
      <c r="I571" s="6" t="s">
        <v>28</v>
      </c>
    </row>
    <row r="572" spans="1:10">
      <c r="A572" s="3" t="s">
        <v>2</v>
      </c>
      <c r="B572" s="3" t="s">
        <v>23</v>
      </c>
      <c r="C572" s="3" t="s">
        <v>24</v>
      </c>
      <c r="D572" s="3" t="s">
        <v>25</v>
      </c>
      <c r="E572" s="3" t="s">
        <v>8</v>
      </c>
      <c r="F572" s="3" t="s">
        <v>26</v>
      </c>
      <c r="G572" s="3" t="s">
        <v>4</v>
      </c>
      <c r="I572" s="6" t="str">
        <f>"[{""plancode"":"""&amp;A573&amp;""",""returncash"":"""&amp;B$7&amp;""",""ytable"":"""&amp;C$7&amp;""",""maturerate"":"""&amp;B$3&amp;""",""maturepmrate"":"""&amp;C$3&amp;""",""coupon"":["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573" spans="1:10">
      <c r="A573" s="4" t="str">
        <f>'EN60'!A$3</f>
        <v>EN60</v>
      </c>
      <c r="B573" s="8">
        <v>37</v>
      </c>
      <c r="C573" s="4">
        <v>1</v>
      </c>
      <c r="D573" s="4">
        <f t="shared" ref="D573:D615" si="88">IF(C573+B573=80,0,8)</f>
        <v>8</v>
      </c>
      <c r="E573" s="4" t="s">
        <v>27</v>
      </c>
      <c r="F573" s="4">
        <f t="shared" ref="F573:F615" si="89">IF(C573&gt;7, 800, C573*100)</f>
        <v>100</v>
      </c>
      <c r="G573" s="5">
        <f>'EN60'!C$3</f>
        <v>1.01</v>
      </c>
      <c r="H573" s="6" t="str">
        <f t="shared" ref="H573:H615" si="90">"INSERT INTO public.coupon ("&amp;A$11&amp;", "&amp;B$11&amp;", """&amp;C$11&amp;""", "&amp;D$11&amp;", "&amp;E$11&amp;", "&amp;F$11&amp;", "&amp;G$11&amp;") VALUES('"&amp;A573&amp;"', "&amp;B573&amp;", "&amp;C573&amp;", "&amp;D573&amp;", '"&amp;E573&amp;"',"&amp;F573&amp;", "&amp;G573&amp;");"</f>
        <v>INSERT INTO public.coupon (plancode, age, "year", couponrate, benefittype, benefitrate, premiumrate) VALUES('EN60', 37, 1, 8, 'A',100, 1.01);</v>
      </c>
      <c r="I573" s="6" t="str">
        <f t="shared" ref="I573:I615" si="91">"{""age"":"""&amp;B573&amp;""", ""year"":"""&amp;C573&amp;""", ""couponrate"":"""&amp;D573&amp;""", ""benefittype"":"""&amp;E573&amp;""", ""benefitrate"":"""&amp;F573&amp;""", """&amp;G$11&amp;""":"""&amp;G573&amp;"""}"</f>
        <v>{"age":"37", "year":"1", "couponrate":"8", "benefittype":"A", "benefitrate":"100", "premiumrate":"1.01"}</v>
      </c>
      <c r="J573" s="6" t="str">
        <f t="shared" ref="J573:J614" si="92">IF(OR(I574="]", I573="[", I573="]"), "", ",")</f>
        <v>,</v>
      </c>
    </row>
    <row r="574" spans="1:10">
      <c r="A574" s="4" t="str">
        <f>'EN60'!A$3</f>
        <v>EN60</v>
      </c>
      <c r="B574" s="4">
        <f t="shared" ref="B574:B615" si="93">B573</f>
        <v>37</v>
      </c>
      <c r="C574" s="4">
        <f t="shared" ref="C574:C615" si="94">IF(B574+C573+1&gt;80,"",C573+1)</f>
        <v>2</v>
      </c>
      <c r="D574" s="4">
        <f t="shared" si="88"/>
        <v>8</v>
      </c>
      <c r="E574" s="4" t="s">
        <v>27</v>
      </c>
      <c r="F574" s="4">
        <f t="shared" si="89"/>
        <v>200</v>
      </c>
      <c r="G574" s="5">
        <f t="shared" ref="G574:G615" si="95">G573</f>
        <v>1.01</v>
      </c>
      <c r="H574" s="6" t="str">
        <f t="shared" si="90"/>
        <v>INSERT INTO public.coupon (plancode, age, "year", couponrate, benefittype, benefitrate, premiumrate) VALUES('EN60', 37, 2, 8, 'A',200, 1.01);</v>
      </c>
      <c r="I574" s="6" t="str">
        <f t="shared" si="91"/>
        <v>{"age":"37", "year":"2", "couponrate":"8", "benefittype":"A", "benefitrate":"200", "premiumrate":"1.01"}</v>
      </c>
      <c r="J574" s="6" t="str">
        <f t="shared" si="92"/>
        <v>,</v>
      </c>
    </row>
    <row r="575" spans="1:10">
      <c r="A575" s="4" t="str">
        <f>'EN60'!A$3</f>
        <v>EN60</v>
      </c>
      <c r="B575" s="4">
        <f t="shared" si="93"/>
        <v>37</v>
      </c>
      <c r="C575" s="4">
        <f t="shared" si="94"/>
        <v>3</v>
      </c>
      <c r="D575" s="4">
        <f t="shared" si="88"/>
        <v>8</v>
      </c>
      <c r="E575" s="4" t="s">
        <v>27</v>
      </c>
      <c r="F575" s="4">
        <f t="shared" si="89"/>
        <v>300</v>
      </c>
      <c r="G575" s="5">
        <f t="shared" si="95"/>
        <v>1.01</v>
      </c>
      <c r="H575" s="6" t="str">
        <f t="shared" si="90"/>
        <v>INSERT INTO public.coupon (plancode, age, "year", couponrate, benefittype, benefitrate, premiumrate) VALUES('EN60', 37, 3, 8, 'A',300, 1.01);</v>
      </c>
      <c r="I575" s="6" t="str">
        <f t="shared" si="91"/>
        <v>{"age":"37", "year":"3", "couponrate":"8", "benefittype":"A", "benefitrate":"300", "premiumrate":"1.01"}</v>
      </c>
      <c r="J575" s="6" t="str">
        <f t="shared" si="92"/>
        <v>,</v>
      </c>
    </row>
    <row r="576" spans="1:10">
      <c r="A576" s="4" t="str">
        <f>'EN60'!A$3</f>
        <v>EN60</v>
      </c>
      <c r="B576" s="4">
        <f t="shared" si="93"/>
        <v>37</v>
      </c>
      <c r="C576" s="4">
        <f t="shared" si="94"/>
        <v>4</v>
      </c>
      <c r="D576" s="4">
        <f t="shared" si="88"/>
        <v>8</v>
      </c>
      <c r="E576" s="4" t="s">
        <v>27</v>
      </c>
      <c r="F576" s="4">
        <f t="shared" si="89"/>
        <v>400</v>
      </c>
      <c r="G576" s="5">
        <f t="shared" si="95"/>
        <v>1.01</v>
      </c>
      <c r="H576" s="6" t="str">
        <f t="shared" si="90"/>
        <v>INSERT INTO public.coupon (plancode, age, "year", couponrate, benefittype, benefitrate, premiumrate) VALUES('EN60', 37, 4, 8, 'A',400, 1.01);</v>
      </c>
      <c r="I576" s="6" t="str">
        <f t="shared" si="91"/>
        <v>{"age":"37", "year":"4", "couponrate":"8", "benefittype":"A", "benefitrate":"400", "premiumrate":"1.01"}</v>
      </c>
      <c r="J576" s="6" t="str">
        <f t="shared" si="92"/>
        <v>,</v>
      </c>
    </row>
    <row r="577" spans="1:10">
      <c r="A577" s="4" t="str">
        <f>'EN60'!A$3</f>
        <v>EN60</v>
      </c>
      <c r="B577" s="4">
        <f t="shared" si="93"/>
        <v>37</v>
      </c>
      <c r="C577" s="4">
        <f t="shared" si="94"/>
        <v>5</v>
      </c>
      <c r="D577" s="4">
        <f t="shared" si="88"/>
        <v>8</v>
      </c>
      <c r="E577" s="4" t="s">
        <v>27</v>
      </c>
      <c r="F577" s="4">
        <f t="shared" si="89"/>
        <v>500</v>
      </c>
      <c r="G577" s="5">
        <f t="shared" si="95"/>
        <v>1.01</v>
      </c>
      <c r="H577" s="6" t="str">
        <f t="shared" si="90"/>
        <v>INSERT INTO public.coupon (plancode, age, "year", couponrate, benefittype, benefitrate, premiumrate) VALUES('EN60', 37, 5, 8, 'A',500, 1.01);</v>
      </c>
      <c r="I577" s="6" t="str">
        <f t="shared" si="91"/>
        <v>{"age":"37", "year":"5", "couponrate":"8", "benefittype":"A", "benefitrate":"500", "premiumrate":"1.01"}</v>
      </c>
      <c r="J577" s="6" t="str">
        <f t="shared" si="92"/>
        <v>,</v>
      </c>
    </row>
    <row r="578" spans="1:10">
      <c r="A578" s="4" t="str">
        <f>'EN60'!A$3</f>
        <v>EN60</v>
      </c>
      <c r="B578" s="4">
        <f t="shared" si="93"/>
        <v>37</v>
      </c>
      <c r="C578" s="4">
        <f t="shared" si="94"/>
        <v>6</v>
      </c>
      <c r="D578" s="4">
        <f t="shared" si="88"/>
        <v>8</v>
      </c>
      <c r="E578" s="4" t="s">
        <v>27</v>
      </c>
      <c r="F578" s="4">
        <f t="shared" si="89"/>
        <v>600</v>
      </c>
      <c r="G578" s="5">
        <f t="shared" si="95"/>
        <v>1.01</v>
      </c>
      <c r="H578" s="6" t="str">
        <f t="shared" si="90"/>
        <v>INSERT INTO public.coupon (plancode, age, "year", couponrate, benefittype, benefitrate, premiumrate) VALUES('EN60', 37, 6, 8, 'A',600, 1.01);</v>
      </c>
      <c r="I578" s="6" t="str">
        <f t="shared" si="91"/>
        <v>{"age":"37", "year":"6", "couponrate":"8", "benefittype":"A", "benefitrate":"600", "premiumrate":"1.01"}</v>
      </c>
      <c r="J578" s="6" t="str">
        <f t="shared" si="92"/>
        <v>,</v>
      </c>
    </row>
    <row r="579" spans="1:10">
      <c r="A579" s="4" t="str">
        <f>'EN60'!A$3</f>
        <v>EN60</v>
      </c>
      <c r="B579" s="4">
        <f t="shared" si="93"/>
        <v>37</v>
      </c>
      <c r="C579" s="4">
        <f t="shared" si="94"/>
        <v>7</v>
      </c>
      <c r="D579" s="4">
        <f t="shared" si="88"/>
        <v>8</v>
      </c>
      <c r="E579" s="4" t="s">
        <v>27</v>
      </c>
      <c r="F579" s="4">
        <f t="shared" si="89"/>
        <v>700</v>
      </c>
      <c r="G579" s="5">
        <f t="shared" si="95"/>
        <v>1.01</v>
      </c>
      <c r="H579" s="6" t="str">
        <f t="shared" si="90"/>
        <v>INSERT INTO public.coupon (plancode, age, "year", couponrate, benefittype, benefitrate, premiumrate) VALUES('EN60', 37, 7, 8, 'A',700, 1.01);</v>
      </c>
      <c r="I579" s="6" t="str">
        <f t="shared" si="91"/>
        <v>{"age":"37", "year":"7", "couponrate":"8", "benefittype":"A", "benefitrate":"700", "premiumrate":"1.01"}</v>
      </c>
      <c r="J579" s="6" t="str">
        <f t="shared" si="92"/>
        <v>,</v>
      </c>
    </row>
    <row r="580" spans="1:10">
      <c r="A580" s="4" t="str">
        <f>'EN60'!A$3</f>
        <v>EN60</v>
      </c>
      <c r="B580" s="4">
        <f t="shared" si="93"/>
        <v>37</v>
      </c>
      <c r="C580" s="4">
        <f t="shared" si="94"/>
        <v>8</v>
      </c>
      <c r="D580" s="4">
        <f t="shared" si="88"/>
        <v>8</v>
      </c>
      <c r="E580" s="4" t="s">
        <v>27</v>
      </c>
      <c r="F580" s="4">
        <f t="shared" si="89"/>
        <v>800</v>
      </c>
      <c r="G580" s="5">
        <f t="shared" si="95"/>
        <v>1.01</v>
      </c>
      <c r="H580" s="6" t="str">
        <f t="shared" si="90"/>
        <v>INSERT INTO public.coupon (plancode, age, "year", couponrate, benefittype, benefitrate, premiumrate) VALUES('EN60', 37, 8, 8, 'A',800, 1.01);</v>
      </c>
      <c r="I580" s="6" t="str">
        <f t="shared" si="91"/>
        <v>{"age":"37", "year":"8", "couponrate":"8", "benefittype":"A", "benefitrate":"800", "premiumrate":"1.01"}</v>
      </c>
      <c r="J580" s="6" t="str">
        <f t="shared" si="92"/>
        <v>,</v>
      </c>
    </row>
    <row r="581" spans="1:10">
      <c r="A581" s="4" t="str">
        <f>'EN60'!A$3</f>
        <v>EN60</v>
      </c>
      <c r="B581" s="4">
        <f t="shared" si="93"/>
        <v>37</v>
      </c>
      <c r="C581" s="4">
        <f t="shared" si="94"/>
        <v>9</v>
      </c>
      <c r="D581" s="4">
        <f t="shared" si="88"/>
        <v>8</v>
      </c>
      <c r="E581" s="4" t="s">
        <v>27</v>
      </c>
      <c r="F581" s="4">
        <f t="shared" si="89"/>
        <v>800</v>
      </c>
      <c r="G581" s="5">
        <f t="shared" si="95"/>
        <v>1.01</v>
      </c>
      <c r="H581" s="6" t="str">
        <f t="shared" si="90"/>
        <v>INSERT INTO public.coupon (plancode, age, "year", couponrate, benefittype, benefitrate, premiumrate) VALUES('EN60', 37, 9, 8, 'A',800, 1.01);</v>
      </c>
      <c r="I581" s="6" t="str">
        <f t="shared" si="91"/>
        <v>{"age":"37", "year":"9", "couponrate":"8", "benefittype":"A", "benefitrate":"800", "premiumrate":"1.01"}</v>
      </c>
      <c r="J581" s="6" t="str">
        <f t="shared" si="92"/>
        <v>,</v>
      </c>
    </row>
    <row r="582" spans="1:10">
      <c r="A582" s="4" t="str">
        <f>'EN60'!A$3</f>
        <v>EN60</v>
      </c>
      <c r="B582" s="4">
        <f t="shared" si="93"/>
        <v>37</v>
      </c>
      <c r="C582" s="4">
        <f t="shared" si="94"/>
        <v>10</v>
      </c>
      <c r="D582" s="4">
        <f t="shared" si="88"/>
        <v>8</v>
      </c>
      <c r="E582" s="4" t="s">
        <v>27</v>
      </c>
      <c r="F582" s="4">
        <f t="shared" si="89"/>
        <v>800</v>
      </c>
      <c r="G582" s="5">
        <f t="shared" si="95"/>
        <v>1.01</v>
      </c>
      <c r="H582" s="6" t="str">
        <f t="shared" si="90"/>
        <v>INSERT INTO public.coupon (plancode, age, "year", couponrate, benefittype, benefitrate, premiumrate) VALUES('EN60', 37, 10, 8, 'A',800, 1.01);</v>
      </c>
      <c r="I582" s="6" t="str">
        <f t="shared" si="91"/>
        <v>{"age":"37", "year":"10", "couponrate":"8", "benefittype":"A", "benefitrate":"800", "premiumrate":"1.01"}</v>
      </c>
      <c r="J582" s="6" t="str">
        <f t="shared" si="92"/>
        <v>,</v>
      </c>
    </row>
    <row r="583" spans="1:10">
      <c r="A583" s="4" t="str">
        <f>'EN60'!A$3</f>
        <v>EN60</v>
      </c>
      <c r="B583" s="4">
        <f t="shared" si="93"/>
        <v>37</v>
      </c>
      <c r="C583" s="4">
        <f t="shared" si="94"/>
        <v>11</v>
      </c>
      <c r="D583" s="4">
        <f t="shared" si="88"/>
        <v>8</v>
      </c>
      <c r="E583" s="4" t="s">
        <v>27</v>
      </c>
      <c r="F583" s="4">
        <f t="shared" si="89"/>
        <v>800</v>
      </c>
      <c r="G583" s="5">
        <f t="shared" si="95"/>
        <v>1.01</v>
      </c>
      <c r="H583" s="6" t="str">
        <f t="shared" si="90"/>
        <v>INSERT INTO public.coupon (plancode, age, "year", couponrate, benefittype, benefitrate, premiumrate) VALUES('EN60', 37, 11, 8, 'A',800, 1.01);</v>
      </c>
      <c r="I583" s="6" t="str">
        <f t="shared" si="91"/>
        <v>{"age":"37", "year":"11", "couponrate":"8", "benefittype":"A", "benefitrate":"800", "premiumrate":"1.01"}</v>
      </c>
      <c r="J583" s="6" t="str">
        <f t="shared" si="92"/>
        <v>,</v>
      </c>
    </row>
    <row r="584" spans="1:10">
      <c r="A584" s="4" t="str">
        <f>'EN60'!A$3</f>
        <v>EN60</v>
      </c>
      <c r="B584" s="4">
        <f t="shared" si="93"/>
        <v>37</v>
      </c>
      <c r="C584" s="4">
        <f t="shared" si="94"/>
        <v>12</v>
      </c>
      <c r="D584" s="4">
        <f t="shared" si="88"/>
        <v>8</v>
      </c>
      <c r="E584" s="4" t="s">
        <v>27</v>
      </c>
      <c r="F584" s="4">
        <f t="shared" si="89"/>
        <v>800</v>
      </c>
      <c r="G584" s="5">
        <f t="shared" si="95"/>
        <v>1.01</v>
      </c>
      <c r="H584" s="6" t="str">
        <f t="shared" si="90"/>
        <v>INSERT INTO public.coupon (plancode, age, "year", couponrate, benefittype, benefitrate, premiumrate) VALUES('EN60', 37, 12, 8, 'A',800, 1.01);</v>
      </c>
      <c r="I584" s="6" t="str">
        <f t="shared" si="91"/>
        <v>{"age":"37", "year":"12", "couponrate":"8", "benefittype":"A", "benefitrate":"800", "premiumrate":"1.01"}</v>
      </c>
      <c r="J584" s="6" t="str">
        <f t="shared" si="92"/>
        <v>,</v>
      </c>
    </row>
    <row r="585" spans="1:10">
      <c r="A585" s="4" t="str">
        <f>'EN60'!A$3</f>
        <v>EN60</v>
      </c>
      <c r="B585" s="4">
        <f t="shared" si="93"/>
        <v>37</v>
      </c>
      <c r="C585" s="4">
        <f t="shared" si="94"/>
        <v>13</v>
      </c>
      <c r="D585" s="4">
        <f t="shared" si="88"/>
        <v>8</v>
      </c>
      <c r="E585" s="4" t="s">
        <v>27</v>
      </c>
      <c r="F585" s="4">
        <f t="shared" si="89"/>
        <v>800</v>
      </c>
      <c r="G585" s="5">
        <f t="shared" si="95"/>
        <v>1.01</v>
      </c>
      <c r="H585" s="6" t="str">
        <f t="shared" si="90"/>
        <v>INSERT INTO public.coupon (plancode, age, "year", couponrate, benefittype, benefitrate, premiumrate) VALUES('EN60', 37, 13, 8, 'A',800, 1.01);</v>
      </c>
      <c r="I585" s="6" t="str">
        <f t="shared" si="91"/>
        <v>{"age":"37", "year":"13", "couponrate":"8", "benefittype":"A", "benefitrate":"800", "premiumrate":"1.01"}</v>
      </c>
      <c r="J585" s="6" t="str">
        <f t="shared" si="92"/>
        <v>,</v>
      </c>
    </row>
    <row r="586" spans="1:10">
      <c r="A586" s="4" t="str">
        <f>'EN60'!A$3</f>
        <v>EN60</v>
      </c>
      <c r="B586" s="4">
        <f t="shared" si="93"/>
        <v>37</v>
      </c>
      <c r="C586" s="4">
        <f t="shared" si="94"/>
        <v>14</v>
      </c>
      <c r="D586" s="4">
        <f t="shared" si="88"/>
        <v>8</v>
      </c>
      <c r="E586" s="4" t="s">
        <v>27</v>
      </c>
      <c r="F586" s="4">
        <f t="shared" si="89"/>
        <v>800</v>
      </c>
      <c r="G586" s="5">
        <f t="shared" si="95"/>
        <v>1.01</v>
      </c>
      <c r="H586" s="6" t="str">
        <f t="shared" si="90"/>
        <v>INSERT INTO public.coupon (plancode, age, "year", couponrate, benefittype, benefitrate, premiumrate) VALUES('EN60', 37, 14, 8, 'A',800, 1.01);</v>
      </c>
      <c r="I586" s="6" t="str">
        <f t="shared" si="91"/>
        <v>{"age":"37", "year":"14", "couponrate":"8", "benefittype":"A", "benefitrate":"800", "premiumrate":"1.01"}</v>
      </c>
      <c r="J586" s="6" t="str">
        <f t="shared" si="92"/>
        <v>,</v>
      </c>
    </row>
    <row r="587" spans="1:10">
      <c r="A587" s="4" t="str">
        <f>'EN60'!A$3</f>
        <v>EN60</v>
      </c>
      <c r="B587" s="4">
        <f t="shared" si="93"/>
        <v>37</v>
      </c>
      <c r="C587" s="4">
        <f t="shared" si="94"/>
        <v>15</v>
      </c>
      <c r="D587" s="4">
        <f t="shared" si="88"/>
        <v>8</v>
      </c>
      <c r="E587" s="4" t="s">
        <v>27</v>
      </c>
      <c r="F587" s="4">
        <f t="shared" si="89"/>
        <v>800</v>
      </c>
      <c r="G587" s="5">
        <f t="shared" si="95"/>
        <v>1.01</v>
      </c>
      <c r="H587" s="6" t="str">
        <f t="shared" si="90"/>
        <v>INSERT INTO public.coupon (plancode, age, "year", couponrate, benefittype, benefitrate, premiumrate) VALUES('EN60', 37, 15, 8, 'A',800, 1.01);</v>
      </c>
      <c r="I587" s="6" t="str">
        <f t="shared" si="91"/>
        <v>{"age":"37", "year":"15", "couponrate":"8", "benefittype":"A", "benefitrate":"800", "premiumrate":"1.01"}</v>
      </c>
      <c r="J587" s="6" t="str">
        <f t="shared" si="92"/>
        <v>,</v>
      </c>
    </row>
    <row r="588" spans="1:10">
      <c r="A588" s="4" t="str">
        <f>'EN60'!A$3</f>
        <v>EN60</v>
      </c>
      <c r="B588" s="4">
        <f t="shared" si="93"/>
        <v>37</v>
      </c>
      <c r="C588" s="4">
        <f t="shared" si="94"/>
        <v>16</v>
      </c>
      <c r="D588" s="4">
        <f t="shared" si="88"/>
        <v>8</v>
      </c>
      <c r="E588" s="4" t="s">
        <v>27</v>
      </c>
      <c r="F588" s="4">
        <f t="shared" si="89"/>
        <v>800</v>
      </c>
      <c r="G588" s="5">
        <f t="shared" si="95"/>
        <v>1.01</v>
      </c>
      <c r="H588" s="6" t="str">
        <f t="shared" si="90"/>
        <v>INSERT INTO public.coupon (plancode, age, "year", couponrate, benefittype, benefitrate, premiumrate) VALUES('EN60', 37, 16, 8, 'A',800, 1.01);</v>
      </c>
      <c r="I588" s="6" t="str">
        <f t="shared" si="91"/>
        <v>{"age":"37", "year":"16", "couponrate":"8", "benefittype":"A", "benefitrate":"800", "premiumrate":"1.01"}</v>
      </c>
      <c r="J588" s="6" t="str">
        <f t="shared" si="92"/>
        <v>,</v>
      </c>
    </row>
    <row r="589" spans="1:10">
      <c r="A589" s="4" t="str">
        <f>'EN60'!A$3</f>
        <v>EN60</v>
      </c>
      <c r="B589" s="4">
        <f t="shared" si="93"/>
        <v>37</v>
      </c>
      <c r="C589" s="4">
        <f t="shared" si="94"/>
        <v>17</v>
      </c>
      <c r="D589" s="4">
        <f t="shared" si="88"/>
        <v>8</v>
      </c>
      <c r="E589" s="4" t="s">
        <v>27</v>
      </c>
      <c r="F589" s="4">
        <f t="shared" si="89"/>
        <v>800</v>
      </c>
      <c r="G589" s="5">
        <f t="shared" si="95"/>
        <v>1.01</v>
      </c>
      <c r="H589" s="6" t="str">
        <f t="shared" si="90"/>
        <v>INSERT INTO public.coupon (plancode, age, "year", couponrate, benefittype, benefitrate, premiumrate) VALUES('EN60', 37, 17, 8, 'A',800, 1.01);</v>
      </c>
      <c r="I589" s="6" t="str">
        <f t="shared" si="91"/>
        <v>{"age":"37", "year":"17", "couponrate":"8", "benefittype":"A", "benefitrate":"800", "premiumrate":"1.01"}</v>
      </c>
      <c r="J589" s="6" t="str">
        <f t="shared" si="92"/>
        <v>,</v>
      </c>
    </row>
    <row r="590" spans="1:10">
      <c r="A590" s="4" t="str">
        <f>'EN60'!A$3</f>
        <v>EN60</v>
      </c>
      <c r="B590" s="4">
        <f t="shared" si="93"/>
        <v>37</v>
      </c>
      <c r="C590" s="4">
        <f t="shared" si="94"/>
        <v>18</v>
      </c>
      <c r="D590" s="4">
        <f t="shared" si="88"/>
        <v>8</v>
      </c>
      <c r="E590" s="4" t="s">
        <v>27</v>
      </c>
      <c r="F590" s="4">
        <f t="shared" si="89"/>
        <v>800</v>
      </c>
      <c r="G590" s="5">
        <f t="shared" si="95"/>
        <v>1.01</v>
      </c>
      <c r="H590" s="6" t="str">
        <f t="shared" si="90"/>
        <v>INSERT INTO public.coupon (plancode, age, "year", couponrate, benefittype, benefitrate, premiumrate) VALUES('EN60', 37, 18, 8, 'A',800, 1.01);</v>
      </c>
      <c r="I590" s="6" t="str">
        <f t="shared" si="91"/>
        <v>{"age":"37", "year":"18", "couponrate":"8", "benefittype":"A", "benefitrate":"800", "premiumrate":"1.01"}</v>
      </c>
      <c r="J590" s="6" t="str">
        <f t="shared" si="92"/>
        <v>,</v>
      </c>
    </row>
    <row r="591" spans="1:10">
      <c r="A591" s="4" t="str">
        <f>'EN60'!A$3</f>
        <v>EN60</v>
      </c>
      <c r="B591" s="4">
        <f t="shared" si="93"/>
        <v>37</v>
      </c>
      <c r="C591" s="4">
        <f t="shared" si="94"/>
        <v>19</v>
      </c>
      <c r="D591" s="4">
        <f t="shared" si="88"/>
        <v>8</v>
      </c>
      <c r="E591" s="4" t="s">
        <v>27</v>
      </c>
      <c r="F591" s="4">
        <f t="shared" si="89"/>
        <v>800</v>
      </c>
      <c r="G591" s="5">
        <f t="shared" si="95"/>
        <v>1.01</v>
      </c>
      <c r="H591" s="6" t="str">
        <f t="shared" si="90"/>
        <v>INSERT INTO public.coupon (plancode, age, "year", couponrate, benefittype, benefitrate, premiumrate) VALUES('EN60', 37, 19, 8, 'A',800, 1.01);</v>
      </c>
      <c r="I591" s="6" t="str">
        <f t="shared" si="91"/>
        <v>{"age":"37", "year":"19", "couponrate":"8", "benefittype":"A", "benefitrate":"800", "premiumrate":"1.01"}</v>
      </c>
      <c r="J591" s="6" t="str">
        <f t="shared" si="92"/>
        <v>,</v>
      </c>
    </row>
    <row r="592" spans="1:10">
      <c r="A592" s="4" t="str">
        <f>'EN60'!A$3</f>
        <v>EN60</v>
      </c>
      <c r="B592" s="4">
        <f t="shared" si="93"/>
        <v>37</v>
      </c>
      <c r="C592" s="4">
        <f t="shared" si="94"/>
        <v>20</v>
      </c>
      <c r="D592" s="4">
        <f t="shared" si="88"/>
        <v>8</v>
      </c>
      <c r="E592" s="4" t="s">
        <v>27</v>
      </c>
      <c r="F592" s="4">
        <f t="shared" si="89"/>
        <v>800</v>
      </c>
      <c r="G592" s="5">
        <f t="shared" si="95"/>
        <v>1.01</v>
      </c>
      <c r="H592" s="6" t="str">
        <f t="shared" si="90"/>
        <v>INSERT INTO public.coupon (plancode, age, "year", couponrate, benefittype, benefitrate, premiumrate) VALUES('EN60', 37, 20, 8, 'A',800, 1.01);</v>
      </c>
      <c r="I592" s="6" t="str">
        <f t="shared" si="91"/>
        <v>{"age":"37", "year":"20", "couponrate":"8", "benefittype":"A", "benefitrate":"800", "premiumrate":"1.01"}</v>
      </c>
      <c r="J592" s="6" t="str">
        <f t="shared" si="92"/>
        <v>,</v>
      </c>
    </row>
    <row r="593" spans="1:10">
      <c r="A593" s="4" t="str">
        <f>'EN60'!A$3</f>
        <v>EN60</v>
      </c>
      <c r="B593" s="4">
        <f t="shared" si="93"/>
        <v>37</v>
      </c>
      <c r="C593" s="4">
        <f t="shared" si="94"/>
        <v>21</v>
      </c>
      <c r="D593" s="4">
        <f t="shared" si="88"/>
        <v>8</v>
      </c>
      <c r="E593" s="4" t="s">
        <v>27</v>
      </c>
      <c r="F593" s="4">
        <f t="shared" si="89"/>
        <v>800</v>
      </c>
      <c r="G593" s="5">
        <f t="shared" si="95"/>
        <v>1.01</v>
      </c>
      <c r="H593" s="6" t="str">
        <f t="shared" si="90"/>
        <v>INSERT INTO public.coupon (plancode, age, "year", couponrate, benefittype, benefitrate, premiumrate) VALUES('EN60', 37, 21, 8, 'A',800, 1.01);</v>
      </c>
      <c r="I593" s="6" t="str">
        <f t="shared" si="91"/>
        <v>{"age":"37", "year":"21", "couponrate":"8", "benefittype":"A", "benefitrate":"800", "premiumrate":"1.01"}</v>
      </c>
      <c r="J593" s="6" t="str">
        <f t="shared" si="92"/>
        <v>,</v>
      </c>
    </row>
    <row r="594" spans="1:10">
      <c r="A594" s="4" t="str">
        <f>'EN60'!A$3</f>
        <v>EN60</v>
      </c>
      <c r="B594" s="4">
        <f t="shared" si="93"/>
        <v>37</v>
      </c>
      <c r="C594" s="4">
        <f t="shared" si="94"/>
        <v>22</v>
      </c>
      <c r="D594" s="4">
        <f t="shared" si="88"/>
        <v>8</v>
      </c>
      <c r="E594" s="4" t="s">
        <v>27</v>
      </c>
      <c r="F594" s="4">
        <f t="shared" si="89"/>
        <v>800</v>
      </c>
      <c r="G594" s="5">
        <f t="shared" si="95"/>
        <v>1.01</v>
      </c>
      <c r="H594" s="6" t="str">
        <f t="shared" si="90"/>
        <v>INSERT INTO public.coupon (plancode, age, "year", couponrate, benefittype, benefitrate, premiumrate) VALUES('EN60', 37, 22, 8, 'A',800, 1.01);</v>
      </c>
      <c r="I594" s="6" t="str">
        <f t="shared" si="91"/>
        <v>{"age":"37", "year":"22", "couponrate":"8", "benefittype":"A", "benefitrate":"800", "premiumrate":"1.01"}</v>
      </c>
      <c r="J594" s="6" t="str">
        <f t="shared" si="92"/>
        <v>,</v>
      </c>
    </row>
    <row r="595" spans="1:10">
      <c r="A595" s="4" t="str">
        <f>'EN60'!A$3</f>
        <v>EN60</v>
      </c>
      <c r="B595" s="4">
        <f t="shared" si="93"/>
        <v>37</v>
      </c>
      <c r="C595" s="4">
        <f t="shared" si="94"/>
        <v>23</v>
      </c>
      <c r="D595" s="4">
        <f t="shared" si="88"/>
        <v>8</v>
      </c>
      <c r="E595" s="4" t="s">
        <v>27</v>
      </c>
      <c r="F595" s="4">
        <f t="shared" si="89"/>
        <v>800</v>
      </c>
      <c r="G595" s="5">
        <f t="shared" si="95"/>
        <v>1.01</v>
      </c>
      <c r="H595" s="6" t="str">
        <f t="shared" si="90"/>
        <v>INSERT INTO public.coupon (plancode, age, "year", couponrate, benefittype, benefitrate, premiumrate) VALUES('EN60', 37, 23, 8, 'A',800, 1.01);</v>
      </c>
      <c r="I595" s="6" t="str">
        <f t="shared" si="91"/>
        <v>{"age":"37", "year":"23", "couponrate":"8", "benefittype":"A", "benefitrate":"800", "premiumrate":"1.01"}</v>
      </c>
      <c r="J595" s="6" t="str">
        <f t="shared" si="92"/>
        <v>,</v>
      </c>
    </row>
    <row r="596" spans="1:10">
      <c r="A596" s="4" t="str">
        <f>'EN60'!A$3</f>
        <v>EN60</v>
      </c>
      <c r="B596" s="4">
        <f t="shared" si="93"/>
        <v>37</v>
      </c>
      <c r="C596" s="4">
        <f t="shared" si="94"/>
        <v>24</v>
      </c>
      <c r="D596" s="4">
        <f t="shared" si="88"/>
        <v>8</v>
      </c>
      <c r="E596" s="4" t="s">
        <v>27</v>
      </c>
      <c r="F596" s="4">
        <f t="shared" si="89"/>
        <v>800</v>
      </c>
      <c r="G596" s="5">
        <f t="shared" si="95"/>
        <v>1.01</v>
      </c>
      <c r="H596" s="6" t="str">
        <f t="shared" si="90"/>
        <v>INSERT INTO public.coupon (plancode, age, "year", couponrate, benefittype, benefitrate, premiumrate) VALUES('EN60', 37, 24, 8, 'A',800, 1.01);</v>
      </c>
      <c r="I596" s="6" t="str">
        <f t="shared" si="91"/>
        <v>{"age":"37", "year":"24", "couponrate":"8", "benefittype":"A", "benefitrate":"800", "premiumrate":"1.01"}</v>
      </c>
      <c r="J596" s="6" t="str">
        <f t="shared" si="92"/>
        <v>,</v>
      </c>
    </row>
    <row r="597" spans="1:10">
      <c r="A597" s="4" t="str">
        <f>'EN60'!A$3</f>
        <v>EN60</v>
      </c>
      <c r="B597" s="4">
        <f t="shared" si="93"/>
        <v>37</v>
      </c>
      <c r="C597" s="4">
        <f t="shared" si="94"/>
        <v>25</v>
      </c>
      <c r="D597" s="4">
        <f t="shared" si="88"/>
        <v>8</v>
      </c>
      <c r="E597" s="4" t="s">
        <v>27</v>
      </c>
      <c r="F597" s="4">
        <f t="shared" si="89"/>
        <v>800</v>
      </c>
      <c r="G597" s="5">
        <f t="shared" si="95"/>
        <v>1.01</v>
      </c>
      <c r="H597" s="6" t="str">
        <f t="shared" si="90"/>
        <v>INSERT INTO public.coupon (plancode, age, "year", couponrate, benefittype, benefitrate, premiumrate) VALUES('EN60', 37, 25, 8, 'A',800, 1.01);</v>
      </c>
      <c r="I597" s="6" t="str">
        <f t="shared" si="91"/>
        <v>{"age":"37", "year":"25", "couponrate":"8", "benefittype":"A", "benefitrate":"800", "premiumrate":"1.01"}</v>
      </c>
      <c r="J597" s="6" t="str">
        <f t="shared" si="92"/>
        <v>,</v>
      </c>
    </row>
    <row r="598" spans="1:10">
      <c r="A598" s="4" t="str">
        <f>'EN60'!A$3</f>
        <v>EN60</v>
      </c>
      <c r="B598" s="4">
        <f t="shared" si="93"/>
        <v>37</v>
      </c>
      <c r="C598" s="4">
        <f t="shared" si="94"/>
        <v>26</v>
      </c>
      <c r="D598" s="4">
        <f t="shared" si="88"/>
        <v>8</v>
      </c>
      <c r="E598" s="4" t="s">
        <v>27</v>
      </c>
      <c r="F598" s="4">
        <f t="shared" si="89"/>
        <v>800</v>
      </c>
      <c r="G598" s="5">
        <f t="shared" si="95"/>
        <v>1.01</v>
      </c>
      <c r="H598" s="6" t="str">
        <f t="shared" si="90"/>
        <v>INSERT INTO public.coupon (plancode, age, "year", couponrate, benefittype, benefitrate, premiumrate) VALUES('EN60', 37, 26, 8, 'A',800, 1.01);</v>
      </c>
      <c r="I598" s="6" t="str">
        <f t="shared" si="91"/>
        <v>{"age":"37", "year":"26", "couponrate":"8", "benefittype":"A", "benefitrate":"800", "premiumrate":"1.01"}</v>
      </c>
      <c r="J598" s="6" t="str">
        <f t="shared" si="92"/>
        <v>,</v>
      </c>
    </row>
    <row r="599" spans="1:10">
      <c r="A599" s="4" t="str">
        <f>'EN60'!A$3</f>
        <v>EN60</v>
      </c>
      <c r="B599" s="4">
        <f t="shared" si="93"/>
        <v>37</v>
      </c>
      <c r="C599" s="4">
        <f t="shared" si="94"/>
        <v>27</v>
      </c>
      <c r="D599" s="4">
        <f t="shared" si="88"/>
        <v>8</v>
      </c>
      <c r="E599" s="4" t="s">
        <v>27</v>
      </c>
      <c r="F599" s="4">
        <f t="shared" si="89"/>
        <v>800</v>
      </c>
      <c r="G599" s="5">
        <f t="shared" si="95"/>
        <v>1.01</v>
      </c>
      <c r="H599" s="6" t="str">
        <f t="shared" si="90"/>
        <v>INSERT INTO public.coupon (plancode, age, "year", couponrate, benefittype, benefitrate, premiumrate) VALUES('EN60', 37, 27, 8, 'A',800, 1.01);</v>
      </c>
      <c r="I599" s="6" t="str">
        <f t="shared" si="91"/>
        <v>{"age":"37", "year":"27", "couponrate":"8", "benefittype":"A", "benefitrate":"800", "premiumrate":"1.01"}</v>
      </c>
      <c r="J599" s="6" t="str">
        <f t="shared" si="92"/>
        <v>,</v>
      </c>
    </row>
    <row r="600" spans="1:10">
      <c r="A600" s="4" t="str">
        <f>'EN60'!A$3</f>
        <v>EN60</v>
      </c>
      <c r="B600" s="4">
        <f t="shared" si="93"/>
        <v>37</v>
      </c>
      <c r="C600" s="4">
        <f t="shared" si="94"/>
        <v>28</v>
      </c>
      <c r="D600" s="4">
        <f t="shared" si="88"/>
        <v>8</v>
      </c>
      <c r="E600" s="4" t="s">
        <v>27</v>
      </c>
      <c r="F600" s="4">
        <f t="shared" si="89"/>
        <v>800</v>
      </c>
      <c r="G600" s="5">
        <f t="shared" si="95"/>
        <v>1.01</v>
      </c>
      <c r="H600" s="6" t="str">
        <f t="shared" si="90"/>
        <v>INSERT INTO public.coupon (plancode, age, "year", couponrate, benefittype, benefitrate, premiumrate) VALUES('EN60', 37, 28, 8, 'A',800, 1.01);</v>
      </c>
      <c r="I600" s="6" t="str">
        <f t="shared" si="91"/>
        <v>{"age":"37", "year":"28", "couponrate":"8", "benefittype":"A", "benefitrate":"800", "premiumrate":"1.01"}</v>
      </c>
      <c r="J600" s="6" t="str">
        <f t="shared" si="92"/>
        <v>,</v>
      </c>
    </row>
    <row r="601" spans="1:10">
      <c r="A601" s="4" t="str">
        <f>'EN60'!A$3</f>
        <v>EN60</v>
      </c>
      <c r="B601" s="4">
        <f t="shared" si="93"/>
        <v>37</v>
      </c>
      <c r="C601" s="4">
        <f t="shared" si="94"/>
        <v>29</v>
      </c>
      <c r="D601" s="4">
        <f t="shared" si="88"/>
        <v>8</v>
      </c>
      <c r="E601" s="4" t="s">
        <v>27</v>
      </c>
      <c r="F601" s="4">
        <f t="shared" si="89"/>
        <v>800</v>
      </c>
      <c r="G601" s="5">
        <f t="shared" si="95"/>
        <v>1.01</v>
      </c>
      <c r="H601" s="6" t="str">
        <f t="shared" si="90"/>
        <v>INSERT INTO public.coupon (plancode, age, "year", couponrate, benefittype, benefitrate, premiumrate) VALUES('EN60', 37, 29, 8, 'A',800, 1.01);</v>
      </c>
      <c r="I601" s="6" t="str">
        <f t="shared" si="91"/>
        <v>{"age":"37", "year":"29", "couponrate":"8", "benefittype":"A", "benefitrate":"800", "premiumrate":"1.01"}</v>
      </c>
      <c r="J601" s="6" t="str">
        <f t="shared" si="92"/>
        <v>,</v>
      </c>
    </row>
    <row r="602" spans="1:10">
      <c r="A602" s="4" t="str">
        <f>'EN60'!A$3</f>
        <v>EN60</v>
      </c>
      <c r="B602" s="4">
        <f t="shared" si="93"/>
        <v>37</v>
      </c>
      <c r="C602" s="4">
        <f t="shared" si="94"/>
        <v>30</v>
      </c>
      <c r="D602" s="4">
        <f t="shared" si="88"/>
        <v>8</v>
      </c>
      <c r="E602" s="4" t="s">
        <v>27</v>
      </c>
      <c r="F602" s="4">
        <f t="shared" si="89"/>
        <v>800</v>
      </c>
      <c r="G602" s="5">
        <f t="shared" si="95"/>
        <v>1.01</v>
      </c>
      <c r="H602" s="6" t="str">
        <f t="shared" si="90"/>
        <v>INSERT INTO public.coupon (plancode, age, "year", couponrate, benefittype, benefitrate, premiumrate) VALUES('EN60', 37, 30, 8, 'A',800, 1.01);</v>
      </c>
      <c r="I602" s="6" t="str">
        <f t="shared" si="91"/>
        <v>{"age":"37", "year":"30", "couponrate":"8", "benefittype":"A", "benefitrate":"800", "premiumrate":"1.01"}</v>
      </c>
      <c r="J602" s="6" t="str">
        <f t="shared" si="92"/>
        <v>,</v>
      </c>
    </row>
    <row r="603" spans="1:10">
      <c r="A603" s="4" t="str">
        <f>'EN60'!A$3</f>
        <v>EN60</v>
      </c>
      <c r="B603" s="4">
        <f t="shared" si="93"/>
        <v>37</v>
      </c>
      <c r="C603" s="4">
        <f t="shared" si="94"/>
        <v>31</v>
      </c>
      <c r="D603" s="4">
        <f t="shared" si="88"/>
        <v>8</v>
      </c>
      <c r="E603" s="4" t="s">
        <v>27</v>
      </c>
      <c r="F603" s="4">
        <f t="shared" si="89"/>
        <v>800</v>
      </c>
      <c r="G603" s="5">
        <f t="shared" si="95"/>
        <v>1.01</v>
      </c>
      <c r="H603" s="6" t="str">
        <f t="shared" si="90"/>
        <v>INSERT INTO public.coupon (plancode, age, "year", couponrate, benefittype, benefitrate, premiumrate) VALUES('EN60', 37, 31, 8, 'A',800, 1.01);</v>
      </c>
      <c r="I603" s="6" t="str">
        <f t="shared" si="91"/>
        <v>{"age":"37", "year":"31", "couponrate":"8", "benefittype":"A", "benefitrate":"800", "premiumrate":"1.01"}</v>
      </c>
      <c r="J603" s="6" t="str">
        <f t="shared" si="92"/>
        <v>,</v>
      </c>
    </row>
    <row r="604" spans="1:10">
      <c r="A604" s="4" t="str">
        <f>'EN60'!A$3</f>
        <v>EN60</v>
      </c>
      <c r="B604" s="4">
        <f t="shared" si="93"/>
        <v>37</v>
      </c>
      <c r="C604" s="4">
        <f t="shared" si="94"/>
        <v>32</v>
      </c>
      <c r="D604" s="4">
        <f t="shared" si="88"/>
        <v>8</v>
      </c>
      <c r="E604" s="4" t="s">
        <v>27</v>
      </c>
      <c r="F604" s="4">
        <f t="shared" si="89"/>
        <v>800</v>
      </c>
      <c r="G604" s="5">
        <f t="shared" si="95"/>
        <v>1.01</v>
      </c>
      <c r="H604" s="6" t="str">
        <f t="shared" si="90"/>
        <v>INSERT INTO public.coupon (plancode, age, "year", couponrate, benefittype, benefitrate, premiumrate) VALUES('EN60', 37, 32, 8, 'A',800, 1.01);</v>
      </c>
      <c r="I604" s="6" t="str">
        <f t="shared" si="91"/>
        <v>{"age":"37", "year":"32", "couponrate":"8", "benefittype":"A", "benefitrate":"800", "premiumrate":"1.01"}</v>
      </c>
      <c r="J604" s="6" t="str">
        <f t="shared" si="92"/>
        <v>,</v>
      </c>
    </row>
    <row r="605" spans="1:10">
      <c r="A605" s="4" t="str">
        <f>'EN60'!A$3</f>
        <v>EN60</v>
      </c>
      <c r="B605" s="4">
        <f t="shared" si="93"/>
        <v>37</v>
      </c>
      <c r="C605" s="4">
        <f t="shared" si="94"/>
        <v>33</v>
      </c>
      <c r="D605" s="4">
        <f t="shared" si="88"/>
        <v>8</v>
      </c>
      <c r="E605" s="4" t="s">
        <v>27</v>
      </c>
      <c r="F605" s="4">
        <f t="shared" si="89"/>
        <v>800</v>
      </c>
      <c r="G605" s="5">
        <f t="shared" si="95"/>
        <v>1.01</v>
      </c>
      <c r="H605" s="6" t="str">
        <f t="shared" si="90"/>
        <v>INSERT INTO public.coupon (plancode, age, "year", couponrate, benefittype, benefitrate, premiumrate) VALUES('EN60', 37, 33, 8, 'A',800, 1.01);</v>
      </c>
      <c r="I605" s="6" t="str">
        <f t="shared" si="91"/>
        <v>{"age":"37", "year":"33", "couponrate":"8", "benefittype":"A", "benefitrate":"800", "premiumrate":"1.01"}</v>
      </c>
      <c r="J605" s="6" t="str">
        <f t="shared" si="92"/>
        <v>,</v>
      </c>
    </row>
    <row r="606" spans="1:10">
      <c r="A606" s="4" t="str">
        <f>'EN60'!A$3</f>
        <v>EN60</v>
      </c>
      <c r="B606" s="4">
        <f t="shared" si="93"/>
        <v>37</v>
      </c>
      <c r="C606" s="4">
        <f t="shared" si="94"/>
        <v>34</v>
      </c>
      <c r="D606" s="4">
        <f t="shared" si="88"/>
        <v>8</v>
      </c>
      <c r="E606" s="4" t="s">
        <v>27</v>
      </c>
      <c r="F606" s="4">
        <f t="shared" si="89"/>
        <v>800</v>
      </c>
      <c r="G606" s="5">
        <f t="shared" si="95"/>
        <v>1.01</v>
      </c>
      <c r="H606" s="6" t="str">
        <f t="shared" si="90"/>
        <v>INSERT INTO public.coupon (plancode, age, "year", couponrate, benefittype, benefitrate, premiumrate) VALUES('EN60', 37, 34, 8, 'A',800, 1.01);</v>
      </c>
      <c r="I606" s="6" t="str">
        <f t="shared" si="91"/>
        <v>{"age":"37", "year":"34", "couponrate":"8", "benefittype":"A", "benefitrate":"800", "premiumrate":"1.01"}</v>
      </c>
      <c r="J606" s="6" t="str">
        <f t="shared" si="92"/>
        <v>,</v>
      </c>
    </row>
    <row r="607" spans="1:10">
      <c r="A607" s="4" t="str">
        <f>'EN60'!A$3</f>
        <v>EN60</v>
      </c>
      <c r="B607" s="4">
        <f t="shared" si="93"/>
        <v>37</v>
      </c>
      <c r="C607" s="4">
        <f t="shared" si="94"/>
        <v>35</v>
      </c>
      <c r="D607" s="4">
        <f t="shared" si="88"/>
        <v>8</v>
      </c>
      <c r="E607" s="4" t="s">
        <v>27</v>
      </c>
      <c r="F607" s="4">
        <f t="shared" si="89"/>
        <v>800</v>
      </c>
      <c r="G607" s="5">
        <f t="shared" si="95"/>
        <v>1.01</v>
      </c>
      <c r="H607" s="6" t="str">
        <f t="shared" si="90"/>
        <v>INSERT INTO public.coupon (plancode, age, "year", couponrate, benefittype, benefitrate, premiumrate) VALUES('EN60', 37, 35, 8, 'A',800, 1.01);</v>
      </c>
      <c r="I607" s="6" t="str">
        <f t="shared" si="91"/>
        <v>{"age":"37", "year":"35", "couponrate":"8", "benefittype":"A", "benefitrate":"800", "premiumrate":"1.01"}</v>
      </c>
      <c r="J607" s="6" t="str">
        <f t="shared" si="92"/>
        <v>,</v>
      </c>
    </row>
    <row r="608" spans="1:10">
      <c r="A608" s="4" t="str">
        <f>'EN60'!A$3</f>
        <v>EN60</v>
      </c>
      <c r="B608" s="4">
        <f t="shared" si="93"/>
        <v>37</v>
      </c>
      <c r="C608" s="4">
        <f t="shared" si="94"/>
        <v>36</v>
      </c>
      <c r="D608" s="4">
        <f t="shared" si="88"/>
        <v>8</v>
      </c>
      <c r="E608" s="4" t="s">
        <v>27</v>
      </c>
      <c r="F608" s="4">
        <f t="shared" si="89"/>
        <v>800</v>
      </c>
      <c r="G608" s="5">
        <f t="shared" si="95"/>
        <v>1.01</v>
      </c>
      <c r="H608" s="6" t="str">
        <f t="shared" si="90"/>
        <v>INSERT INTO public.coupon (plancode, age, "year", couponrate, benefittype, benefitrate, premiumrate) VALUES('EN60', 37, 36, 8, 'A',800, 1.01);</v>
      </c>
      <c r="I608" s="6" t="str">
        <f t="shared" si="91"/>
        <v>{"age":"37", "year":"36", "couponrate":"8", "benefittype":"A", "benefitrate":"800", "premiumrate":"1.01"}</v>
      </c>
      <c r="J608" s="6" t="str">
        <f t="shared" si="92"/>
        <v>,</v>
      </c>
    </row>
    <row r="609" spans="1:10">
      <c r="A609" s="4" t="str">
        <f>'EN60'!A$3</f>
        <v>EN60</v>
      </c>
      <c r="B609" s="4">
        <f t="shared" si="93"/>
        <v>37</v>
      </c>
      <c r="C609" s="4">
        <f t="shared" si="94"/>
        <v>37</v>
      </c>
      <c r="D609" s="4">
        <f t="shared" si="88"/>
        <v>8</v>
      </c>
      <c r="E609" s="4" t="s">
        <v>27</v>
      </c>
      <c r="F609" s="4">
        <f t="shared" si="89"/>
        <v>800</v>
      </c>
      <c r="G609" s="5">
        <f t="shared" si="95"/>
        <v>1.01</v>
      </c>
      <c r="H609" s="6" t="str">
        <f t="shared" si="90"/>
        <v>INSERT INTO public.coupon (plancode, age, "year", couponrate, benefittype, benefitrate, premiumrate) VALUES('EN60', 37, 37, 8, 'A',800, 1.01);</v>
      </c>
      <c r="I609" s="6" t="str">
        <f t="shared" si="91"/>
        <v>{"age":"37", "year":"37", "couponrate":"8", "benefittype":"A", "benefitrate":"800", "premiumrate":"1.01"}</v>
      </c>
      <c r="J609" s="6" t="str">
        <f t="shared" si="92"/>
        <v>,</v>
      </c>
    </row>
    <row r="610" spans="1:10">
      <c r="A610" s="4" t="str">
        <f>'EN60'!A$3</f>
        <v>EN60</v>
      </c>
      <c r="B610" s="4">
        <f t="shared" si="93"/>
        <v>37</v>
      </c>
      <c r="C610" s="4">
        <f t="shared" si="94"/>
        <v>38</v>
      </c>
      <c r="D610" s="4">
        <f t="shared" si="88"/>
        <v>8</v>
      </c>
      <c r="E610" s="4" t="s">
        <v>27</v>
      </c>
      <c r="F610" s="4">
        <f t="shared" si="89"/>
        <v>800</v>
      </c>
      <c r="G610" s="5">
        <f t="shared" si="95"/>
        <v>1.01</v>
      </c>
      <c r="H610" s="6" t="str">
        <f t="shared" si="90"/>
        <v>INSERT INTO public.coupon (plancode, age, "year", couponrate, benefittype, benefitrate, premiumrate) VALUES('EN60', 37, 38, 8, 'A',800, 1.01);</v>
      </c>
      <c r="I610" s="6" t="str">
        <f t="shared" si="91"/>
        <v>{"age":"37", "year":"38", "couponrate":"8", "benefittype":"A", "benefitrate":"800", "premiumrate":"1.01"}</v>
      </c>
      <c r="J610" s="6" t="str">
        <f t="shared" si="92"/>
        <v>,</v>
      </c>
    </row>
    <row r="611" spans="1:10">
      <c r="A611" s="4" t="str">
        <f>'EN60'!A$3</f>
        <v>EN60</v>
      </c>
      <c r="B611" s="4">
        <f t="shared" si="93"/>
        <v>37</v>
      </c>
      <c r="C611" s="4">
        <f t="shared" si="94"/>
        <v>39</v>
      </c>
      <c r="D611" s="4">
        <f t="shared" si="88"/>
        <v>8</v>
      </c>
      <c r="E611" s="4" t="s">
        <v>27</v>
      </c>
      <c r="F611" s="4">
        <f t="shared" si="89"/>
        <v>800</v>
      </c>
      <c r="G611" s="5">
        <f t="shared" si="95"/>
        <v>1.01</v>
      </c>
      <c r="H611" s="6" t="str">
        <f t="shared" si="90"/>
        <v>INSERT INTO public.coupon (plancode, age, "year", couponrate, benefittype, benefitrate, premiumrate) VALUES('EN60', 37, 39, 8, 'A',800, 1.01);</v>
      </c>
      <c r="I611" s="6" t="str">
        <f t="shared" si="91"/>
        <v>{"age":"37", "year":"39", "couponrate":"8", "benefittype":"A", "benefitrate":"800", "premiumrate":"1.01"}</v>
      </c>
      <c r="J611" s="6" t="str">
        <f t="shared" si="92"/>
        <v>,</v>
      </c>
    </row>
    <row r="612" spans="1:10">
      <c r="A612" s="4" t="str">
        <f>'EN60'!A$3</f>
        <v>EN60</v>
      </c>
      <c r="B612" s="4">
        <f t="shared" si="93"/>
        <v>37</v>
      </c>
      <c r="C612" s="4">
        <f t="shared" si="94"/>
        <v>40</v>
      </c>
      <c r="D612" s="4">
        <f t="shared" si="88"/>
        <v>8</v>
      </c>
      <c r="E612" s="4" t="s">
        <v>27</v>
      </c>
      <c r="F612" s="4">
        <f t="shared" si="89"/>
        <v>800</v>
      </c>
      <c r="G612" s="5">
        <f t="shared" si="95"/>
        <v>1.01</v>
      </c>
      <c r="H612" s="6" t="str">
        <f t="shared" si="90"/>
        <v>INSERT INTO public.coupon (plancode, age, "year", couponrate, benefittype, benefitrate, premiumrate) VALUES('EN60', 37, 40, 8, 'A',800, 1.01);</v>
      </c>
      <c r="I612" s="6" t="str">
        <f t="shared" si="91"/>
        <v>{"age":"37", "year":"40", "couponrate":"8", "benefittype":"A", "benefitrate":"800", "premiumrate":"1.01"}</v>
      </c>
      <c r="J612" s="6" t="str">
        <f t="shared" si="92"/>
        <v>,</v>
      </c>
    </row>
    <row r="613" spans="1:10">
      <c r="A613" s="4" t="str">
        <f>'EN60'!A$3</f>
        <v>EN60</v>
      </c>
      <c r="B613" s="4">
        <f t="shared" si="93"/>
        <v>37</v>
      </c>
      <c r="C613" s="4">
        <f t="shared" si="94"/>
        <v>41</v>
      </c>
      <c r="D613" s="4">
        <f t="shared" si="88"/>
        <v>8</v>
      </c>
      <c r="E613" s="4" t="s">
        <v>27</v>
      </c>
      <c r="F613" s="4">
        <f t="shared" si="89"/>
        <v>800</v>
      </c>
      <c r="G613" s="5">
        <f t="shared" si="95"/>
        <v>1.01</v>
      </c>
      <c r="H613" s="6" t="str">
        <f t="shared" si="90"/>
        <v>INSERT INTO public.coupon (plancode, age, "year", couponrate, benefittype, benefitrate, premiumrate) VALUES('EN60', 37, 41, 8, 'A',800, 1.01);</v>
      </c>
      <c r="I613" s="6" t="str">
        <f t="shared" si="91"/>
        <v>{"age":"37", "year":"41", "couponrate":"8", "benefittype":"A", "benefitrate":"800", "premiumrate":"1.01"}</v>
      </c>
      <c r="J613" s="6" t="str">
        <f t="shared" si="92"/>
        <v>,</v>
      </c>
    </row>
    <row r="614" spans="1:10">
      <c r="A614" s="4" t="str">
        <f>'EN60'!A$3</f>
        <v>EN60</v>
      </c>
      <c r="B614" s="4">
        <f t="shared" si="93"/>
        <v>37</v>
      </c>
      <c r="C614" s="4">
        <f t="shared" si="94"/>
        <v>42</v>
      </c>
      <c r="D614" s="4">
        <f t="shared" si="88"/>
        <v>8</v>
      </c>
      <c r="E614" s="4" t="s">
        <v>27</v>
      </c>
      <c r="F614" s="4">
        <f t="shared" si="89"/>
        <v>800</v>
      </c>
      <c r="G614" s="5">
        <f t="shared" si="95"/>
        <v>1.01</v>
      </c>
      <c r="H614" s="6" t="str">
        <f t="shared" si="90"/>
        <v>INSERT INTO public.coupon (plancode, age, "year", couponrate, benefittype, benefitrate, premiumrate) VALUES('EN60', 37, 42, 8, 'A',800, 1.01);</v>
      </c>
      <c r="I614" s="6" t="str">
        <f t="shared" si="91"/>
        <v>{"age":"37", "year":"42", "couponrate":"8", "benefittype":"A", "benefitrate":"800", "premiumrate":"1.01"}</v>
      </c>
      <c r="J614" s="6" t="str">
        <f t="shared" si="92"/>
        <v>,</v>
      </c>
    </row>
    <row r="615" spans="1:10">
      <c r="A615" s="4" t="str">
        <f>'EN60'!A$3</f>
        <v>EN60</v>
      </c>
      <c r="B615" s="4">
        <f t="shared" si="93"/>
        <v>37</v>
      </c>
      <c r="C615" s="4">
        <f t="shared" si="94"/>
        <v>43</v>
      </c>
      <c r="D615" s="4">
        <f t="shared" si="88"/>
        <v>0</v>
      </c>
      <c r="E615" s="4" t="s">
        <v>27</v>
      </c>
      <c r="F615" s="4">
        <f t="shared" si="89"/>
        <v>800</v>
      </c>
      <c r="G615" s="5">
        <f t="shared" si="95"/>
        <v>1.01</v>
      </c>
      <c r="H615" s="6" t="str">
        <f t="shared" si="90"/>
        <v>INSERT INTO public.coupon (plancode, age, "year", couponrate, benefittype, benefitrate, premiumrate) VALUES('EN60', 37, 43, 0, 'A',800, 1.01);</v>
      </c>
      <c r="I615" s="6" t="str">
        <f t="shared" si="91"/>
        <v>{"age":"37", "year":"43", "couponrate":"0", "benefittype":"A", "benefitrate":"800", "premiumrate":"1.01"}</v>
      </c>
    </row>
    <row r="616" spans="1:10">
      <c r="C616" s="6"/>
      <c r="I616" s="6" t="s">
        <v>28</v>
      </c>
    </row>
    <row r="617" spans="1:10">
      <c r="A617" s="3" t="s">
        <v>2</v>
      </c>
      <c r="B617" s="3" t="s">
        <v>23</v>
      </c>
      <c r="C617" s="3" t="s">
        <v>24</v>
      </c>
      <c r="D617" s="3" t="s">
        <v>25</v>
      </c>
      <c r="E617" s="3" t="s">
        <v>8</v>
      </c>
      <c r="F617" s="3" t="s">
        <v>26</v>
      </c>
      <c r="G617" s="3" t="s">
        <v>4</v>
      </c>
      <c r="I617" s="6" t="str">
        <f>"[{""plancode"":"""&amp;A618&amp;""",""returncash"":"""&amp;B$7&amp;""",""ytable"":"""&amp;C$7&amp;""",""maturerate"":"""&amp;B$3&amp;""",""maturepmrate"":"""&amp;C$3&amp;""",""coupon"":["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618" spans="1:10">
      <c r="A618" s="4" t="str">
        <f>'EN60'!A$3</f>
        <v>EN60</v>
      </c>
      <c r="B618" s="8">
        <v>38</v>
      </c>
      <c r="C618" s="4">
        <v>1</v>
      </c>
      <c r="D618" s="4">
        <f t="shared" ref="D618:D659" si="96">IF(C618+B618=80,0,8)</f>
        <v>8</v>
      </c>
      <c r="E618" s="4" t="s">
        <v>27</v>
      </c>
      <c r="F618" s="4">
        <f t="shared" ref="F618:F659" si="97">IF(C618&gt;7, 800, C618*100)</f>
        <v>100</v>
      </c>
      <c r="G618" s="5">
        <f>'EN60'!C$3</f>
        <v>1.01</v>
      </c>
      <c r="H618" s="6" t="str">
        <f t="shared" ref="H618:H659" si="98">"INSERT INTO public.coupon ("&amp;A$11&amp;", "&amp;B$11&amp;", """&amp;C$11&amp;""", "&amp;D$11&amp;", "&amp;E$11&amp;", "&amp;F$11&amp;", "&amp;G$11&amp;") VALUES('"&amp;A618&amp;"', "&amp;B618&amp;", "&amp;C618&amp;", "&amp;D618&amp;", '"&amp;E618&amp;"',"&amp;F618&amp;", "&amp;G618&amp;");"</f>
        <v>INSERT INTO public.coupon (plancode, age, "year", couponrate, benefittype, benefitrate, premiumrate) VALUES('EN60', 38, 1, 8, 'A',100, 1.01);</v>
      </c>
      <c r="I618" s="6" t="str">
        <f t="shared" ref="I618:I659" si="99">"{""age"":"""&amp;B618&amp;""", ""year"":"""&amp;C618&amp;""", ""couponrate"":"""&amp;D618&amp;""", ""benefittype"":"""&amp;E618&amp;""", ""benefitrate"":"""&amp;F618&amp;""", """&amp;G$11&amp;""":"""&amp;G618&amp;"""}"</f>
        <v>{"age":"38", "year":"1", "couponrate":"8", "benefittype":"A", "benefitrate":"100", "premiumrate":"1.01"}</v>
      </c>
      <c r="J618" s="6" t="str">
        <f t="shared" ref="J618:J658" si="100">IF(OR(I619="]", I618="[", I618="]"), "", ",")</f>
        <v>,</v>
      </c>
    </row>
    <row r="619" spans="1:10">
      <c r="A619" s="4" t="str">
        <f>'EN60'!A$3</f>
        <v>EN60</v>
      </c>
      <c r="B619" s="4">
        <f t="shared" ref="B619:B659" si="101">B618</f>
        <v>38</v>
      </c>
      <c r="C619" s="4">
        <f t="shared" ref="C619:C659" si="102">IF(B619+C618+1&gt;80,"",C618+1)</f>
        <v>2</v>
      </c>
      <c r="D619" s="4">
        <f t="shared" si="96"/>
        <v>8</v>
      </c>
      <c r="E619" s="4" t="s">
        <v>27</v>
      </c>
      <c r="F619" s="4">
        <f t="shared" si="97"/>
        <v>200</v>
      </c>
      <c r="G619" s="5">
        <f t="shared" ref="G619:G659" si="103">G618</f>
        <v>1.01</v>
      </c>
      <c r="H619" s="6" t="str">
        <f t="shared" si="98"/>
        <v>INSERT INTO public.coupon (plancode, age, "year", couponrate, benefittype, benefitrate, premiumrate) VALUES('EN60', 38, 2, 8, 'A',200, 1.01);</v>
      </c>
      <c r="I619" s="6" t="str">
        <f t="shared" si="99"/>
        <v>{"age":"38", "year":"2", "couponrate":"8", "benefittype":"A", "benefitrate":"200", "premiumrate":"1.01"}</v>
      </c>
      <c r="J619" s="6" t="str">
        <f t="shared" si="100"/>
        <v>,</v>
      </c>
    </row>
    <row r="620" spans="1:10">
      <c r="A620" s="4" t="str">
        <f>'EN60'!A$3</f>
        <v>EN60</v>
      </c>
      <c r="B620" s="4">
        <f t="shared" si="101"/>
        <v>38</v>
      </c>
      <c r="C620" s="4">
        <f t="shared" si="102"/>
        <v>3</v>
      </c>
      <c r="D620" s="4">
        <f t="shared" si="96"/>
        <v>8</v>
      </c>
      <c r="E620" s="4" t="s">
        <v>27</v>
      </c>
      <c r="F620" s="4">
        <f t="shared" si="97"/>
        <v>300</v>
      </c>
      <c r="G620" s="5">
        <f t="shared" si="103"/>
        <v>1.01</v>
      </c>
      <c r="H620" s="6" t="str">
        <f t="shared" si="98"/>
        <v>INSERT INTO public.coupon (plancode, age, "year", couponrate, benefittype, benefitrate, premiumrate) VALUES('EN60', 38, 3, 8, 'A',300, 1.01);</v>
      </c>
      <c r="I620" s="6" t="str">
        <f t="shared" si="99"/>
        <v>{"age":"38", "year":"3", "couponrate":"8", "benefittype":"A", "benefitrate":"300", "premiumrate":"1.01"}</v>
      </c>
      <c r="J620" s="6" t="str">
        <f t="shared" si="100"/>
        <v>,</v>
      </c>
    </row>
    <row r="621" spans="1:10">
      <c r="A621" s="4" t="str">
        <f>'EN60'!A$3</f>
        <v>EN60</v>
      </c>
      <c r="B621" s="4">
        <f t="shared" si="101"/>
        <v>38</v>
      </c>
      <c r="C621" s="4">
        <f t="shared" si="102"/>
        <v>4</v>
      </c>
      <c r="D621" s="4">
        <f t="shared" si="96"/>
        <v>8</v>
      </c>
      <c r="E621" s="4" t="s">
        <v>27</v>
      </c>
      <c r="F621" s="4">
        <f t="shared" si="97"/>
        <v>400</v>
      </c>
      <c r="G621" s="5">
        <f t="shared" si="103"/>
        <v>1.01</v>
      </c>
      <c r="H621" s="6" t="str">
        <f t="shared" si="98"/>
        <v>INSERT INTO public.coupon (plancode, age, "year", couponrate, benefittype, benefitrate, premiumrate) VALUES('EN60', 38, 4, 8, 'A',400, 1.01);</v>
      </c>
      <c r="I621" s="6" t="str">
        <f t="shared" si="99"/>
        <v>{"age":"38", "year":"4", "couponrate":"8", "benefittype":"A", "benefitrate":"400", "premiumrate":"1.01"}</v>
      </c>
      <c r="J621" s="6" t="str">
        <f t="shared" si="100"/>
        <v>,</v>
      </c>
    </row>
    <row r="622" spans="1:10">
      <c r="A622" s="4" t="str">
        <f>'EN60'!A$3</f>
        <v>EN60</v>
      </c>
      <c r="B622" s="4">
        <f t="shared" si="101"/>
        <v>38</v>
      </c>
      <c r="C622" s="4">
        <f t="shared" si="102"/>
        <v>5</v>
      </c>
      <c r="D622" s="4">
        <f t="shared" si="96"/>
        <v>8</v>
      </c>
      <c r="E622" s="4" t="s">
        <v>27</v>
      </c>
      <c r="F622" s="4">
        <f t="shared" si="97"/>
        <v>500</v>
      </c>
      <c r="G622" s="5">
        <f t="shared" si="103"/>
        <v>1.01</v>
      </c>
      <c r="H622" s="6" t="str">
        <f t="shared" si="98"/>
        <v>INSERT INTO public.coupon (plancode, age, "year", couponrate, benefittype, benefitrate, premiumrate) VALUES('EN60', 38, 5, 8, 'A',500, 1.01);</v>
      </c>
      <c r="I622" s="6" t="str">
        <f t="shared" si="99"/>
        <v>{"age":"38", "year":"5", "couponrate":"8", "benefittype":"A", "benefitrate":"500", "premiumrate":"1.01"}</v>
      </c>
      <c r="J622" s="6" t="str">
        <f t="shared" si="100"/>
        <v>,</v>
      </c>
    </row>
    <row r="623" spans="1:10">
      <c r="A623" s="4" t="str">
        <f>'EN60'!A$3</f>
        <v>EN60</v>
      </c>
      <c r="B623" s="4">
        <f t="shared" si="101"/>
        <v>38</v>
      </c>
      <c r="C623" s="4">
        <f t="shared" si="102"/>
        <v>6</v>
      </c>
      <c r="D623" s="4">
        <f t="shared" si="96"/>
        <v>8</v>
      </c>
      <c r="E623" s="4" t="s">
        <v>27</v>
      </c>
      <c r="F623" s="4">
        <f t="shared" si="97"/>
        <v>600</v>
      </c>
      <c r="G623" s="5">
        <f t="shared" si="103"/>
        <v>1.01</v>
      </c>
      <c r="H623" s="6" t="str">
        <f t="shared" si="98"/>
        <v>INSERT INTO public.coupon (plancode, age, "year", couponrate, benefittype, benefitrate, premiumrate) VALUES('EN60', 38, 6, 8, 'A',600, 1.01);</v>
      </c>
      <c r="I623" s="6" t="str">
        <f t="shared" si="99"/>
        <v>{"age":"38", "year":"6", "couponrate":"8", "benefittype":"A", "benefitrate":"600", "premiumrate":"1.01"}</v>
      </c>
      <c r="J623" s="6" t="str">
        <f t="shared" si="100"/>
        <v>,</v>
      </c>
    </row>
    <row r="624" spans="1:10">
      <c r="A624" s="4" t="str">
        <f>'EN60'!A$3</f>
        <v>EN60</v>
      </c>
      <c r="B624" s="4">
        <f t="shared" si="101"/>
        <v>38</v>
      </c>
      <c r="C624" s="4">
        <f t="shared" si="102"/>
        <v>7</v>
      </c>
      <c r="D624" s="4">
        <f t="shared" si="96"/>
        <v>8</v>
      </c>
      <c r="E624" s="4" t="s">
        <v>27</v>
      </c>
      <c r="F624" s="4">
        <f t="shared" si="97"/>
        <v>700</v>
      </c>
      <c r="G624" s="5">
        <f t="shared" si="103"/>
        <v>1.01</v>
      </c>
      <c r="H624" s="6" t="str">
        <f t="shared" si="98"/>
        <v>INSERT INTO public.coupon (plancode, age, "year", couponrate, benefittype, benefitrate, premiumrate) VALUES('EN60', 38, 7, 8, 'A',700, 1.01);</v>
      </c>
      <c r="I624" s="6" t="str">
        <f t="shared" si="99"/>
        <v>{"age":"38", "year":"7", "couponrate":"8", "benefittype":"A", "benefitrate":"700", "premiumrate":"1.01"}</v>
      </c>
      <c r="J624" s="6" t="str">
        <f t="shared" si="100"/>
        <v>,</v>
      </c>
    </row>
    <row r="625" spans="1:10">
      <c r="A625" s="4" t="str">
        <f>'EN60'!A$3</f>
        <v>EN60</v>
      </c>
      <c r="B625" s="4">
        <f t="shared" si="101"/>
        <v>38</v>
      </c>
      <c r="C625" s="4">
        <f t="shared" si="102"/>
        <v>8</v>
      </c>
      <c r="D625" s="4">
        <f t="shared" si="96"/>
        <v>8</v>
      </c>
      <c r="E625" s="4" t="s">
        <v>27</v>
      </c>
      <c r="F625" s="4">
        <f t="shared" si="97"/>
        <v>800</v>
      </c>
      <c r="G625" s="5">
        <f t="shared" si="103"/>
        <v>1.01</v>
      </c>
      <c r="H625" s="6" t="str">
        <f t="shared" si="98"/>
        <v>INSERT INTO public.coupon (plancode, age, "year", couponrate, benefittype, benefitrate, premiumrate) VALUES('EN60', 38, 8, 8, 'A',800, 1.01);</v>
      </c>
      <c r="I625" s="6" t="str">
        <f t="shared" si="99"/>
        <v>{"age":"38", "year":"8", "couponrate":"8", "benefittype":"A", "benefitrate":"800", "premiumrate":"1.01"}</v>
      </c>
      <c r="J625" s="6" t="str">
        <f t="shared" si="100"/>
        <v>,</v>
      </c>
    </row>
    <row r="626" spans="1:10">
      <c r="A626" s="4" t="str">
        <f>'EN60'!A$3</f>
        <v>EN60</v>
      </c>
      <c r="B626" s="4">
        <f t="shared" si="101"/>
        <v>38</v>
      </c>
      <c r="C626" s="4">
        <f t="shared" si="102"/>
        <v>9</v>
      </c>
      <c r="D626" s="4">
        <f t="shared" si="96"/>
        <v>8</v>
      </c>
      <c r="E626" s="4" t="s">
        <v>27</v>
      </c>
      <c r="F626" s="4">
        <f t="shared" si="97"/>
        <v>800</v>
      </c>
      <c r="G626" s="5">
        <f t="shared" si="103"/>
        <v>1.01</v>
      </c>
      <c r="H626" s="6" t="str">
        <f t="shared" si="98"/>
        <v>INSERT INTO public.coupon (plancode, age, "year", couponrate, benefittype, benefitrate, premiumrate) VALUES('EN60', 38, 9, 8, 'A',800, 1.01);</v>
      </c>
      <c r="I626" s="6" t="str">
        <f t="shared" si="99"/>
        <v>{"age":"38", "year":"9", "couponrate":"8", "benefittype":"A", "benefitrate":"800", "premiumrate":"1.01"}</v>
      </c>
      <c r="J626" s="6" t="str">
        <f t="shared" si="100"/>
        <v>,</v>
      </c>
    </row>
    <row r="627" spans="1:10">
      <c r="A627" s="4" t="str">
        <f>'EN60'!A$3</f>
        <v>EN60</v>
      </c>
      <c r="B627" s="4">
        <f t="shared" si="101"/>
        <v>38</v>
      </c>
      <c r="C627" s="4">
        <f t="shared" si="102"/>
        <v>10</v>
      </c>
      <c r="D627" s="4">
        <f t="shared" si="96"/>
        <v>8</v>
      </c>
      <c r="E627" s="4" t="s">
        <v>27</v>
      </c>
      <c r="F627" s="4">
        <f t="shared" si="97"/>
        <v>800</v>
      </c>
      <c r="G627" s="5">
        <f t="shared" si="103"/>
        <v>1.01</v>
      </c>
      <c r="H627" s="6" t="str">
        <f t="shared" si="98"/>
        <v>INSERT INTO public.coupon (plancode, age, "year", couponrate, benefittype, benefitrate, premiumrate) VALUES('EN60', 38, 10, 8, 'A',800, 1.01);</v>
      </c>
      <c r="I627" s="6" t="str">
        <f t="shared" si="99"/>
        <v>{"age":"38", "year":"10", "couponrate":"8", "benefittype":"A", "benefitrate":"800", "premiumrate":"1.01"}</v>
      </c>
      <c r="J627" s="6" t="str">
        <f t="shared" si="100"/>
        <v>,</v>
      </c>
    </row>
    <row r="628" spans="1:10">
      <c r="A628" s="4" t="str">
        <f>'EN60'!A$3</f>
        <v>EN60</v>
      </c>
      <c r="B628" s="4">
        <f t="shared" si="101"/>
        <v>38</v>
      </c>
      <c r="C628" s="4">
        <f t="shared" si="102"/>
        <v>11</v>
      </c>
      <c r="D628" s="4">
        <f t="shared" si="96"/>
        <v>8</v>
      </c>
      <c r="E628" s="4" t="s">
        <v>27</v>
      </c>
      <c r="F628" s="4">
        <f t="shared" si="97"/>
        <v>800</v>
      </c>
      <c r="G628" s="5">
        <f t="shared" si="103"/>
        <v>1.01</v>
      </c>
      <c r="H628" s="6" t="str">
        <f t="shared" si="98"/>
        <v>INSERT INTO public.coupon (plancode, age, "year", couponrate, benefittype, benefitrate, premiumrate) VALUES('EN60', 38, 11, 8, 'A',800, 1.01);</v>
      </c>
      <c r="I628" s="6" t="str">
        <f t="shared" si="99"/>
        <v>{"age":"38", "year":"11", "couponrate":"8", "benefittype":"A", "benefitrate":"800", "premiumrate":"1.01"}</v>
      </c>
      <c r="J628" s="6" t="str">
        <f t="shared" si="100"/>
        <v>,</v>
      </c>
    </row>
    <row r="629" spans="1:10">
      <c r="A629" s="4" t="str">
        <f>'EN60'!A$3</f>
        <v>EN60</v>
      </c>
      <c r="B629" s="4">
        <f t="shared" si="101"/>
        <v>38</v>
      </c>
      <c r="C629" s="4">
        <f t="shared" si="102"/>
        <v>12</v>
      </c>
      <c r="D629" s="4">
        <f t="shared" si="96"/>
        <v>8</v>
      </c>
      <c r="E629" s="4" t="s">
        <v>27</v>
      </c>
      <c r="F629" s="4">
        <f t="shared" si="97"/>
        <v>800</v>
      </c>
      <c r="G629" s="5">
        <f t="shared" si="103"/>
        <v>1.01</v>
      </c>
      <c r="H629" s="6" t="str">
        <f t="shared" si="98"/>
        <v>INSERT INTO public.coupon (plancode, age, "year", couponrate, benefittype, benefitrate, premiumrate) VALUES('EN60', 38, 12, 8, 'A',800, 1.01);</v>
      </c>
      <c r="I629" s="6" t="str">
        <f t="shared" si="99"/>
        <v>{"age":"38", "year":"12", "couponrate":"8", "benefittype":"A", "benefitrate":"800", "premiumrate":"1.01"}</v>
      </c>
      <c r="J629" s="6" t="str">
        <f t="shared" si="100"/>
        <v>,</v>
      </c>
    </row>
    <row r="630" spans="1:10">
      <c r="A630" s="4" t="str">
        <f>'EN60'!A$3</f>
        <v>EN60</v>
      </c>
      <c r="B630" s="4">
        <f t="shared" si="101"/>
        <v>38</v>
      </c>
      <c r="C630" s="4">
        <f t="shared" si="102"/>
        <v>13</v>
      </c>
      <c r="D630" s="4">
        <f t="shared" si="96"/>
        <v>8</v>
      </c>
      <c r="E630" s="4" t="s">
        <v>27</v>
      </c>
      <c r="F630" s="4">
        <f t="shared" si="97"/>
        <v>800</v>
      </c>
      <c r="G630" s="5">
        <f t="shared" si="103"/>
        <v>1.01</v>
      </c>
      <c r="H630" s="6" t="str">
        <f t="shared" si="98"/>
        <v>INSERT INTO public.coupon (plancode, age, "year", couponrate, benefittype, benefitrate, premiumrate) VALUES('EN60', 38, 13, 8, 'A',800, 1.01);</v>
      </c>
      <c r="I630" s="6" t="str">
        <f t="shared" si="99"/>
        <v>{"age":"38", "year":"13", "couponrate":"8", "benefittype":"A", "benefitrate":"800", "premiumrate":"1.01"}</v>
      </c>
      <c r="J630" s="6" t="str">
        <f t="shared" si="100"/>
        <v>,</v>
      </c>
    </row>
    <row r="631" spans="1:10">
      <c r="A631" s="4" t="str">
        <f>'EN60'!A$3</f>
        <v>EN60</v>
      </c>
      <c r="B631" s="4">
        <f t="shared" si="101"/>
        <v>38</v>
      </c>
      <c r="C631" s="4">
        <f t="shared" si="102"/>
        <v>14</v>
      </c>
      <c r="D631" s="4">
        <f t="shared" si="96"/>
        <v>8</v>
      </c>
      <c r="E631" s="4" t="s">
        <v>27</v>
      </c>
      <c r="F631" s="4">
        <f t="shared" si="97"/>
        <v>800</v>
      </c>
      <c r="G631" s="5">
        <f t="shared" si="103"/>
        <v>1.01</v>
      </c>
      <c r="H631" s="6" t="str">
        <f t="shared" si="98"/>
        <v>INSERT INTO public.coupon (plancode, age, "year", couponrate, benefittype, benefitrate, premiumrate) VALUES('EN60', 38, 14, 8, 'A',800, 1.01);</v>
      </c>
      <c r="I631" s="6" t="str">
        <f t="shared" si="99"/>
        <v>{"age":"38", "year":"14", "couponrate":"8", "benefittype":"A", "benefitrate":"800", "premiumrate":"1.01"}</v>
      </c>
      <c r="J631" s="6" t="str">
        <f t="shared" si="100"/>
        <v>,</v>
      </c>
    </row>
    <row r="632" spans="1:10">
      <c r="A632" s="4" t="str">
        <f>'EN60'!A$3</f>
        <v>EN60</v>
      </c>
      <c r="B632" s="4">
        <f t="shared" si="101"/>
        <v>38</v>
      </c>
      <c r="C632" s="4">
        <f t="shared" si="102"/>
        <v>15</v>
      </c>
      <c r="D632" s="4">
        <f t="shared" si="96"/>
        <v>8</v>
      </c>
      <c r="E632" s="4" t="s">
        <v>27</v>
      </c>
      <c r="F632" s="4">
        <f t="shared" si="97"/>
        <v>800</v>
      </c>
      <c r="G632" s="5">
        <f t="shared" si="103"/>
        <v>1.01</v>
      </c>
      <c r="H632" s="6" t="str">
        <f t="shared" si="98"/>
        <v>INSERT INTO public.coupon (plancode, age, "year", couponrate, benefittype, benefitrate, premiumrate) VALUES('EN60', 38, 15, 8, 'A',800, 1.01);</v>
      </c>
      <c r="I632" s="6" t="str">
        <f t="shared" si="99"/>
        <v>{"age":"38", "year":"15", "couponrate":"8", "benefittype":"A", "benefitrate":"800", "premiumrate":"1.01"}</v>
      </c>
      <c r="J632" s="6" t="str">
        <f t="shared" si="100"/>
        <v>,</v>
      </c>
    </row>
    <row r="633" spans="1:10">
      <c r="A633" s="4" t="str">
        <f>'EN60'!A$3</f>
        <v>EN60</v>
      </c>
      <c r="B633" s="4">
        <f t="shared" si="101"/>
        <v>38</v>
      </c>
      <c r="C633" s="4">
        <f t="shared" si="102"/>
        <v>16</v>
      </c>
      <c r="D633" s="4">
        <f t="shared" si="96"/>
        <v>8</v>
      </c>
      <c r="E633" s="4" t="s">
        <v>27</v>
      </c>
      <c r="F633" s="4">
        <f t="shared" si="97"/>
        <v>800</v>
      </c>
      <c r="G633" s="5">
        <f t="shared" si="103"/>
        <v>1.01</v>
      </c>
      <c r="H633" s="6" t="str">
        <f t="shared" si="98"/>
        <v>INSERT INTO public.coupon (plancode, age, "year", couponrate, benefittype, benefitrate, premiumrate) VALUES('EN60', 38, 16, 8, 'A',800, 1.01);</v>
      </c>
      <c r="I633" s="6" t="str">
        <f t="shared" si="99"/>
        <v>{"age":"38", "year":"16", "couponrate":"8", "benefittype":"A", "benefitrate":"800", "premiumrate":"1.01"}</v>
      </c>
      <c r="J633" s="6" t="str">
        <f t="shared" si="100"/>
        <v>,</v>
      </c>
    </row>
    <row r="634" spans="1:10">
      <c r="A634" s="4" t="str">
        <f>'EN60'!A$3</f>
        <v>EN60</v>
      </c>
      <c r="B634" s="4">
        <f t="shared" si="101"/>
        <v>38</v>
      </c>
      <c r="C634" s="4">
        <f t="shared" si="102"/>
        <v>17</v>
      </c>
      <c r="D634" s="4">
        <f t="shared" si="96"/>
        <v>8</v>
      </c>
      <c r="E634" s="4" t="s">
        <v>27</v>
      </c>
      <c r="F634" s="4">
        <f t="shared" si="97"/>
        <v>800</v>
      </c>
      <c r="G634" s="5">
        <f t="shared" si="103"/>
        <v>1.01</v>
      </c>
      <c r="H634" s="6" t="str">
        <f t="shared" si="98"/>
        <v>INSERT INTO public.coupon (plancode, age, "year", couponrate, benefittype, benefitrate, premiumrate) VALUES('EN60', 38, 17, 8, 'A',800, 1.01);</v>
      </c>
      <c r="I634" s="6" t="str">
        <f t="shared" si="99"/>
        <v>{"age":"38", "year":"17", "couponrate":"8", "benefittype":"A", "benefitrate":"800", "premiumrate":"1.01"}</v>
      </c>
      <c r="J634" s="6" t="str">
        <f t="shared" si="100"/>
        <v>,</v>
      </c>
    </row>
    <row r="635" spans="1:10">
      <c r="A635" s="4" t="str">
        <f>'EN60'!A$3</f>
        <v>EN60</v>
      </c>
      <c r="B635" s="4">
        <f t="shared" si="101"/>
        <v>38</v>
      </c>
      <c r="C635" s="4">
        <f t="shared" si="102"/>
        <v>18</v>
      </c>
      <c r="D635" s="4">
        <f t="shared" si="96"/>
        <v>8</v>
      </c>
      <c r="E635" s="4" t="s">
        <v>27</v>
      </c>
      <c r="F635" s="4">
        <f t="shared" si="97"/>
        <v>800</v>
      </c>
      <c r="G635" s="5">
        <f t="shared" si="103"/>
        <v>1.01</v>
      </c>
      <c r="H635" s="6" t="str">
        <f t="shared" si="98"/>
        <v>INSERT INTO public.coupon (plancode, age, "year", couponrate, benefittype, benefitrate, premiumrate) VALUES('EN60', 38, 18, 8, 'A',800, 1.01);</v>
      </c>
      <c r="I635" s="6" t="str">
        <f t="shared" si="99"/>
        <v>{"age":"38", "year":"18", "couponrate":"8", "benefittype":"A", "benefitrate":"800", "premiumrate":"1.01"}</v>
      </c>
      <c r="J635" s="6" t="str">
        <f t="shared" si="100"/>
        <v>,</v>
      </c>
    </row>
    <row r="636" spans="1:10">
      <c r="A636" s="4" t="str">
        <f>'EN60'!A$3</f>
        <v>EN60</v>
      </c>
      <c r="B636" s="4">
        <f t="shared" si="101"/>
        <v>38</v>
      </c>
      <c r="C636" s="4">
        <f t="shared" si="102"/>
        <v>19</v>
      </c>
      <c r="D636" s="4">
        <f t="shared" si="96"/>
        <v>8</v>
      </c>
      <c r="E636" s="4" t="s">
        <v>27</v>
      </c>
      <c r="F636" s="4">
        <f t="shared" si="97"/>
        <v>800</v>
      </c>
      <c r="G636" s="5">
        <f t="shared" si="103"/>
        <v>1.01</v>
      </c>
      <c r="H636" s="6" t="str">
        <f t="shared" si="98"/>
        <v>INSERT INTO public.coupon (plancode, age, "year", couponrate, benefittype, benefitrate, premiumrate) VALUES('EN60', 38, 19, 8, 'A',800, 1.01);</v>
      </c>
      <c r="I636" s="6" t="str">
        <f t="shared" si="99"/>
        <v>{"age":"38", "year":"19", "couponrate":"8", "benefittype":"A", "benefitrate":"800", "premiumrate":"1.01"}</v>
      </c>
      <c r="J636" s="6" t="str">
        <f t="shared" si="100"/>
        <v>,</v>
      </c>
    </row>
    <row r="637" spans="1:10">
      <c r="A637" s="4" t="str">
        <f>'EN60'!A$3</f>
        <v>EN60</v>
      </c>
      <c r="B637" s="4">
        <f t="shared" si="101"/>
        <v>38</v>
      </c>
      <c r="C637" s="4">
        <f t="shared" si="102"/>
        <v>20</v>
      </c>
      <c r="D637" s="4">
        <f t="shared" si="96"/>
        <v>8</v>
      </c>
      <c r="E637" s="4" t="s">
        <v>27</v>
      </c>
      <c r="F637" s="4">
        <f t="shared" si="97"/>
        <v>800</v>
      </c>
      <c r="G637" s="5">
        <f t="shared" si="103"/>
        <v>1.01</v>
      </c>
      <c r="H637" s="6" t="str">
        <f t="shared" si="98"/>
        <v>INSERT INTO public.coupon (plancode, age, "year", couponrate, benefittype, benefitrate, premiumrate) VALUES('EN60', 38, 20, 8, 'A',800, 1.01);</v>
      </c>
      <c r="I637" s="6" t="str">
        <f t="shared" si="99"/>
        <v>{"age":"38", "year":"20", "couponrate":"8", "benefittype":"A", "benefitrate":"800", "premiumrate":"1.01"}</v>
      </c>
      <c r="J637" s="6" t="str">
        <f t="shared" si="100"/>
        <v>,</v>
      </c>
    </row>
    <row r="638" spans="1:10">
      <c r="A638" s="4" t="str">
        <f>'EN60'!A$3</f>
        <v>EN60</v>
      </c>
      <c r="B638" s="4">
        <f t="shared" si="101"/>
        <v>38</v>
      </c>
      <c r="C638" s="4">
        <f t="shared" si="102"/>
        <v>21</v>
      </c>
      <c r="D638" s="4">
        <f t="shared" si="96"/>
        <v>8</v>
      </c>
      <c r="E638" s="4" t="s">
        <v>27</v>
      </c>
      <c r="F638" s="4">
        <f t="shared" si="97"/>
        <v>800</v>
      </c>
      <c r="G638" s="5">
        <f t="shared" si="103"/>
        <v>1.01</v>
      </c>
      <c r="H638" s="6" t="str">
        <f t="shared" si="98"/>
        <v>INSERT INTO public.coupon (plancode, age, "year", couponrate, benefittype, benefitrate, premiumrate) VALUES('EN60', 38, 21, 8, 'A',800, 1.01);</v>
      </c>
      <c r="I638" s="6" t="str">
        <f t="shared" si="99"/>
        <v>{"age":"38", "year":"21", "couponrate":"8", "benefittype":"A", "benefitrate":"800", "premiumrate":"1.01"}</v>
      </c>
      <c r="J638" s="6" t="str">
        <f t="shared" si="100"/>
        <v>,</v>
      </c>
    </row>
    <row r="639" spans="1:10">
      <c r="A639" s="4" t="str">
        <f>'EN60'!A$3</f>
        <v>EN60</v>
      </c>
      <c r="B639" s="4">
        <f t="shared" si="101"/>
        <v>38</v>
      </c>
      <c r="C639" s="4">
        <f t="shared" si="102"/>
        <v>22</v>
      </c>
      <c r="D639" s="4">
        <f t="shared" si="96"/>
        <v>8</v>
      </c>
      <c r="E639" s="4" t="s">
        <v>27</v>
      </c>
      <c r="F639" s="4">
        <f t="shared" si="97"/>
        <v>800</v>
      </c>
      <c r="G639" s="5">
        <f t="shared" si="103"/>
        <v>1.01</v>
      </c>
      <c r="H639" s="6" t="str">
        <f t="shared" si="98"/>
        <v>INSERT INTO public.coupon (plancode, age, "year", couponrate, benefittype, benefitrate, premiumrate) VALUES('EN60', 38, 22, 8, 'A',800, 1.01);</v>
      </c>
      <c r="I639" s="6" t="str">
        <f t="shared" si="99"/>
        <v>{"age":"38", "year":"22", "couponrate":"8", "benefittype":"A", "benefitrate":"800", "premiumrate":"1.01"}</v>
      </c>
      <c r="J639" s="6" t="str">
        <f t="shared" si="100"/>
        <v>,</v>
      </c>
    </row>
    <row r="640" spans="1:10">
      <c r="A640" s="4" t="str">
        <f>'EN60'!A$3</f>
        <v>EN60</v>
      </c>
      <c r="B640" s="4">
        <f t="shared" si="101"/>
        <v>38</v>
      </c>
      <c r="C640" s="4">
        <f t="shared" si="102"/>
        <v>23</v>
      </c>
      <c r="D640" s="4">
        <f t="shared" si="96"/>
        <v>8</v>
      </c>
      <c r="E640" s="4" t="s">
        <v>27</v>
      </c>
      <c r="F640" s="4">
        <f t="shared" si="97"/>
        <v>800</v>
      </c>
      <c r="G640" s="5">
        <f t="shared" si="103"/>
        <v>1.01</v>
      </c>
      <c r="H640" s="6" t="str">
        <f t="shared" si="98"/>
        <v>INSERT INTO public.coupon (plancode, age, "year", couponrate, benefittype, benefitrate, premiumrate) VALUES('EN60', 38, 23, 8, 'A',800, 1.01);</v>
      </c>
      <c r="I640" s="6" t="str">
        <f t="shared" si="99"/>
        <v>{"age":"38", "year":"23", "couponrate":"8", "benefittype":"A", "benefitrate":"800", "premiumrate":"1.01"}</v>
      </c>
      <c r="J640" s="6" t="str">
        <f t="shared" si="100"/>
        <v>,</v>
      </c>
    </row>
    <row r="641" spans="1:10">
      <c r="A641" s="4" t="str">
        <f>'EN60'!A$3</f>
        <v>EN60</v>
      </c>
      <c r="B641" s="4">
        <f t="shared" si="101"/>
        <v>38</v>
      </c>
      <c r="C641" s="4">
        <f t="shared" si="102"/>
        <v>24</v>
      </c>
      <c r="D641" s="4">
        <f t="shared" si="96"/>
        <v>8</v>
      </c>
      <c r="E641" s="4" t="s">
        <v>27</v>
      </c>
      <c r="F641" s="4">
        <f t="shared" si="97"/>
        <v>800</v>
      </c>
      <c r="G641" s="5">
        <f t="shared" si="103"/>
        <v>1.01</v>
      </c>
      <c r="H641" s="6" t="str">
        <f t="shared" si="98"/>
        <v>INSERT INTO public.coupon (plancode, age, "year", couponrate, benefittype, benefitrate, premiumrate) VALUES('EN60', 38, 24, 8, 'A',800, 1.01);</v>
      </c>
      <c r="I641" s="6" t="str">
        <f t="shared" si="99"/>
        <v>{"age":"38", "year":"24", "couponrate":"8", "benefittype":"A", "benefitrate":"800", "premiumrate":"1.01"}</v>
      </c>
      <c r="J641" s="6" t="str">
        <f t="shared" si="100"/>
        <v>,</v>
      </c>
    </row>
    <row r="642" spans="1:10">
      <c r="A642" s="4" t="str">
        <f>'EN60'!A$3</f>
        <v>EN60</v>
      </c>
      <c r="B642" s="4">
        <f t="shared" si="101"/>
        <v>38</v>
      </c>
      <c r="C642" s="4">
        <f t="shared" si="102"/>
        <v>25</v>
      </c>
      <c r="D642" s="4">
        <f t="shared" si="96"/>
        <v>8</v>
      </c>
      <c r="E642" s="4" t="s">
        <v>27</v>
      </c>
      <c r="F642" s="4">
        <f t="shared" si="97"/>
        <v>800</v>
      </c>
      <c r="G642" s="5">
        <f t="shared" si="103"/>
        <v>1.01</v>
      </c>
      <c r="H642" s="6" t="str">
        <f t="shared" si="98"/>
        <v>INSERT INTO public.coupon (plancode, age, "year", couponrate, benefittype, benefitrate, premiumrate) VALUES('EN60', 38, 25, 8, 'A',800, 1.01);</v>
      </c>
      <c r="I642" s="6" t="str">
        <f t="shared" si="99"/>
        <v>{"age":"38", "year":"25", "couponrate":"8", "benefittype":"A", "benefitrate":"800", "premiumrate":"1.01"}</v>
      </c>
      <c r="J642" s="6" t="str">
        <f t="shared" si="100"/>
        <v>,</v>
      </c>
    </row>
    <row r="643" spans="1:10">
      <c r="A643" s="4" t="str">
        <f>'EN60'!A$3</f>
        <v>EN60</v>
      </c>
      <c r="B643" s="4">
        <f t="shared" si="101"/>
        <v>38</v>
      </c>
      <c r="C643" s="4">
        <f t="shared" si="102"/>
        <v>26</v>
      </c>
      <c r="D643" s="4">
        <f t="shared" si="96"/>
        <v>8</v>
      </c>
      <c r="E643" s="4" t="s">
        <v>27</v>
      </c>
      <c r="F643" s="4">
        <f t="shared" si="97"/>
        <v>800</v>
      </c>
      <c r="G643" s="5">
        <f t="shared" si="103"/>
        <v>1.01</v>
      </c>
      <c r="H643" s="6" t="str">
        <f t="shared" si="98"/>
        <v>INSERT INTO public.coupon (plancode, age, "year", couponrate, benefittype, benefitrate, premiumrate) VALUES('EN60', 38, 26, 8, 'A',800, 1.01);</v>
      </c>
      <c r="I643" s="6" t="str">
        <f t="shared" si="99"/>
        <v>{"age":"38", "year":"26", "couponrate":"8", "benefittype":"A", "benefitrate":"800", "premiumrate":"1.01"}</v>
      </c>
      <c r="J643" s="6" t="str">
        <f t="shared" si="100"/>
        <v>,</v>
      </c>
    </row>
    <row r="644" spans="1:10">
      <c r="A644" s="4" t="str">
        <f>'EN60'!A$3</f>
        <v>EN60</v>
      </c>
      <c r="B644" s="4">
        <f t="shared" si="101"/>
        <v>38</v>
      </c>
      <c r="C644" s="4">
        <f t="shared" si="102"/>
        <v>27</v>
      </c>
      <c r="D644" s="4">
        <f t="shared" si="96"/>
        <v>8</v>
      </c>
      <c r="E644" s="4" t="s">
        <v>27</v>
      </c>
      <c r="F644" s="4">
        <f t="shared" si="97"/>
        <v>800</v>
      </c>
      <c r="G644" s="5">
        <f t="shared" si="103"/>
        <v>1.01</v>
      </c>
      <c r="H644" s="6" t="str">
        <f t="shared" si="98"/>
        <v>INSERT INTO public.coupon (plancode, age, "year", couponrate, benefittype, benefitrate, premiumrate) VALUES('EN60', 38, 27, 8, 'A',800, 1.01);</v>
      </c>
      <c r="I644" s="6" t="str">
        <f t="shared" si="99"/>
        <v>{"age":"38", "year":"27", "couponrate":"8", "benefittype":"A", "benefitrate":"800", "premiumrate":"1.01"}</v>
      </c>
      <c r="J644" s="6" t="str">
        <f t="shared" si="100"/>
        <v>,</v>
      </c>
    </row>
    <row r="645" spans="1:10">
      <c r="A645" s="4" t="str">
        <f>'EN60'!A$3</f>
        <v>EN60</v>
      </c>
      <c r="B645" s="4">
        <f t="shared" si="101"/>
        <v>38</v>
      </c>
      <c r="C645" s="4">
        <f t="shared" si="102"/>
        <v>28</v>
      </c>
      <c r="D645" s="4">
        <f t="shared" si="96"/>
        <v>8</v>
      </c>
      <c r="E645" s="4" t="s">
        <v>27</v>
      </c>
      <c r="F645" s="4">
        <f t="shared" si="97"/>
        <v>800</v>
      </c>
      <c r="G645" s="5">
        <f t="shared" si="103"/>
        <v>1.01</v>
      </c>
      <c r="H645" s="6" t="str">
        <f t="shared" si="98"/>
        <v>INSERT INTO public.coupon (plancode, age, "year", couponrate, benefittype, benefitrate, premiumrate) VALUES('EN60', 38, 28, 8, 'A',800, 1.01);</v>
      </c>
      <c r="I645" s="6" t="str">
        <f t="shared" si="99"/>
        <v>{"age":"38", "year":"28", "couponrate":"8", "benefittype":"A", "benefitrate":"800", "premiumrate":"1.01"}</v>
      </c>
      <c r="J645" s="6" t="str">
        <f t="shared" si="100"/>
        <v>,</v>
      </c>
    </row>
    <row r="646" spans="1:10">
      <c r="A646" s="4" t="str">
        <f>'EN60'!A$3</f>
        <v>EN60</v>
      </c>
      <c r="B646" s="4">
        <f t="shared" si="101"/>
        <v>38</v>
      </c>
      <c r="C646" s="4">
        <f t="shared" si="102"/>
        <v>29</v>
      </c>
      <c r="D646" s="4">
        <f t="shared" si="96"/>
        <v>8</v>
      </c>
      <c r="E646" s="4" t="s">
        <v>27</v>
      </c>
      <c r="F646" s="4">
        <f t="shared" si="97"/>
        <v>800</v>
      </c>
      <c r="G646" s="5">
        <f t="shared" si="103"/>
        <v>1.01</v>
      </c>
      <c r="H646" s="6" t="str">
        <f t="shared" si="98"/>
        <v>INSERT INTO public.coupon (plancode, age, "year", couponrate, benefittype, benefitrate, premiumrate) VALUES('EN60', 38, 29, 8, 'A',800, 1.01);</v>
      </c>
      <c r="I646" s="6" t="str">
        <f t="shared" si="99"/>
        <v>{"age":"38", "year":"29", "couponrate":"8", "benefittype":"A", "benefitrate":"800", "premiumrate":"1.01"}</v>
      </c>
      <c r="J646" s="6" t="str">
        <f t="shared" si="100"/>
        <v>,</v>
      </c>
    </row>
    <row r="647" spans="1:10">
      <c r="A647" s="4" t="str">
        <f>'EN60'!A$3</f>
        <v>EN60</v>
      </c>
      <c r="B647" s="4">
        <f t="shared" si="101"/>
        <v>38</v>
      </c>
      <c r="C647" s="4">
        <f t="shared" si="102"/>
        <v>30</v>
      </c>
      <c r="D647" s="4">
        <f t="shared" si="96"/>
        <v>8</v>
      </c>
      <c r="E647" s="4" t="s">
        <v>27</v>
      </c>
      <c r="F647" s="4">
        <f t="shared" si="97"/>
        <v>800</v>
      </c>
      <c r="G647" s="5">
        <f t="shared" si="103"/>
        <v>1.01</v>
      </c>
      <c r="H647" s="6" t="str">
        <f t="shared" si="98"/>
        <v>INSERT INTO public.coupon (plancode, age, "year", couponrate, benefittype, benefitrate, premiumrate) VALUES('EN60', 38, 30, 8, 'A',800, 1.01);</v>
      </c>
      <c r="I647" s="6" t="str">
        <f t="shared" si="99"/>
        <v>{"age":"38", "year":"30", "couponrate":"8", "benefittype":"A", "benefitrate":"800", "premiumrate":"1.01"}</v>
      </c>
      <c r="J647" s="6" t="str">
        <f t="shared" si="100"/>
        <v>,</v>
      </c>
    </row>
    <row r="648" spans="1:10">
      <c r="A648" s="4" t="str">
        <f>'EN60'!A$3</f>
        <v>EN60</v>
      </c>
      <c r="B648" s="4">
        <f t="shared" si="101"/>
        <v>38</v>
      </c>
      <c r="C648" s="4">
        <f t="shared" si="102"/>
        <v>31</v>
      </c>
      <c r="D648" s="4">
        <f t="shared" si="96"/>
        <v>8</v>
      </c>
      <c r="E648" s="4" t="s">
        <v>27</v>
      </c>
      <c r="F648" s="4">
        <f t="shared" si="97"/>
        <v>800</v>
      </c>
      <c r="G648" s="5">
        <f t="shared" si="103"/>
        <v>1.01</v>
      </c>
      <c r="H648" s="6" t="str">
        <f t="shared" si="98"/>
        <v>INSERT INTO public.coupon (plancode, age, "year", couponrate, benefittype, benefitrate, premiumrate) VALUES('EN60', 38, 31, 8, 'A',800, 1.01);</v>
      </c>
      <c r="I648" s="6" t="str">
        <f t="shared" si="99"/>
        <v>{"age":"38", "year":"31", "couponrate":"8", "benefittype":"A", "benefitrate":"800", "premiumrate":"1.01"}</v>
      </c>
      <c r="J648" s="6" t="str">
        <f t="shared" si="100"/>
        <v>,</v>
      </c>
    </row>
    <row r="649" spans="1:10">
      <c r="A649" s="4" t="str">
        <f>'EN60'!A$3</f>
        <v>EN60</v>
      </c>
      <c r="B649" s="4">
        <f t="shared" si="101"/>
        <v>38</v>
      </c>
      <c r="C649" s="4">
        <f t="shared" si="102"/>
        <v>32</v>
      </c>
      <c r="D649" s="4">
        <f t="shared" si="96"/>
        <v>8</v>
      </c>
      <c r="E649" s="4" t="s">
        <v>27</v>
      </c>
      <c r="F649" s="4">
        <f t="shared" si="97"/>
        <v>800</v>
      </c>
      <c r="G649" s="5">
        <f t="shared" si="103"/>
        <v>1.01</v>
      </c>
      <c r="H649" s="6" t="str">
        <f t="shared" si="98"/>
        <v>INSERT INTO public.coupon (plancode, age, "year", couponrate, benefittype, benefitrate, premiumrate) VALUES('EN60', 38, 32, 8, 'A',800, 1.01);</v>
      </c>
      <c r="I649" s="6" t="str">
        <f t="shared" si="99"/>
        <v>{"age":"38", "year":"32", "couponrate":"8", "benefittype":"A", "benefitrate":"800", "premiumrate":"1.01"}</v>
      </c>
      <c r="J649" s="6" t="str">
        <f t="shared" si="100"/>
        <v>,</v>
      </c>
    </row>
    <row r="650" spans="1:10">
      <c r="A650" s="4" t="str">
        <f>'EN60'!A$3</f>
        <v>EN60</v>
      </c>
      <c r="B650" s="4">
        <f t="shared" si="101"/>
        <v>38</v>
      </c>
      <c r="C650" s="4">
        <f t="shared" si="102"/>
        <v>33</v>
      </c>
      <c r="D650" s="4">
        <f t="shared" si="96"/>
        <v>8</v>
      </c>
      <c r="E650" s="4" t="s">
        <v>27</v>
      </c>
      <c r="F650" s="4">
        <f t="shared" si="97"/>
        <v>800</v>
      </c>
      <c r="G650" s="5">
        <f t="shared" si="103"/>
        <v>1.01</v>
      </c>
      <c r="H650" s="6" t="str">
        <f t="shared" si="98"/>
        <v>INSERT INTO public.coupon (plancode, age, "year", couponrate, benefittype, benefitrate, premiumrate) VALUES('EN60', 38, 33, 8, 'A',800, 1.01);</v>
      </c>
      <c r="I650" s="6" t="str">
        <f t="shared" si="99"/>
        <v>{"age":"38", "year":"33", "couponrate":"8", "benefittype":"A", "benefitrate":"800", "premiumrate":"1.01"}</v>
      </c>
      <c r="J650" s="6" t="str">
        <f t="shared" si="100"/>
        <v>,</v>
      </c>
    </row>
    <row r="651" spans="1:10">
      <c r="A651" s="4" t="str">
        <f>'EN60'!A$3</f>
        <v>EN60</v>
      </c>
      <c r="B651" s="4">
        <f t="shared" si="101"/>
        <v>38</v>
      </c>
      <c r="C651" s="4">
        <f t="shared" si="102"/>
        <v>34</v>
      </c>
      <c r="D651" s="4">
        <f t="shared" si="96"/>
        <v>8</v>
      </c>
      <c r="E651" s="4" t="s">
        <v>27</v>
      </c>
      <c r="F651" s="4">
        <f t="shared" si="97"/>
        <v>800</v>
      </c>
      <c r="G651" s="5">
        <f t="shared" si="103"/>
        <v>1.01</v>
      </c>
      <c r="H651" s="6" t="str">
        <f t="shared" si="98"/>
        <v>INSERT INTO public.coupon (plancode, age, "year", couponrate, benefittype, benefitrate, premiumrate) VALUES('EN60', 38, 34, 8, 'A',800, 1.01);</v>
      </c>
      <c r="I651" s="6" t="str">
        <f t="shared" si="99"/>
        <v>{"age":"38", "year":"34", "couponrate":"8", "benefittype":"A", "benefitrate":"800", "premiumrate":"1.01"}</v>
      </c>
      <c r="J651" s="6" t="str">
        <f t="shared" si="100"/>
        <v>,</v>
      </c>
    </row>
    <row r="652" spans="1:10">
      <c r="A652" s="4" t="str">
        <f>'EN60'!A$3</f>
        <v>EN60</v>
      </c>
      <c r="B652" s="4">
        <f t="shared" si="101"/>
        <v>38</v>
      </c>
      <c r="C652" s="4">
        <f t="shared" si="102"/>
        <v>35</v>
      </c>
      <c r="D652" s="4">
        <f t="shared" si="96"/>
        <v>8</v>
      </c>
      <c r="E652" s="4" t="s">
        <v>27</v>
      </c>
      <c r="F652" s="4">
        <f t="shared" si="97"/>
        <v>800</v>
      </c>
      <c r="G652" s="5">
        <f t="shared" si="103"/>
        <v>1.01</v>
      </c>
      <c r="H652" s="6" t="str">
        <f t="shared" si="98"/>
        <v>INSERT INTO public.coupon (plancode, age, "year", couponrate, benefittype, benefitrate, premiumrate) VALUES('EN60', 38, 35, 8, 'A',800, 1.01);</v>
      </c>
      <c r="I652" s="6" t="str">
        <f t="shared" si="99"/>
        <v>{"age":"38", "year":"35", "couponrate":"8", "benefittype":"A", "benefitrate":"800", "premiumrate":"1.01"}</v>
      </c>
      <c r="J652" s="6" t="str">
        <f t="shared" si="100"/>
        <v>,</v>
      </c>
    </row>
    <row r="653" spans="1:10">
      <c r="A653" s="4" t="str">
        <f>'EN60'!A$3</f>
        <v>EN60</v>
      </c>
      <c r="B653" s="4">
        <f t="shared" si="101"/>
        <v>38</v>
      </c>
      <c r="C653" s="4">
        <f t="shared" si="102"/>
        <v>36</v>
      </c>
      <c r="D653" s="4">
        <f t="shared" si="96"/>
        <v>8</v>
      </c>
      <c r="E653" s="4" t="s">
        <v>27</v>
      </c>
      <c r="F653" s="4">
        <f t="shared" si="97"/>
        <v>800</v>
      </c>
      <c r="G653" s="5">
        <f t="shared" si="103"/>
        <v>1.01</v>
      </c>
      <c r="H653" s="6" t="str">
        <f t="shared" si="98"/>
        <v>INSERT INTO public.coupon (plancode, age, "year", couponrate, benefittype, benefitrate, premiumrate) VALUES('EN60', 38, 36, 8, 'A',800, 1.01);</v>
      </c>
      <c r="I653" s="6" t="str">
        <f t="shared" si="99"/>
        <v>{"age":"38", "year":"36", "couponrate":"8", "benefittype":"A", "benefitrate":"800", "premiumrate":"1.01"}</v>
      </c>
      <c r="J653" s="6" t="str">
        <f t="shared" si="100"/>
        <v>,</v>
      </c>
    </row>
    <row r="654" spans="1:10">
      <c r="A654" s="4" t="str">
        <f>'EN60'!A$3</f>
        <v>EN60</v>
      </c>
      <c r="B654" s="4">
        <f t="shared" si="101"/>
        <v>38</v>
      </c>
      <c r="C654" s="4">
        <f t="shared" si="102"/>
        <v>37</v>
      </c>
      <c r="D654" s="4">
        <f t="shared" si="96"/>
        <v>8</v>
      </c>
      <c r="E654" s="4" t="s">
        <v>27</v>
      </c>
      <c r="F654" s="4">
        <f t="shared" si="97"/>
        <v>800</v>
      </c>
      <c r="G654" s="5">
        <f t="shared" si="103"/>
        <v>1.01</v>
      </c>
      <c r="H654" s="6" t="str">
        <f t="shared" si="98"/>
        <v>INSERT INTO public.coupon (plancode, age, "year", couponrate, benefittype, benefitrate, premiumrate) VALUES('EN60', 38, 37, 8, 'A',800, 1.01);</v>
      </c>
      <c r="I654" s="6" t="str">
        <f t="shared" si="99"/>
        <v>{"age":"38", "year":"37", "couponrate":"8", "benefittype":"A", "benefitrate":"800", "premiumrate":"1.01"}</v>
      </c>
      <c r="J654" s="6" t="str">
        <f t="shared" si="100"/>
        <v>,</v>
      </c>
    </row>
    <row r="655" spans="1:10">
      <c r="A655" s="4" t="str">
        <f>'EN60'!A$3</f>
        <v>EN60</v>
      </c>
      <c r="B655" s="4">
        <f t="shared" si="101"/>
        <v>38</v>
      </c>
      <c r="C655" s="4">
        <f t="shared" si="102"/>
        <v>38</v>
      </c>
      <c r="D655" s="4">
        <f t="shared" si="96"/>
        <v>8</v>
      </c>
      <c r="E655" s="4" t="s">
        <v>27</v>
      </c>
      <c r="F655" s="4">
        <f t="shared" si="97"/>
        <v>800</v>
      </c>
      <c r="G655" s="5">
        <f t="shared" si="103"/>
        <v>1.01</v>
      </c>
      <c r="H655" s="6" t="str">
        <f t="shared" si="98"/>
        <v>INSERT INTO public.coupon (plancode, age, "year", couponrate, benefittype, benefitrate, premiumrate) VALUES('EN60', 38, 38, 8, 'A',800, 1.01);</v>
      </c>
      <c r="I655" s="6" t="str">
        <f t="shared" si="99"/>
        <v>{"age":"38", "year":"38", "couponrate":"8", "benefittype":"A", "benefitrate":"800", "premiumrate":"1.01"}</v>
      </c>
      <c r="J655" s="6" t="str">
        <f t="shared" si="100"/>
        <v>,</v>
      </c>
    </row>
    <row r="656" spans="1:10">
      <c r="A656" s="4" t="str">
        <f>'EN60'!A$3</f>
        <v>EN60</v>
      </c>
      <c r="B656" s="4">
        <f t="shared" si="101"/>
        <v>38</v>
      </c>
      <c r="C656" s="4">
        <f t="shared" si="102"/>
        <v>39</v>
      </c>
      <c r="D656" s="4">
        <f t="shared" si="96"/>
        <v>8</v>
      </c>
      <c r="E656" s="4" t="s">
        <v>27</v>
      </c>
      <c r="F656" s="4">
        <f t="shared" si="97"/>
        <v>800</v>
      </c>
      <c r="G656" s="5">
        <f t="shared" si="103"/>
        <v>1.01</v>
      </c>
      <c r="H656" s="6" t="str">
        <f t="shared" si="98"/>
        <v>INSERT INTO public.coupon (plancode, age, "year", couponrate, benefittype, benefitrate, premiumrate) VALUES('EN60', 38, 39, 8, 'A',800, 1.01);</v>
      </c>
      <c r="I656" s="6" t="str">
        <f t="shared" si="99"/>
        <v>{"age":"38", "year":"39", "couponrate":"8", "benefittype":"A", "benefitrate":"800", "premiumrate":"1.01"}</v>
      </c>
      <c r="J656" s="6" t="str">
        <f t="shared" si="100"/>
        <v>,</v>
      </c>
    </row>
    <row r="657" spans="1:10">
      <c r="A657" s="4" t="str">
        <f>'EN60'!A$3</f>
        <v>EN60</v>
      </c>
      <c r="B657" s="4">
        <f t="shared" si="101"/>
        <v>38</v>
      </c>
      <c r="C657" s="4">
        <f t="shared" si="102"/>
        <v>40</v>
      </c>
      <c r="D657" s="4">
        <f t="shared" si="96"/>
        <v>8</v>
      </c>
      <c r="E657" s="4" t="s">
        <v>27</v>
      </c>
      <c r="F657" s="4">
        <f t="shared" si="97"/>
        <v>800</v>
      </c>
      <c r="G657" s="5">
        <f t="shared" si="103"/>
        <v>1.01</v>
      </c>
      <c r="H657" s="6" t="str">
        <f t="shared" si="98"/>
        <v>INSERT INTO public.coupon (plancode, age, "year", couponrate, benefittype, benefitrate, premiumrate) VALUES('EN60', 38, 40, 8, 'A',800, 1.01);</v>
      </c>
      <c r="I657" s="6" t="str">
        <f t="shared" si="99"/>
        <v>{"age":"38", "year":"40", "couponrate":"8", "benefittype":"A", "benefitrate":"800", "premiumrate":"1.01"}</v>
      </c>
      <c r="J657" s="6" t="str">
        <f t="shared" si="100"/>
        <v>,</v>
      </c>
    </row>
    <row r="658" spans="1:10">
      <c r="A658" s="4" t="str">
        <f>'EN60'!A$3</f>
        <v>EN60</v>
      </c>
      <c r="B658" s="4">
        <f t="shared" si="101"/>
        <v>38</v>
      </c>
      <c r="C658" s="4">
        <f t="shared" si="102"/>
        <v>41</v>
      </c>
      <c r="D658" s="4">
        <f t="shared" si="96"/>
        <v>8</v>
      </c>
      <c r="E658" s="4" t="s">
        <v>27</v>
      </c>
      <c r="F658" s="4">
        <f t="shared" si="97"/>
        <v>800</v>
      </c>
      <c r="G658" s="5">
        <f t="shared" si="103"/>
        <v>1.01</v>
      </c>
      <c r="H658" s="6" t="str">
        <f t="shared" si="98"/>
        <v>INSERT INTO public.coupon (plancode, age, "year", couponrate, benefittype, benefitrate, premiumrate) VALUES('EN60', 38, 41, 8, 'A',800, 1.01);</v>
      </c>
      <c r="I658" s="6" t="str">
        <f t="shared" si="99"/>
        <v>{"age":"38", "year":"41", "couponrate":"8", "benefittype":"A", "benefitrate":"800", "premiumrate":"1.01"}</v>
      </c>
      <c r="J658" s="6" t="str">
        <f t="shared" si="100"/>
        <v>,</v>
      </c>
    </row>
    <row r="659" spans="1:10">
      <c r="A659" s="4" t="str">
        <f>'EN60'!A$3</f>
        <v>EN60</v>
      </c>
      <c r="B659" s="4">
        <f t="shared" si="101"/>
        <v>38</v>
      </c>
      <c r="C659" s="4">
        <f t="shared" si="102"/>
        <v>42</v>
      </c>
      <c r="D659" s="4">
        <f t="shared" si="96"/>
        <v>0</v>
      </c>
      <c r="E659" s="4" t="s">
        <v>27</v>
      </c>
      <c r="F659" s="4">
        <f t="shared" si="97"/>
        <v>800</v>
      </c>
      <c r="G659" s="5">
        <f t="shared" si="103"/>
        <v>1.01</v>
      </c>
      <c r="H659" s="6" t="str">
        <f t="shared" si="98"/>
        <v>INSERT INTO public.coupon (plancode, age, "year", couponrate, benefittype, benefitrate, premiumrate) VALUES('EN60', 38, 42, 0, 'A',800, 1.01);</v>
      </c>
      <c r="I659" s="6" t="str">
        <f t="shared" si="99"/>
        <v>{"age":"38", "year":"42", "couponrate":"0", "benefittype":"A", "benefitrate":"800", "premiumrate":"1.01"}</v>
      </c>
    </row>
    <row r="660" spans="1:10">
      <c r="C660" s="6"/>
      <c r="I660" s="6" t="s">
        <v>28</v>
      </c>
    </row>
    <row r="661" spans="1:10">
      <c r="A661" s="3" t="s">
        <v>2</v>
      </c>
      <c r="B661" s="3" t="s">
        <v>23</v>
      </c>
      <c r="C661" s="3" t="s">
        <v>24</v>
      </c>
      <c r="D661" s="3" t="s">
        <v>25</v>
      </c>
      <c r="E661" s="3" t="s">
        <v>8</v>
      </c>
      <c r="F661" s="3" t="s">
        <v>26</v>
      </c>
      <c r="G661" s="3" t="s">
        <v>4</v>
      </c>
      <c r="I661" s="6" t="str">
        <f>"[{""plancode"":"""&amp;A662&amp;""",""returncash"":"""&amp;B$7&amp;""",""ytable"":"""&amp;C$7&amp;""",""maturerate"":"""&amp;B$3&amp;""",""maturepmrate"":"""&amp;C$3&amp;""",""coupon"":["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662" spans="1:10">
      <c r="A662" s="4" t="str">
        <f>'EN60'!A$3</f>
        <v>EN60</v>
      </c>
      <c r="B662" s="8">
        <v>39</v>
      </c>
      <c r="C662" s="4">
        <v>1</v>
      </c>
      <c r="D662" s="4">
        <f t="shared" ref="D662:D702" si="104">IF(C662+B662=80,0,8)</f>
        <v>8</v>
      </c>
      <c r="E662" s="4" t="s">
        <v>27</v>
      </c>
      <c r="F662" s="4">
        <f t="shared" ref="F662:F702" si="105">IF(C662&gt;7, 800, C662*100)</f>
        <v>100</v>
      </c>
      <c r="G662" s="5">
        <f>'EN60'!C$3</f>
        <v>1.01</v>
      </c>
      <c r="H662" s="6" t="str">
        <f t="shared" ref="H662:H702" si="106">"INSERT INTO public.coupon ("&amp;A$11&amp;", "&amp;B$11&amp;", """&amp;C$11&amp;""", "&amp;D$11&amp;", "&amp;E$11&amp;", "&amp;F$11&amp;", "&amp;G$11&amp;") VALUES('"&amp;A662&amp;"', "&amp;B662&amp;", "&amp;C662&amp;", "&amp;D662&amp;", '"&amp;E662&amp;"',"&amp;F662&amp;", "&amp;G662&amp;");"</f>
        <v>INSERT INTO public.coupon (plancode, age, "year", couponrate, benefittype, benefitrate, premiumrate) VALUES('EN60', 39, 1, 8, 'A',100, 1.01);</v>
      </c>
      <c r="I662" s="6" t="str">
        <f t="shared" ref="I662:I702" si="107">"{""age"":"""&amp;B662&amp;""", ""year"":"""&amp;C662&amp;""", ""couponrate"":"""&amp;D662&amp;""", ""benefittype"":"""&amp;E662&amp;""", ""benefitrate"":"""&amp;F662&amp;""", """&amp;G$11&amp;""":"""&amp;G662&amp;"""}"</f>
        <v>{"age":"39", "year":"1", "couponrate":"8", "benefittype":"A", "benefitrate":"100", "premiumrate":"1.01"}</v>
      </c>
      <c r="J662" s="6" t="str">
        <f t="shared" ref="J662:J701" si="108">IF(OR(I663="]", I662="[", I662="]"), "", ",")</f>
        <v>,</v>
      </c>
    </row>
    <row r="663" spans="1:10">
      <c r="A663" s="4" t="str">
        <f>'EN60'!A$3</f>
        <v>EN60</v>
      </c>
      <c r="B663" s="4">
        <f t="shared" ref="B663:B702" si="109">B662</f>
        <v>39</v>
      </c>
      <c r="C663" s="4">
        <f t="shared" ref="C663:C702" si="110">IF(B663+C662+1&gt;80,"",C662+1)</f>
        <v>2</v>
      </c>
      <c r="D663" s="4">
        <f t="shared" si="104"/>
        <v>8</v>
      </c>
      <c r="E663" s="4" t="s">
        <v>27</v>
      </c>
      <c r="F663" s="4">
        <f t="shared" si="105"/>
        <v>200</v>
      </c>
      <c r="G663" s="5">
        <f t="shared" ref="G663:G702" si="111">G662</f>
        <v>1.01</v>
      </c>
      <c r="H663" s="6" t="str">
        <f t="shared" si="106"/>
        <v>INSERT INTO public.coupon (plancode, age, "year", couponrate, benefittype, benefitrate, premiumrate) VALUES('EN60', 39, 2, 8, 'A',200, 1.01);</v>
      </c>
      <c r="I663" s="6" t="str">
        <f t="shared" si="107"/>
        <v>{"age":"39", "year":"2", "couponrate":"8", "benefittype":"A", "benefitrate":"200", "premiumrate":"1.01"}</v>
      </c>
      <c r="J663" s="6" t="str">
        <f t="shared" si="108"/>
        <v>,</v>
      </c>
    </row>
    <row r="664" spans="1:10">
      <c r="A664" s="4" t="str">
        <f>'EN60'!A$3</f>
        <v>EN60</v>
      </c>
      <c r="B664" s="4">
        <f t="shared" si="109"/>
        <v>39</v>
      </c>
      <c r="C664" s="4">
        <f t="shared" si="110"/>
        <v>3</v>
      </c>
      <c r="D664" s="4">
        <f t="shared" si="104"/>
        <v>8</v>
      </c>
      <c r="E664" s="4" t="s">
        <v>27</v>
      </c>
      <c r="F664" s="4">
        <f t="shared" si="105"/>
        <v>300</v>
      </c>
      <c r="G664" s="5">
        <f t="shared" si="111"/>
        <v>1.01</v>
      </c>
      <c r="H664" s="6" t="str">
        <f t="shared" si="106"/>
        <v>INSERT INTO public.coupon (plancode, age, "year", couponrate, benefittype, benefitrate, premiumrate) VALUES('EN60', 39, 3, 8, 'A',300, 1.01);</v>
      </c>
      <c r="I664" s="6" t="str">
        <f t="shared" si="107"/>
        <v>{"age":"39", "year":"3", "couponrate":"8", "benefittype":"A", "benefitrate":"300", "premiumrate":"1.01"}</v>
      </c>
      <c r="J664" s="6" t="str">
        <f t="shared" si="108"/>
        <v>,</v>
      </c>
    </row>
    <row r="665" spans="1:10">
      <c r="A665" s="4" t="str">
        <f>'EN60'!A$3</f>
        <v>EN60</v>
      </c>
      <c r="B665" s="4">
        <f t="shared" si="109"/>
        <v>39</v>
      </c>
      <c r="C665" s="4">
        <f t="shared" si="110"/>
        <v>4</v>
      </c>
      <c r="D665" s="4">
        <f t="shared" si="104"/>
        <v>8</v>
      </c>
      <c r="E665" s="4" t="s">
        <v>27</v>
      </c>
      <c r="F665" s="4">
        <f t="shared" si="105"/>
        <v>400</v>
      </c>
      <c r="G665" s="5">
        <f t="shared" si="111"/>
        <v>1.01</v>
      </c>
      <c r="H665" s="6" t="str">
        <f t="shared" si="106"/>
        <v>INSERT INTO public.coupon (plancode, age, "year", couponrate, benefittype, benefitrate, premiumrate) VALUES('EN60', 39, 4, 8, 'A',400, 1.01);</v>
      </c>
      <c r="I665" s="6" t="str">
        <f t="shared" si="107"/>
        <v>{"age":"39", "year":"4", "couponrate":"8", "benefittype":"A", "benefitrate":"400", "premiumrate":"1.01"}</v>
      </c>
      <c r="J665" s="6" t="str">
        <f t="shared" si="108"/>
        <v>,</v>
      </c>
    </row>
    <row r="666" spans="1:10">
      <c r="A666" s="4" t="str">
        <f>'EN60'!A$3</f>
        <v>EN60</v>
      </c>
      <c r="B666" s="4">
        <f t="shared" si="109"/>
        <v>39</v>
      </c>
      <c r="C666" s="4">
        <f t="shared" si="110"/>
        <v>5</v>
      </c>
      <c r="D666" s="4">
        <f t="shared" si="104"/>
        <v>8</v>
      </c>
      <c r="E666" s="4" t="s">
        <v>27</v>
      </c>
      <c r="F666" s="4">
        <f t="shared" si="105"/>
        <v>500</v>
      </c>
      <c r="G666" s="5">
        <f t="shared" si="111"/>
        <v>1.01</v>
      </c>
      <c r="H666" s="6" t="str">
        <f t="shared" si="106"/>
        <v>INSERT INTO public.coupon (plancode, age, "year", couponrate, benefittype, benefitrate, premiumrate) VALUES('EN60', 39, 5, 8, 'A',500, 1.01);</v>
      </c>
      <c r="I666" s="6" t="str">
        <f t="shared" si="107"/>
        <v>{"age":"39", "year":"5", "couponrate":"8", "benefittype":"A", "benefitrate":"500", "premiumrate":"1.01"}</v>
      </c>
      <c r="J666" s="6" t="str">
        <f t="shared" si="108"/>
        <v>,</v>
      </c>
    </row>
    <row r="667" spans="1:10">
      <c r="A667" s="4" t="str">
        <f>'EN60'!A$3</f>
        <v>EN60</v>
      </c>
      <c r="B667" s="4">
        <f t="shared" si="109"/>
        <v>39</v>
      </c>
      <c r="C667" s="4">
        <f t="shared" si="110"/>
        <v>6</v>
      </c>
      <c r="D667" s="4">
        <f t="shared" si="104"/>
        <v>8</v>
      </c>
      <c r="E667" s="4" t="s">
        <v>27</v>
      </c>
      <c r="F667" s="4">
        <f t="shared" si="105"/>
        <v>600</v>
      </c>
      <c r="G667" s="5">
        <f t="shared" si="111"/>
        <v>1.01</v>
      </c>
      <c r="H667" s="6" t="str">
        <f t="shared" si="106"/>
        <v>INSERT INTO public.coupon (plancode, age, "year", couponrate, benefittype, benefitrate, premiumrate) VALUES('EN60', 39, 6, 8, 'A',600, 1.01);</v>
      </c>
      <c r="I667" s="6" t="str">
        <f t="shared" si="107"/>
        <v>{"age":"39", "year":"6", "couponrate":"8", "benefittype":"A", "benefitrate":"600", "premiumrate":"1.01"}</v>
      </c>
      <c r="J667" s="6" t="str">
        <f t="shared" si="108"/>
        <v>,</v>
      </c>
    </row>
    <row r="668" spans="1:10">
      <c r="A668" s="4" t="str">
        <f>'EN60'!A$3</f>
        <v>EN60</v>
      </c>
      <c r="B668" s="4">
        <f t="shared" si="109"/>
        <v>39</v>
      </c>
      <c r="C668" s="4">
        <f t="shared" si="110"/>
        <v>7</v>
      </c>
      <c r="D668" s="4">
        <f t="shared" si="104"/>
        <v>8</v>
      </c>
      <c r="E668" s="4" t="s">
        <v>27</v>
      </c>
      <c r="F668" s="4">
        <f t="shared" si="105"/>
        <v>700</v>
      </c>
      <c r="G668" s="5">
        <f t="shared" si="111"/>
        <v>1.01</v>
      </c>
      <c r="H668" s="6" t="str">
        <f t="shared" si="106"/>
        <v>INSERT INTO public.coupon (plancode, age, "year", couponrate, benefittype, benefitrate, premiumrate) VALUES('EN60', 39, 7, 8, 'A',700, 1.01);</v>
      </c>
      <c r="I668" s="6" t="str">
        <f t="shared" si="107"/>
        <v>{"age":"39", "year":"7", "couponrate":"8", "benefittype":"A", "benefitrate":"700", "premiumrate":"1.01"}</v>
      </c>
      <c r="J668" s="6" t="str">
        <f t="shared" si="108"/>
        <v>,</v>
      </c>
    </row>
    <row r="669" spans="1:10">
      <c r="A669" s="4" t="str">
        <f>'EN60'!A$3</f>
        <v>EN60</v>
      </c>
      <c r="B669" s="4">
        <f t="shared" si="109"/>
        <v>39</v>
      </c>
      <c r="C669" s="4">
        <f t="shared" si="110"/>
        <v>8</v>
      </c>
      <c r="D669" s="4">
        <f t="shared" si="104"/>
        <v>8</v>
      </c>
      <c r="E669" s="4" t="s">
        <v>27</v>
      </c>
      <c r="F669" s="4">
        <f t="shared" si="105"/>
        <v>800</v>
      </c>
      <c r="G669" s="5">
        <f t="shared" si="111"/>
        <v>1.01</v>
      </c>
      <c r="H669" s="6" t="str">
        <f t="shared" si="106"/>
        <v>INSERT INTO public.coupon (plancode, age, "year", couponrate, benefittype, benefitrate, premiumrate) VALUES('EN60', 39, 8, 8, 'A',800, 1.01);</v>
      </c>
      <c r="I669" s="6" t="str">
        <f t="shared" si="107"/>
        <v>{"age":"39", "year":"8", "couponrate":"8", "benefittype":"A", "benefitrate":"800", "premiumrate":"1.01"}</v>
      </c>
      <c r="J669" s="6" t="str">
        <f t="shared" si="108"/>
        <v>,</v>
      </c>
    </row>
    <row r="670" spans="1:10">
      <c r="A670" s="4" t="str">
        <f>'EN60'!A$3</f>
        <v>EN60</v>
      </c>
      <c r="B670" s="4">
        <f t="shared" si="109"/>
        <v>39</v>
      </c>
      <c r="C670" s="4">
        <f t="shared" si="110"/>
        <v>9</v>
      </c>
      <c r="D670" s="4">
        <f t="shared" si="104"/>
        <v>8</v>
      </c>
      <c r="E670" s="4" t="s">
        <v>27</v>
      </c>
      <c r="F670" s="4">
        <f t="shared" si="105"/>
        <v>800</v>
      </c>
      <c r="G670" s="5">
        <f t="shared" si="111"/>
        <v>1.01</v>
      </c>
      <c r="H670" s="6" t="str">
        <f t="shared" si="106"/>
        <v>INSERT INTO public.coupon (plancode, age, "year", couponrate, benefittype, benefitrate, premiumrate) VALUES('EN60', 39, 9, 8, 'A',800, 1.01);</v>
      </c>
      <c r="I670" s="6" t="str">
        <f t="shared" si="107"/>
        <v>{"age":"39", "year":"9", "couponrate":"8", "benefittype":"A", "benefitrate":"800", "premiumrate":"1.01"}</v>
      </c>
      <c r="J670" s="6" t="str">
        <f t="shared" si="108"/>
        <v>,</v>
      </c>
    </row>
    <row r="671" spans="1:10">
      <c r="A671" s="4" t="str">
        <f>'EN60'!A$3</f>
        <v>EN60</v>
      </c>
      <c r="B671" s="4">
        <f t="shared" si="109"/>
        <v>39</v>
      </c>
      <c r="C671" s="4">
        <f t="shared" si="110"/>
        <v>10</v>
      </c>
      <c r="D671" s="4">
        <f t="shared" si="104"/>
        <v>8</v>
      </c>
      <c r="E671" s="4" t="s">
        <v>27</v>
      </c>
      <c r="F671" s="4">
        <f t="shared" si="105"/>
        <v>800</v>
      </c>
      <c r="G671" s="5">
        <f t="shared" si="111"/>
        <v>1.01</v>
      </c>
      <c r="H671" s="6" t="str">
        <f t="shared" si="106"/>
        <v>INSERT INTO public.coupon (plancode, age, "year", couponrate, benefittype, benefitrate, premiumrate) VALUES('EN60', 39, 10, 8, 'A',800, 1.01);</v>
      </c>
      <c r="I671" s="6" t="str">
        <f t="shared" si="107"/>
        <v>{"age":"39", "year":"10", "couponrate":"8", "benefittype":"A", "benefitrate":"800", "premiumrate":"1.01"}</v>
      </c>
      <c r="J671" s="6" t="str">
        <f t="shared" si="108"/>
        <v>,</v>
      </c>
    </row>
    <row r="672" spans="1:10">
      <c r="A672" s="4" t="str">
        <f>'EN60'!A$3</f>
        <v>EN60</v>
      </c>
      <c r="B672" s="4">
        <f t="shared" si="109"/>
        <v>39</v>
      </c>
      <c r="C672" s="4">
        <f t="shared" si="110"/>
        <v>11</v>
      </c>
      <c r="D672" s="4">
        <f t="shared" si="104"/>
        <v>8</v>
      </c>
      <c r="E672" s="4" t="s">
        <v>27</v>
      </c>
      <c r="F672" s="4">
        <f t="shared" si="105"/>
        <v>800</v>
      </c>
      <c r="G672" s="5">
        <f t="shared" si="111"/>
        <v>1.01</v>
      </c>
      <c r="H672" s="6" t="str">
        <f t="shared" si="106"/>
        <v>INSERT INTO public.coupon (plancode, age, "year", couponrate, benefittype, benefitrate, premiumrate) VALUES('EN60', 39, 11, 8, 'A',800, 1.01);</v>
      </c>
      <c r="I672" s="6" t="str">
        <f t="shared" si="107"/>
        <v>{"age":"39", "year":"11", "couponrate":"8", "benefittype":"A", "benefitrate":"800", "premiumrate":"1.01"}</v>
      </c>
      <c r="J672" s="6" t="str">
        <f t="shared" si="108"/>
        <v>,</v>
      </c>
    </row>
    <row r="673" spans="1:10">
      <c r="A673" s="4" t="str">
        <f>'EN60'!A$3</f>
        <v>EN60</v>
      </c>
      <c r="B673" s="4">
        <f t="shared" si="109"/>
        <v>39</v>
      </c>
      <c r="C673" s="4">
        <f t="shared" si="110"/>
        <v>12</v>
      </c>
      <c r="D673" s="4">
        <f t="shared" si="104"/>
        <v>8</v>
      </c>
      <c r="E673" s="4" t="s">
        <v>27</v>
      </c>
      <c r="F673" s="4">
        <f t="shared" si="105"/>
        <v>800</v>
      </c>
      <c r="G673" s="5">
        <f t="shared" si="111"/>
        <v>1.01</v>
      </c>
      <c r="H673" s="6" t="str">
        <f t="shared" si="106"/>
        <v>INSERT INTO public.coupon (plancode, age, "year", couponrate, benefittype, benefitrate, premiumrate) VALUES('EN60', 39, 12, 8, 'A',800, 1.01);</v>
      </c>
      <c r="I673" s="6" t="str">
        <f t="shared" si="107"/>
        <v>{"age":"39", "year":"12", "couponrate":"8", "benefittype":"A", "benefitrate":"800", "premiumrate":"1.01"}</v>
      </c>
      <c r="J673" s="6" t="str">
        <f t="shared" si="108"/>
        <v>,</v>
      </c>
    </row>
    <row r="674" spans="1:10">
      <c r="A674" s="4" t="str">
        <f>'EN60'!A$3</f>
        <v>EN60</v>
      </c>
      <c r="B674" s="4">
        <f t="shared" si="109"/>
        <v>39</v>
      </c>
      <c r="C674" s="4">
        <f t="shared" si="110"/>
        <v>13</v>
      </c>
      <c r="D674" s="4">
        <f t="shared" si="104"/>
        <v>8</v>
      </c>
      <c r="E674" s="4" t="s">
        <v>27</v>
      </c>
      <c r="F674" s="4">
        <f t="shared" si="105"/>
        <v>800</v>
      </c>
      <c r="G674" s="5">
        <f t="shared" si="111"/>
        <v>1.01</v>
      </c>
      <c r="H674" s="6" t="str">
        <f t="shared" si="106"/>
        <v>INSERT INTO public.coupon (plancode, age, "year", couponrate, benefittype, benefitrate, premiumrate) VALUES('EN60', 39, 13, 8, 'A',800, 1.01);</v>
      </c>
      <c r="I674" s="6" t="str">
        <f t="shared" si="107"/>
        <v>{"age":"39", "year":"13", "couponrate":"8", "benefittype":"A", "benefitrate":"800", "premiumrate":"1.01"}</v>
      </c>
      <c r="J674" s="6" t="str">
        <f t="shared" si="108"/>
        <v>,</v>
      </c>
    </row>
    <row r="675" spans="1:10">
      <c r="A675" s="4" t="str">
        <f>'EN60'!A$3</f>
        <v>EN60</v>
      </c>
      <c r="B675" s="4">
        <f t="shared" si="109"/>
        <v>39</v>
      </c>
      <c r="C675" s="4">
        <f t="shared" si="110"/>
        <v>14</v>
      </c>
      <c r="D675" s="4">
        <f t="shared" si="104"/>
        <v>8</v>
      </c>
      <c r="E675" s="4" t="s">
        <v>27</v>
      </c>
      <c r="F675" s="4">
        <f t="shared" si="105"/>
        <v>800</v>
      </c>
      <c r="G675" s="5">
        <f t="shared" si="111"/>
        <v>1.01</v>
      </c>
      <c r="H675" s="6" t="str">
        <f t="shared" si="106"/>
        <v>INSERT INTO public.coupon (plancode, age, "year", couponrate, benefittype, benefitrate, premiumrate) VALUES('EN60', 39, 14, 8, 'A',800, 1.01);</v>
      </c>
      <c r="I675" s="6" t="str">
        <f t="shared" si="107"/>
        <v>{"age":"39", "year":"14", "couponrate":"8", "benefittype":"A", "benefitrate":"800", "premiumrate":"1.01"}</v>
      </c>
      <c r="J675" s="6" t="str">
        <f t="shared" si="108"/>
        <v>,</v>
      </c>
    </row>
    <row r="676" spans="1:10">
      <c r="A676" s="4" t="str">
        <f>'EN60'!A$3</f>
        <v>EN60</v>
      </c>
      <c r="B676" s="4">
        <f t="shared" si="109"/>
        <v>39</v>
      </c>
      <c r="C676" s="4">
        <f t="shared" si="110"/>
        <v>15</v>
      </c>
      <c r="D676" s="4">
        <f t="shared" si="104"/>
        <v>8</v>
      </c>
      <c r="E676" s="4" t="s">
        <v>27</v>
      </c>
      <c r="F676" s="4">
        <f t="shared" si="105"/>
        <v>800</v>
      </c>
      <c r="G676" s="5">
        <f t="shared" si="111"/>
        <v>1.01</v>
      </c>
      <c r="H676" s="6" t="str">
        <f t="shared" si="106"/>
        <v>INSERT INTO public.coupon (plancode, age, "year", couponrate, benefittype, benefitrate, premiumrate) VALUES('EN60', 39, 15, 8, 'A',800, 1.01);</v>
      </c>
      <c r="I676" s="6" t="str">
        <f t="shared" si="107"/>
        <v>{"age":"39", "year":"15", "couponrate":"8", "benefittype":"A", "benefitrate":"800", "premiumrate":"1.01"}</v>
      </c>
      <c r="J676" s="6" t="str">
        <f t="shared" si="108"/>
        <v>,</v>
      </c>
    </row>
    <row r="677" spans="1:10">
      <c r="A677" s="4" t="str">
        <f>'EN60'!A$3</f>
        <v>EN60</v>
      </c>
      <c r="B677" s="4">
        <f t="shared" si="109"/>
        <v>39</v>
      </c>
      <c r="C677" s="4">
        <f t="shared" si="110"/>
        <v>16</v>
      </c>
      <c r="D677" s="4">
        <f t="shared" si="104"/>
        <v>8</v>
      </c>
      <c r="E677" s="4" t="s">
        <v>27</v>
      </c>
      <c r="F677" s="4">
        <f t="shared" si="105"/>
        <v>800</v>
      </c>
      <c r="G677" s="5">
        <f t="shared" si="111"/>
        <v>1.01</v>
      </c>
      <c r="H677" s="6" t="str">
        <f t="shared" si="106"/>
        <v>INSERT INTO public.coupon (plancode, age, "year", couponrate, benefittype, benefitrate, premiumrate) VALUES('EN60', 39, 16, 8, 'A',800, 1.01);</v>
      </c>
      <c r="I677" s="6" t="str">
        <f t="shared" si="107"/>
        <v>{"age":"39", "year":"16", "couponrate":"8", "benefittype":"A", "benefitrate":"800", "premiumrate":"1.01"}</v>
      </c>
      <c r="J677" s="6" t="str">
        <f t="shared" si="108"/>
        <v>,</v>
      </c>
    </row>
    <row r="678" spans="1:10">
      <c r="A678" s="4" t="str">
        <f>'EN60'!A$3</f>
        <v>EN60</v>
      </c>
      <c r="B678" s="4">
        <f t="shared" si="109"/>
        <v>39</v>
      </c>
      <c r="C678" s="4">
        <f t="shared" si="110"/>
        <v>17</v>
      </c>
      <c r="D678" s="4">
        <f t="shared" si="104"/>
        <v>8</v>
      </c>
      <c r="E678" s="4" t="s">
        <v>27</v>
      </c>
      <c r="F678" s="4">
        <f t="shared" si="105"/>
        <v>800</v>
      </c>
      <c r="G678" s="5">
        <f t="shared" si="111"/>
        <v>1.01</v>
      </c>
      <c r="H678" s="6" t="str">
        <f t="shared" si="106"/>
        <v>INSERT INTO public.coupon (plancode, age, "year", couponrate, benefittype, benefitrate, premiumrate) VALUES('EN60', 39, 17, 8, 'A',800, 1.01);</v>
      </c>
      <c r="I678" s="6" t="str">
        <f t="shared" si="107"/>
        <v>{"age":"39", "year":"17", "couponrate":"8", "benefittype":"A", "benefitrate":"800", "premiumrate":"1.01"}</v>
      </c>
      <c r="J678" s="6" t="str">
        <f t="shared" si="108"/>
        <v>,</v>
      </c>
    </row>
    <row r="679" spans="1:10">
      <c r="A679" s="4" t="str">
        <f>'EN60'!A$3</f>
        <v>EN60</v>
      </c>
      <c r="B679" s="4">
        <f t="shared" si="109"/>
        <v>39</v>
      </c>
      <c r="C679" s="4">
        <f t="shared" si="110"/>
        <v>18</v>
      </c>
      <c r="D679" s="4">
        <f t="shared" si="104"/>
        <v>8</v>
      </c>
      <c r="E679" s="4" t="s">
        <v>27</v>
      </c>
      <c r="F679" s="4">
        <f t="shared" si="105"/>
        <v>800</v>
      </c>
      <c r="G679" s="5">
        <f t="shared" si="111"/>
        <v>1.01</v>
      </c>
      <c r="H679" s="6" t="str">
        <f t="shared" si="106"/>
        <v>INSERT INTO public.coupon (plancode, age, "year", couponrate, benefittype, benefitrate, premiumrate) VALUES('EN60', 39, 18, 8, 'A',800, 1.01);</v>
      </c>
      <c r="I679" s="6" t="str">
        <f t="shared" si="107"/>
        <v>{"age":"39", "year":"18", "couponrate":"8", "benefittype":"A", "benefitrate":"800", "premiumrate":"1.01"}</v>
      </c>
      <c r="J679" s="6" t="str">
        <f t="shared" si="108"/>
        <v>,</v>
      </c>
    </row>
    <row r="680" spans="1:10">
      <c r="A680" s="4" t="str">
        <f>'EN60'!A$3</f>
        <v>EN60</v>
      </c>
      <c r="B680" s="4">
        <f t="shared" si="109"/>
        <v>39</v>
      </c>
      <c r="C680" s="4">
        <f t="shared" si="110"/>
        <v>19</v>
      </c>
      <c r="D680" s="4">
        <f t="shared" si="104"/>
        <v>8</v>
      </c>
      <c r="E680" s="4" t="s">
        <v>27</v>
      </c>
      <c r="F680" s="4">
        <f t="shared" si="105"/>
        <v>800</v>
      </c>
      <c r="G680" s="5">
        <f t="shared" si="111"/>
        <v>1.01</v>
      </c>
      <c r="H680" s="6" t="str">
        <f t="shared" si="106"/>
        <v>INSERT INTO public.coupon (plancode, age, "year", couponrate, benefittype, benefitrate, premiumrate) VALUES('EN60', 39, 19, 8, 'A',800, 1.01);</v>
      </c>
      <c r="I680" s="6" t="str">
        <f t="shared" si="107"/>
        <v>{"age":"39", "year":"19", "couponrate":"8", "benefittype":"A", "benefitrate":"800", "premiumrate":"1.01"}</v>
      </c>
      <c r="J680" s="6" t="str">
        <f t="shared" si="108"/>
        <v>,</v>
      </c>
    </row>
    <row r="681" spans="1:10">
      <c r="A681" s="4" t="str">
        <f>'EN60'!A$3</f>
        <v>EN60</v>
      </c>
      <c r="B681" s="4">
        <f t="shared" si="109"/>
        <v>39</v>
      </c>
      <c r="C681" s="4">
        <f t="shared" si="110"/>
        <v>20</v>
      </c>
      <c r="D681" s="4">
        <f t="shared" si="104"/>
        <v>8</v>
      </c>
      <c r="E681" s="4" t="s">
        <v>27</v>
      </c>
      <c r="F681" s="4">
        <f t="shared" si="105"/>
        <v>800</v>
      </c>
      <c r="G681" s="5">
        <f t="shared" si="111"/>
        <v>1.01</v>
      </c>
      <c r="H681" s="6" t="str">
        <f t="shared" si="106"/>
        <v>INSERT INTO public.coupon (plancode, age, "year", couponrate, benefittype, benefitrate, premiumrate) VALUES('EN60', 39, 20, 8, 'A',800, 1.01);</v>
      </c>
      <c r="I681" s="6" t="str">
        <f t="shared" si="107"/>
        <v>{"age":"39", "year":"20", "couponrate":"8", "benefittype":"A", "benefitrate":"800", "premiumrate":"1.01"}</v>
      </c>
      <c r="J681" s="6" t="str">
        <f t="shared" si="108"/>
        <v>,</v>
      </c>
    </row>
    <row r="682" spans="1:10">
      <c r="A682" s="4" t="str">
        <f>'EN60'!A$3</f>
        <v>EN60</v>
      </c>
      <c r="B682" s="4">
        <f t="shared" si="109"/>
        <v>39</v>
      </c>
      <c r="C682" s="4">
        <f t="shared" si="110"/>
        <v>21</v>
      </c>
      <c r="D682" s="4">
        <f t="shared" si="104"/>
        <v>8</v>
      </c>
      <c r="E682" s="4" t="s">
        <v>27</v>
      </c>
      <c r="F682" s="4">
        <f t="shared" si="105"/>
        <v>800</v>
      </c>
      <c r="G682" s="5">
        <f t="shared" si="111"/>
        <v>1.01</v>
      </c>
      <c r="H682" s="6" t="str">
        <f t="shared" si="106"/>
        <v>INSERT INTO public.coupon (plancode, age, "year", couponrate, benefittype, benefitrate, premiumrate) VALUES('EN60', 39, 21, 8, 'A',800, 1.01);</v>
      </c>
      <c r="I682" s="6" t="str">
        <f t="shared" si="107"/>
        <v>{"age":"39", "year":"21", "couponrate":"8", "benefittype":"A", "benefitrate":"800", "premiumrate":"1.01"}</v>
      </c>
      <c r="J682" s="6" t="str">
        <f t="shared" si="108"/>
        <v>,</v>
      </c>
    </row>
    <row r="683" spans="1:10">
      <c r="A683" s="4" t="str">
        <f>'EN60'!A$3</f>
        <v>EN60</v>
      </c>
      <c r="B683" s="4">
        <f t="shared" si="109"/>
        <v>39</v>
      </c>
      <c r="C683" s="4">
        <f t="shared" si="110"/>
        <v>22</v>
      </c>
      <c r="D683" s="4">
        <f t="shared" si="104"/>
        <v>8</v>
      </c>
      <c r="E683" s="4" t="s">
        <v>27</v>
      </c>
      <c r="F683" s="4">
        <f t="shared" si="105"/>
        <v>800</v>
      </c>
      <c r="G683" s="5">
        <f t="shared" si="111"/>
        <v>1.01</v>
      </c>
      <c r="H683" s="6" t="str">
        <f t="shared" si="106"/>
        <v>INSERT INTO public.coupon (plancode, age, "year", couponrate, benefittype, benefitrate, premiumrate) VALUES('EN60', 39, 22, 8, 'A',800, 1.01);</v>
      </c>
      <c r="I683" s="6" t="str">
        <f t="shared" si="107"/>
        <v>{"age":"39", "year":"22", "couponrate":"8", "benefittype":"A", "benefitrate":"800", "premiumrate":"1.01"}</v>
      </c>
      <c r="J683" s="6" t="str">
        <f t="shared" si="108"/>
        <v>,</v>
      </c>
    </row>
    <row r="684" spans="1:10">
      <c r="A684" s="4" t="str">
        <f>'EN60'!A$3</f>
        <v>EN60</v>
      </c>
      <c r="B684" s="4">
        <f t="shared" si="109"/>
        <v>39</v>
      </c>
      <c r="C684" s="4">
        <f t="shared" si="110"/>
        <v>23</v>
      </c>
      <c r="D684" s="4">
        <f t="shared" si="104"/>
        <v>8</v>
      </c>
      <c r="E684" s="4" t="s">
        <v>27</v>
      </c>
      <c r="F684" s="4">
        <f t="shared" si="105"/>
        <v>800</v>
      </c>
      <c r="G684" s="5">
        <f t="shared" si="111"/>
        <v>1.01</v>
      </c>
      <c r="H684" s="6" t="str">
        <f t="shared" si="106"/>
        <v>INSERT INTO public.coupon (plancode, age, "year", couponrate, benefittype, benefitrate, premiumrate) VALUES('EN60', 39, 23, 8, 'A',800, 1.01);</v>
      </c>
      <c r="I684" s="6" t="str">
        <f t="shared" si="107"/>
        <v>{"age":"39", "year":"23", "couponrate":"8", "benefittype":"A", "benefitrate":"800", "premiumrate":"1.01"}</v>
      </c>
      <c r="J684" s="6" t="str">
        <f t="shared" si="108"/>
        <v>,</v>
      </c>
    </row>
    <row r="685" spans="1:10">
      <c r="A685" s="4" t="str">
        <f>'EN60'!A$3</f>
        <v>EN60</v>
      </c>
      <c r="B685" s="4">
        <f t="shared" si="109"/>
        <v>39</v>
      </c>
      <c r="C685" s="4">
        <f t="shared" si="110"/>
        <v>24</v>
      </c>
      <c r="D685" s="4">
        <f t="shared" si="104"/>
        <v>8</v>
      </c>
      <c r="E685" s="4" t="s">
        <v>27</v>
      </c>
      <c r="F685" s="4">
        <f t="shared" si="105"/>
        <v>800</v>
      </c>
      <c r="G685" s="5">
        <f t="shared" si="111"/>
        <v>1.01</v>
      </c>
      <c r="H685" s="6" t="str">
        <f t="shared" si="106"/>
        <v>INSERT INTO public.coupon (plancode, age, "year", couponrate, benefittype, benefitrate, premiumrate) VALUES('EN60', 39, 24, 8, 'A',800, 1.01);</v>
      </c>
      <c r="I685" s="6" t="str">
        <f t="shared" si="107"/>
        <v>{"age":"39", "year":"24", "couponrate":"8", "benefittype":"A", "benefitrate":"800", "premiumrate":"1.01"}</v>
      </c>
      <c r="J685" s="6" t="str">
        <f t="shared" si="108"/>
        <v>,</v>
      </c>
    </row>
    <row r="686" spans="1:10">
      <c r="A686" s="4" t="str">
        <f>'EN60'!A$3</f>
        <v>EN60</v>
      </c>
      <c r="B686" s="4">
        <f t="shared" si="109"/>
        <v>39</v>
      </c>
      <c r="C686" s="4">
        <f t="shared" si="110"/>
        <v>25</v>
      </c>
      <c r="D686" s="4">
        <f t="shared" si="104"/>
        <v>8</v>
      </c>
      <c r="E686" s="4" t="s">
        <v>27</v>
      </c>
      <c r="F686" s="4">
        <f t="shared" si="105"/>
        <v>800</v>
      </c>
      <c r="G686" s="5">
        <f t="shared" si="111"/>
        <v>1.01</v>
      </c>
      <c r="H686" s="6" t="str">
        <f t="shared" si="106"/>
        <v>INSERT INTO public.coupon (plancode, age, "year", couponrate, benefittype, benefitrate, premiumrate) VALUES('EN60', 39, 25, 8, 'A',800, 1.01);</v>
      </c>
      <c r="I686" s="6" t="str">
        <f t="shared" si="107"/>
        <v>{"age":"39", "year":"25", "couponrate":"8", "benefittype":"A", "benefitrate":"800", "premiumrate":"1.01"}</v>
      </c>
      <c r="J686" s="6" t="str">
        <f t="shared" si="108"/>
        <v>,</v>
      </c>
    </row>
    <row r="687" spans="1:10">
      <c r="A687" s="4" t="str">
        <f>'EN60'!A$3</f>
        <v>EN60</v>
      </c>
      <c r="B687" s="4">
        <f t="shared" si="109"/>
        <v>39</v>
      </c>
      <c r="C687" s="4">
        <f t="shared" si="110"/>
        <v>26</v>
      </c>
      <c r="D687" s="4">
        <f t="shared" si="104"/>
        <v>8</v>
      </c>
      <c r="E687" s="4" t="s">
        <v>27</v>
      </c>
      <c r="F687" s="4">
        <f t="shared" si="105"/>
        <v>800</v>
      </c>
      <c r="G687" s="5">
        <f t="shared" si="111"/>
        <v>1.01</v>
      </c>
      <c r="H687" s="6" t="str">
        <f t="shared" si="106"/>
        <v>INSERT INTO public.coupon (plancode, age, "year", couponrate, benefittype, benefitrate, premiumrate) VALUES('EN60', 39, 26, 8, 'A',800, 1.01);</v>
      </c>
      <c r="I687" s="6" t="str">
        <f t="shared" si="107"/>
        <v>{"age":"39", "year":"26", "couponrate":"8", "benefittype":"A", "benefitrate":"800", "premiumrate":"1.01"}</v>
      </c>
      <c r="J687" s="6" t="str">
        <f t="shared" si="108"/>
        <v>,</v>
      </c>
    </row>
    <row r="688" spans="1:10">
      <c r="A688" s="4" t="str">
        <f>'EN60'!A$3</f>
        <v>EN60</v>
      </c>
      <c r="B688" s="4">
        <f t="shared" si="109"/>
        <v>39</v>
      </c>
      <c r="C688" s="4">
        <f t="shared" si="110"/>
        <v>27</v>
      </c>
      <c r="D688" s="4">
        <f t="shared" si="104"/>
        <v>8</v>
      </c>
      <c r="E688" s="4" t="s">
        <v>27</v>
      </c>
      <c r="F688" s="4">
        <f t="shared" si="105"/>
        <v>800</v>
      </c>
      <c r="G688" s="5">
        <f t="shared" si="111"/>
        <v>1.01</v>
      </c>
      <c r="H688" s="6" t="str">
        <f t="shared" si="106"/>
        <v>INSERT INTO public.coupon (plancode, age, "year", couponrate, benefittype, benefitrate, premiumrate) VALUES('EN60', 39, 27, 8, 'A',800, 1.01);</v>
      </c>
      <c r="I688" s="6" t="str">
        <f t="shared" si="107"/>
        <v>{"age":"39", "year":"27", "couponrate":"8", "benefittype":"A", "benefitrate":"800", "premiumrate":"1.01"}</v>
      </c>
      <c r="J688" s="6" t="str">
        <f t="shared" si="108"/>
        <v>,</v>
      </c>
    </row>
    <row r="689" spans="1:10">
      <c r="A689" s="4" t="str">
        <f>'EN60'!A$3</f>
        <v>EN60</v>
      </c>
      <c r="B689" s="4">
        <f t="shared" si="109"/>
        <v>39</v>
      </c>
      <c r="C689" s="4">
        <f t="shared" si="110"/>
        <v>28</v>
      </c>
      <c r="D689" s="4">
        <f t="shared" si="104"/>
        <v>8</v>
      </c>
      <c r="E689" s="4" t="s">
        <v>27</v>
      </c>
      <c r="F689" s="4">
        <f t="shared" si="105"/>
        <v>800</v>
      </c>
      <c r="G689" s="5">
        <f t="shared" si="111"/>
        <v>1.01</v>
      </c>
      <c r="H689" s="6" t="str">
        <f t="shared" si="106"/>
        <v>INSERT INTO public.coupon (plancode, age, "year", couponrate, benefittype, benefitrate, premiumrate) VALUES('EN60', 39, 28, 8, 'A',800, 1.01);</v>
      </c>
      <c r="I689" s="6" t="str">
        <f t="shared" si="107"/>
        <v>{"age":"39", "year":"28", "couponrate":"8", "benefittype":"A", "benefitrate":"800", "premiumrate":"1.01"}</v>
      </c>
      <c r="J689" s="6" t="str">
        <f t="shared" si="108"/>
        <v>,</v>
      </c>
    </row>
    <row r="690" spans="1:10">
      <c r="A690" s="4" t="str">
        <f>'EN60'!A$3</f>
        <v>EN60</v>
      </c>
      <c r="B690" s="4">
        <f t="shared" si="109"/>
        <v>39</v>
      </c>
      <c r="C690" s="4">
        <f t="shared" si="110"/>
        <v>29</v>
      </c>
      <c r="D690" s="4">
        <f t="shared" si="104"/>
        <v>8</v>
      </c>
      <c r="E690" s="4" t="s">
        <v>27</v>
      </c>
      <c r="F690" s="4">
        <f t="shared" si="105"/>
        <v>800</v>
      </c>
      <c r="G690" s="5">
        <f t="shared" si="111"/>
        <v>1.01</v>
      </c>
      <c r="H690" s="6" t="str">
        <f t="shared" si="106"/>
        <v>INSERT INTO public.coupon (plancode, age, "year", couponrate, benefittype, benefitrate, premiumrate) VALUES('EN60', 39, 29, 8, 'A',800, 1.01);</v>
      </c>
      <c r="I690" s="6" t="str">
        <f t="shared" si="107"/>
        <v>{"age":"39", "year":"29", "couponrate":"8", "benefittype":"A", "benefitrate":"800", "premiumrate":"1.01"}</v>
      </c>
      <c r="J690" s="6" t="str">
        <f t="shared" si="108"/>
        <v>,</v>
      </c>
    </row>
    <row r="691" spans="1:10">
      <c r="A691" s="4" t="str">
        <f>'EN60'!A$3</f>
        <v>EN60</v>
      </c>
      <c r="B691" s="4">
        <f t="shared" si="109"/>
        <v>39</v>
      </c>
      <c r="C691" s="4">
        <f t="shared" si="110"/>
        <v>30</v>
      </c>
      <c r="D691" s="4">
        <f t="shared" si="104"/>
        <v>8</v>
      </c>
      <c r="E691" s="4" t="s">
        <v>27</v>
      </c>
      <c r="F691" s="4">
        <f t="shared" si="105"/>
        <v>800</v>
      </c>
      <c r="G691" s="5">
        <f t="shared" si="111"/>
        <v>1.01</v>
      </c>
      <c r="H691" s="6" t="str">
        <f t="shared" si="106"/>
        <v>INSERT INTO public.coupon (plancode, age, "year", couponrate, benefittype, benefitrate, premiumrate) VALUES('EN60', 39, 30, 8, 'A',800, 1.01);</v>
      </c>
      <c r="I691" s="6" t="str">
        <f t="shared" si="107"/>
        <v>{"age":"39", "year":"30", "couponrate":"8", "benefittype":"A", "benefitrate":"800", "premiumrate":"1.01"}</v>
      </c>
      <c r="J691" s="6" t="str">
        <f t="shared" si="108"/>
        <v>,</v>
      </c>
    </row>
    <row r="692" spans="1:10">
      <c r="A692" s="4" t="str">
        <f>'EN60'!A$3</f>
        <v>EN60</v>
      </c>
      <c r="B692" s="4">
        <f t="shared" si="109"/>
        <v>39</v>
      </c>
      <c r="C692" s="4">
        <f t="shared" si="110"/>
        <v>31</v>
      </c>
      <c r="D692" s="4">
        <f t="shared" si="104"/>
        <v>8</v>
      </c>
      <c r="E692" s="4" t="s">
        <v>27</v>
      </c>
      <c r="F692" s="4">
        <f t="shared" si="105"/>
        <v>800</v>
      </c>
      <c r="G692" s="5">
        <f t="shared" si="111"/>
        <v>1.01</v>
      </c>
      <c r="H692" s="6" t="str">
        <f t="shared" si="106"/>
        <v>INSERT INTO public.coupon (plancode, age, "year", couponrate, benefittype, benefitrate, premiumrate) VALUES('EN60', 39, 31, 8, 'A',800, 1.01);</v>
      </c>
      <c r="I692" s="6" t="str">
        <f t="shared" si="107"/>
        <v>{"age":"39", "year":"31", "couponrate":"8", "benefittype":"A", "benefitrate":"800", "premiumrate":"1.01"}</v>
      </c>
      <c r="J692" s="6" t="str">
        <f t="shared" si="108"/>
        <v>,</v>
      </c>
    </row>
    <row r="693" spans="1:10">
      <c r="A693" s="4" t="str">
        <f>'EN60'!A$3</f>
        <v>EN60</v>
      </c>
      <c r="B693" s="4">
        <f t="shared" si="109"/>
        <v>39</v>
      </c>
      <c r="C693" s="4">
        <f t="shared" si="110"/>
        <v>32</v>
      </c>
      <c r="D693" s="4">
        <f t="shared" si="104"/>
        <v>8</v>
      </c>
      <c r="E693" s="4" t="s">
        <v>27</v>
      </c>
      <c r="F693" s="4">
        <f t="shared" si="105"/>
        <v>800</v>
      </c>
      <c r="G693" s="5">
        <f t="shared" si="111"/>
        <v>1.01</v>
      </c>
      <c r="H693" s="6" t="str">
        <f t="shared" si="106"/>
        <v>INSERT INTO public.coupon (plancode, age, "year", couponrate, benefittype, benefitrate, premiumrate) VALUES('EN60', 39, 32, 8, 'A',800, 1.01);</v>
      </c>
      <c r="I693" s="6" t="str">
        <f t="shared" si="107"/>
        <v>{"age":"39", "year":"32", "couponrate":"8", "benefittype":"A", "benefitrate":"800", "premiumrate":"1.01"}</v>
      </c>
      <c r="J693" s="6" t="str">
        <f t="shared" si="108"/>
        <v>,</v>
      </c>
    </row>
    <row r="694" spans="1:10">
      <c r="A694" s="4" t="str">
        <f>'EN60'!A$3</f>
        <v>EN60</v>
      </c>
      <c r="B694" s="4">
        <f t="shared" si="109"/>
        <v>39</v>
      </c>
      <c r="C694" s="4">
        <f t="shared" si="110"/>
        <v>33</v>
      </c>
      <c r="D694" s="4">
        <f t="shared" si="104"/>
        <v>8</v>
      </c>
      <c r="E694" s="4" t="s">
        <v>27</v>
      </c>
      <c r="F694" s="4">
        <f t="shared" si="105"/>
        <v>800</v>
      </c>
      <c r="G694" s="5">
        <f t="shared" si="111"/>
        <v>1.01</v>
      </c>
      <c r="H694" s="6" t="str">
        <f t="shared" si="106"/>
        <v>INSERT INTO public.coupon (plancode, age, "year", couponrate, benefittype, benefitrate, premiumrate) VALUES('EN60', 39, 33, 8, 'A',800, 1.01);</v>
      </c>
      <c r="I694" s="6" t="str">
        <f t="shared" si="107"/>
        <v>{"age":"39", "year":"33", "couponrate":"8", "benefittype":"A", "benefitrate":"800", "premiumrate":"1.01"}</v>
      </c>
      <c r="J694" s="6" t="str">
        <f t="shared" si="108"/>
        <v>,</v>
      </c>
    </row>
    <row r="695" spans="1:10">
      <c r="A695" s="4" t="str">
        <f>'EN60'!A$3</f>
        <v>EN60</v>
      </c>
      <c r="B695" s="4">
        <f t="shared" si="109"/>
        <v>39</v>
      </c>
      <c r="C695" s="4">
        <f t="shared" si="110"/>
        <v>34</v>
      </c>
      <c r="D695" s="4">
        <f t="shared" si="104"/>
        <v>8</v>
      </c>
      <c r="E695" s="4" t="s">
        <v>27</v>
      </c>
      <c r="F695" s="4">
        <f t="shared" si="105"/>
        <v>800</v>
      </c>
      <c r="G695" s="5">
        <f t="shared" si="111"/>
        <v>1.01</v>
      </c>
      <c r="H695" s="6" t="str">
        <f t="shared" si="106"/>
        <v>INSERT INTO public.coupon (plancode, age, "year", couponrate, benefittype, benefitrate, premiumrate) VALUES('EN60', 39, 34, 8, 'A',800, 1.01);</v>
      </c>
      <c r="I695" s="6" t="str">
        <f t="shared" si="107"/>
        <v>{"age":"39", "year":"34", "couponrate":"8", "benefittype":"A", "benefitrate":"800", "premiumrate":"1.01"}</v>
      </c>
      <c r="J695" s="6" t="str">
        <f t="shared" si="108"/>
        <v>,</v>
      </c>
    </row>
    <row r="696" spans="1:10">
      <c r="A696" s="4" t="str">
        <f>'EN60'!A$3</f>
        <v>EN60</v>
      </c>
      <c r="B696" s="4">
        <f t="shared" si="109"/>
        <v>39</v>
      </c>
      <c r="C696" s="4">
        <f t="shared" si="110"/>
        <v>35</v>
      </c>
      <c r="D696" s="4">
        <f t="shared" si="104"/>
        <v>8</v>
      </c>
      <c r="E696" s="4" t="s">
        <v>27</v>
      </c>
      <c r="F696" s="4">
        <f t="shared" si="105"/>
        <v>800</v>
      </c>
      <c r="G696" s="5">
        <f t="shared" si="111"/>
        <v>1.01</v>
      </c>
      <c r="H696" s="6" t="str">
        <f t="shared" si="106"/>
        <v>INSERT INTO public.coupon (plancode, age, "year", couponrate, benefittype, benefitrate, premiumrate) VALUES('EN60', 39, 35, 8, 'A',800, 1.01);</v>
      </c>
      <c r="I696" s="6" t="str">
        <f t="shared" si="107"/>
        <v>{"age":"39", "year":"35", "couponrate":"8", "benefittype":"A", "benefitrate":"800", "premiumrate":"1.01"}</v>
      </c>
      <c r="J696" s="6" t="str">
        <f t="shared" si="108"/>
        <v>,</v>
      </c>
    </row>
    <row r="697" spans="1:10">
      <c r="A697" s="4" t="str">
        <f>'EN60'!A$3</f>
        <v>EN60</v>
      </c>
      <c r="B697" s="4">
        <f t="shared" si="109"/>
        <v>39</v>
      </c>
      <c r="C697" s="4">
        <f t="shared" si="110"/>
        <v>36</v>
      </c>
      <c r="D697" s="4">
        <f t="shared" si="104"/>
        <v>8</v>
      </c>
      <c r="E697" s="4" t="s">
        <v>27</v>
      </c>
      <c r="F697" s="4">
        <f t="shared" si="105"/>
        <v>800</v>
      </c>
      <c r="G697" s="5">
        <f t="shared" si="111"/>
        <v>1.01</v>
      </c>
      <c r="H697" s="6" t="str">
        <f t="shared" si="106"/>
        <v>INSERT INTO public.coupon (plancode, age, "year", couponrate, benefittype, benefitrate, premiumrate) VALUES('EN60', 39, 36, 8, 'A',800, 1.01);</v>
      </c>
      <c r="I697" s="6" t="str">
        <f t="shared" si="107"/>
        <v>{"age":"39", "year":"36", "couponrate":"8", "benefittype":"A", "benefitrate":"800", "premiumrate":"1.01"}</v>
      </c>
      <c r="J697" s="6" t="str">
        <f t="shared" si="108"/>
        <v>,</v>
      </c>
    </row>
    <row r="698" spans="1:10">
      <c r="A698" s="4" t="str">
        <f>'EN60'!A$3</f>
        <v>EN60</v>
      </c>
      <c r="B698" s="4">
        <f t="shared" si="109"/>
        <v>39</v>
      </c>
      <c r="C698" s="4">
        <f t="shared" si="110"/>
        <v>37</v>
      </c>
      <c r="D698" s="4">
        <f t="shared" si="104"/>
        <v>8</v>
      </c>
      <c r="E698" s="4" t="s">
        <v>27</v>
      </c>
      <c r="F698" s="4">
        <f t="shared" si="105"/>
        <v>800</v>
      </c>
      <c r="G698" s="5">
        <f t="shared" si="111"/>
        <v>1.01</v>
      </c>
      <c r="H698" s="6" t="str">
        <f t="shared" si="106"/>
        <v>INSERT INTO public.coupon (plancode, age, "year", couponrate, benefittype, benefitrate, premiumrate) VALUES('EN60', 39, 37, 8, 'A',800, 1.01);</v>
      </c>
      <c r="I698" s="6" t="str">
        <f t="shared" si="107"/>
        <v>{"age":"39", "year":"37", "couponrate":"8", "benefittype":"A", "benefitrate":"800", "premiumrate":"1.01"}</v>
      </c>
      <c r="J698" s="6" t="str">
        <f t="shared" si="108"/>
        <v>,</v>
      </c>
    </row>
    <row r="699" spans="1:10">
      <c r="A699" s="4" t="str">
        <f>'EN60'!A$3</f>
        <v>EN60</v>
      </c>
      <c r="B699" s="4">
        <f t="shared" si="109"/>
        <v>39</v>
      </c>
      <c r="C699" s="4">
        <f t="shared" si="110"/>
        <v>38</v>
      </c>
      <c r="D699" s="4">
        <f t="shared" si="104"/>
        <v>8</v>
      </c>
      <c r="E699" s="4" t="s">
        <v>27</v>
      </c>
      <c r="F699" s="4">
        <f t="shared" si="105"/>
        <v>800</v>
      </c>
      <c r="G699" s="5">
        <f t="shared" si="111"/>
        <v>1.01</v>
      </c>
      <c r="H699" s="6" t="str">
        <f t="shared" si="106"/>
        <v>INSERT INTO public.coupon (plancode, age, "year", couponrate, benefittype, benefitrate, premiumrate) VALUES('EN60', 39, 38, 8, 'A',800, 1.01);</v>
      </c>
      <c r="I699" s="6" t="str">
        <f t="shared" si="107"/>
        <v>{"age":"39", "year":"38", "couponrate":"8", "benefittype":"A", "benefitrate":"800", "premiumrate":"1.01"}</v>
      </c>
      <c r="J699" s="6" t="str">
        <f t="shared" si="108"/>
        <v>,</v>
      </c>
    </row>
    <row r="700" spans="1:10">
      <c r="A700" s="4" t="str">
        <f>'EN60'!A$3</f>
        <v>EN60</v>
      </c>
      <c r="B700" s="4">
        <f t="shared" si="109"/>
        <v>39</v>
      </c>
      <c r="C700" s="4">
        <f t="shared" si="110"/>
        <v>39</v>
      </c>
      <c r="D700" s="4">
        <f t="shared" si="104"/>
        <v>8</v>
      </c>
      <c r="E700" s="4" t="s">
        <v>27</v>
      </c>
      <c r="F700" s="4">
        <f t="shared" si="105"/>
        <v>800</v>
      </c>
      <c r="G700" s="5">
        <f t="shared" si="111"/>
        <v>1.01</v>
      </c>
      <c r="H700" s="6" t="str">
        <f t="shared" si="106"/>
        <v>INSERT INTO public.coupon (plancode, age, "year", couponrate, benefittype, benefitrate, premiumrate) VALUES('EN60', 39, 39, 8, 'A',800, 1.01);</v>
      </c>
      <c r="I700" s="6" t="str">
        <f t="shared" si="107"/>
        <v>{"age":"39", "year":"39", "couponrate":"8", "benefittype":"A", "benefitrate":"800", "premiumrate":"1.01"}</v>
      </c>
      <c r="J700" s="6" t="str">
        <f t="shared" si="108"/>
        <v>,</v>
      </c>
    </row>
    <row r="701" spans="1:10">
      <c r="A701" s="4" t="str">
        <f>'EN60'!A$3</f>
        <v>EN60</v>
      </c>
      <c r="B701" s="4">
        <f t="shared" si="109"/>
        <v>39</v>
      </c>
      <c r="C701" s="4">
        <f t="shared" si="110"/>
        <v>40</v>
      </c>
      <c r="D701" s="4">
        <f t="shared" si="104"/>
        <v>8</v>
      </c>
      <c r="E701" s="4" t="s">
        <v>27</v>
      </c>
      <c r="F701" s="4">
        <f t="shared" si="105"/>
        <v>800</v>
      </c>
      <c r="G701" s="5">
        <f t="shared" si="111"/>
        <v>1.01</v>
      </c>
      <c r="H701" s="6" t="str">
        <f t="shared" si="106"/>
        <v>INSERT INTO public.coupon (plancode, age, "year", couponrate, benefittype, benefitrate, premiumrate) VALUES('EN60', 39, 40, 8, 'A',800, 1.01);</v>
      </c>
      <c r="I701" s="6" t="str">
        <f t="shared" si="107"/>
        <v>{"age":"39", "year":"40", "couponrate":"8", "benefittype":"A", "benefitrate":"800", "premiumrate":"1.01"}</v>
      </c>
      <c r="J701" s="6" t="str">
        <f t="shared" si="108"/>
        <v>,</v>
      </c>
    </row>
    <row r="702" spans="1:10">
      <c r="A702" s="4" t="str">
        <f>'EN60'!A$3</f>
        <v>EN60</v>
      </c>
      <c r="B702" s="4">
        <f t="shared" si="109"/>
        <v>39</v>
      </c>
      <c r="C702" s="4">
        <f t="shared" si="110"/>
        <v>41</v>
      </c>
      <c r="D702" s="4">
        <f t="shared" si="104"/>
        <v>0</v>
      </c>
      <c r="E702" s="4" t="s">
        <v>27</v>
      </c>
      <c r="F702" s="4">
        <f t="shared" si="105"/>
        <v>800</v>
      </c>
      <c r="G702" s="5">
        <f t="shared" si="111"/>
        <v>1.01</v>
      </c>
      <c r="H702" s="6" t="str">
        <f t="shared" si="106"/>
        <v>INSERT INTO public.coupon (plancode, age, "year", couponrate, benefittype, benefitrate, premiumrate) VALUES('EN60', 39, 41, 0, 'A',800, 1.01);</v>
      </c>
      <c r="I702" s="6" t="str">
        <f t="shared" si="107"/>
        <v>{"age":"39", "year":"41", "couponrate":"0", "benefittype":"A", "benefitrate":"800", "premiumrate":"1.01"}</v>
      </c>
    </row>
    <row r="703" spans="1:10">
      <c r="C703" s="6"/>
      <c r="I703" s="6" t="s">
        <v>28</v>
      </c>
    </row>
    <row r="704" spans="1:10">
      <c r="A704" s="3" t="s">
        <v>2</v>
      </c>
      <c r="B704" s="3" t="s">
        <v>23</v>
      </c>
      <c r="C704" s="3" t="s">
        <v>24</v>
      </c>
      <c r="D704" s="3" t="s">
        <v>25</v>
      </c>
      <c r="E704" s="3" t="s">
        <v>8</v>
      </c>
      <c r="F704" s="3" t="s">
        <v>26</v>
      </c>
      <c r="G704" s="3" t="s">
        <v>4</v>
      </c>
      <c r="I704" s="6" t="str">
        <f>"[{""plancode"":"""&amp;A705&amp;""",""returncash"":"""&amp;B$7&amp;""",""ytable"":"""&amp;C$7&amp;""",""maturerate"":"""&amp;B$3&amp;""",""maturepmrate"":"""&amp;C$3&amp;""",""coupon"":["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705" spans="1:10">
      <c r="A705" s="4" t="str">
        <f>'EN60'!A$3</f>
        <v>EN60</v>
      </c>
      <c r="B705" s="8">
        <v>40</v>
      </c>
      <c r="C705" s="4">
        <v>1</v>
      </c>
      <c r="D705" s="4">
        <f t="shared" ref="D705:D744" si="112">IF(C705+B705=80,0,8)</f>
        <v>8</v>
      </c>
      <c r="E705" s="4" t="s">
        <v>27</v>
      </c>
      <c r="F705" s="4">
        <f t="shared" ref="F705:F744" si="113">IF(C705&gt;7, 800, C705*100)</f>
        <v>100</v>
      </c>
      <c r="G705" s="5">
        <f>'EN60'!C$3</f>
        <v>1.01</v>
      </c>
      <c r="H705" s="6" t="str">
        <f t="shared" ref="H705:H744" si="114">"INSERT INTO public.coupon ("&amp;A$11&amp;", "&amp;B$11&amp;", """&amp;C$11&amp;""", "&amp;D$11&amp;", "&amp;E$11&amp;", "&amp;F$11&amp;", "&amp;G$11&amp;") VALUES('"&amp;A705&amp;"', "&amp;B705&amp;", "&amp;C705&amp;", "&amp;D705&amp;", '"&amp;E705&amp;"',"&amp;F705&amp;", "&amp;G705&amp;");"</f>
        <v>INSERT INTO public.coupon (plancode, age, "year", couponrate, benefittype, benefitrate, premiumrate) VALUES('EN60', 40, 1, 8, 'A',100, 1.01);</v>
      </c>
      <c r="I705" s="6" t="str">
        <f t="shared" ref="I705:I744" si="115">"{""age"":"""&amp;B705&amp;""", ""year"":"""&amp;C705&amp;""", ""couponrate"":"""&amp;D705&amp;""", ""benefittype"":"""&amp;E705&amp;""", ""benefitrate"":"""&amp;F705&amp;""", """&amp;G$11&amp;""":"""&amp;G705&amp;"""}"</f>
        <v>{"age":"40", "year":"1", "couponrate":"8", "benefittype":"A", "benefitrate":"100", "premiumrate":"1.01"}</v>
      </c>
      <c r="J705" s="6" t="str">
        <f t="shared" ref="J705:J743" si="116">IF(OR(I706="]", I705="[", I705="]"), "", ",")</f>
        <v>,</v>
      </c>
    </row>
    <row r="706" spans="1:10">
      <c r="A706" s="4" t="str">
        <f>'EN60'!A$3</f>
        <v>EN60</v>
      </c>
      <c r="B706" s="4">
        <f t="shared" ref="B706:B744" si="117">B705</f>
        <v>40</v>
      </c>
      <c r="C706" s="4">
        <f t="shared" ref="C706:C744" si="118">IF(B706+C705+1&gt;80,"",C705+1)</f>
        <v>2</v>
      </c>
      <c r="D706" s="4">
        <f t="shared" si="112"/>
        <v>8</v>
      </c>
      <c r="E706" s="4" t="s">
        <v>27</v>
      </c>
      <c r="F706" s="4">
        <f t="shared" si="113"/>
        <v>200</v>
      </c>
      <c r="G706" s="5">
        <f t="shared" ref="G706:G744" si="119">G705</f>
        <v>1.01</v>
      </c>
      <c r="H706" s="6" t="str">
        <f t="shared" si="114"/>
        <v>INSERT INTO public.coupon (plancode, age, "year", couponrate, benefittype, benefitrate, premiumrate) VALUES('EN60', 40, 2, 8, 'A',200, 1.01);</v>
      </c>
      <c r="I706" s="6" t="str">
        <f t="shared" si="115"/>
        <v>{"age":"40", "year":"2", "couponrate":"8", "benefittype":"A", "benefitrate":"200", "premiumrate":"1.01"}</v>
      </c>
      <c r="J706" s="6" t="str">
        <f t="shared" si="116"/>
        <v>,</v>
      </c>
    </row>
    <row r="707" spans="1:10">
      <c r="A707" s="4" t="str">
        <f>'EN60'!A$3</f>
        <v>EN60</v>
      </c>
      <c r="B707" s="4">
        <f t="shared" si="117"/>
        <v>40</v>
      </c>
      <c r="C707" s="4">
        <f t="shared" si="118"/>
        <v>3</v>
      </c>
      <c r="D707" s="4">
        <f t="shared" si="112"/>
        <v>8</v>
      </c>
      <c r="E707" s="4" t="s">
        <v>27</v>
      </c>
      <c r="F707" s="4">
        <f t="shared" si="113"/>
        <v>300</v>
      </c>
      <c r="G707" s="5">
        <f t="shared" si="119"/>
        <v>1.01</v>
      </c>
      <c r="H707" s="6" t="str">
        <f t="shared" si="114"/>
        <v>INSERT INTO public.coupon (plancode, age, "year", couponrate, benefittype, benefitrate, premiumrate) VALUES('EN60', 40, 3, 8, 'A',300, 1.01);</v>
      </c>
      <c r="I707" s="6" t="str">
        <f t="shared" si="115"/>
        <v>{"age":"40", "year":"3", "couponrate":"8", "benefittype":"A", "benefitrate":"300", "premiumrate":"1.01"}</v>
      </c>
      <c r="J707" s="6" t="str">
        <f t="shared" si="116"/>
        <v>,</v>
      </c>
    </row>
    <row r="708" spans="1:10">
      <c r="A708" s="4" t="str">
        <f>'EN60'!A$3</f>
        <v>EN60</v>
      </c>
      <c r="B708" s="4">
        <f t="shared" si="117"/>
        <v>40</v>
      </c>
      <c r="C708" s="4">
        <f t="shared" si="118"/>
        <v>4</v>
      </c>
      <c r="D708" s="4">
        <f t="shared" si="112"/>
        <v>8</v>
      </c>
      <c r="E708" s="4" t="s">
        <v>27</v>
      </c>
      <c r="F708" s="4">
        <f t="shared" si="113"/>
        <v>400</v>
      </c>
      <c r="G708" s="5">
        <f t="shared" si="119"/>
        <v>1.01</v>
      </c>
      <c r="H708" s="6" t="str">
        <f t="shared" si="114"/>
        <v>INSERT INTO public.coupon (plancode, age, "year", couponrate, benefittype, benefitrate, premiumrate) VALUES('EN60', 40, 4, 8, 'A',400, 1.01);</v>
      </c>
      <c r="I708" s="6" t="str">
        <f t="shared" si="115"/>
        <v>{"age":"40", "year":"4", "couponrate":"8", "benefittype":"A", "benefitrate":"400", "premiumrate":"1.01"}</v>
      </c>
      <c r="J708" s="6" t="str">
        <f t="shared" si="116"/>
        <v>,</v>
      </c>
    </row>
    <row r="709" spans="1:10">
      <c r="A709" s="4" t="str">
        <f>'EN60'!A$3</f>
        <v>EN60</v>
      </c>
      <c r="B709" s="4">
        <f t="shared" si="117"/>
        <v>40</v>
      </c>
      <c r="C709" s="4">
        <f t="shared" si="118"/>
        <v>5</v>
      </c>
      <c r="D709" s="4">
        <f t="shared" si="112"/>
        <v>8</v>
      </c>
      <c r="E709" s="4" t="s">
        <v>27</v>
      </c>
      <c r="F709" s="4">
        <f t="shared" si="113"/>
        <v>500</v>
      </c>
      <c r="G709" s="5">
        <f t="shared" si="119"/>
        <v>1.01</v>
      </c>
      <c r="H709" s="6" t="str">
        <f t="shared" si="114"/>
        <v>INSERT INTO public.coupon (plancode, age, "year", couponrate, benefittype, benefitrate, premiumrate) VALUES('EN60', 40, 5, 8, 'A',500, 1.01);</v>
      </c>
      <c r="I709" s="6" t="str">
        <f t="shared" si="115"/>
        <v>{"age":"40", "year":"5", "couponrate":"8", "benefittype":"A", "benefitrate":"500", "premiumrate":"1.01"}</v>
      </c>
      <c r="J709" s="6" t="str">
        <f t="shared" si="116"/>
        <v>,</v>
      </c>
    </row>
    <row r="710" spans="1:10">
      <c r="A710" s="4" t="str">
        <f>'EN60'!A$3</f>
        <v>EN60</v>
      </c>
      <c r="B710" s="4">
        <f t="shared" si="117"/>
        <v>40</v>
      </c>
      <c r="C710" s="4">
        <f t="shared" si="118"/>
        <v>6</v>
      </c>
      <c r="D710" s="4">
        <f t="shared" si="112"/>
        <v>8</v>
      </c>
      <c r="E710" s="4" t="s">
        <v>27</v>
      </c>
      <c r="F710" s="4">
        <f t="shared" si="113"/>
        <v>600</v>
      </c>
      <c r="G710" s="5">
        <f t="shared" si="119"/>
        <v>1.01</v>
      </c>
      <c r="H710" s="6" t="str">
        <f t="shared" si="114"/>
        <v>INSERT INTO public.coupon (plancode, age, "year", couponrate, benefittype, benefitrate, premiumrate) VALUES('EN60', 40, 6, 8, 'A',600, 1.01);</v>
      </c>
      <c r="I710" s="6" t="str">
        <f t="shared" si="115"/>
        <v>{"age":"40", "year":"6", "couponrate":"8", "benefittype":"A", "benefitrate":"600", "premiumrate":"1.01"}</v>
      </c>
      <c r="J710" s="6" t="str">
        <f t="shared" si="116"/>
        <v>,</v>
      </c>
    </row>
    <row r="711" spans="1:10">
      <c r="A711" s="4" t="str">
        <f>'EN60'!A$3</f>
        <v>EN60</v>
      </c>
      <c r="B711" s="4">
        <f t="shared" si="117"/>
        <v>40</v>
      </c>
      <c r="C711" s="4">
        <f t="shared" si="118"/>
        <v>7</v>
      </c>
      <c r="D711" s="4">
        <f t="shared" si="112"/>
        <v>8</v>
      </c>
      <c r="E711" s="4" t="s">
        <v>27</v>
      </c>
      <c r="F711" s="4">
        <f t="shared" si="113"/>
        <v>700</v>
      </c>
      <c r="G711" s="5">
        <f t="shared" si="119"/>
        <v>1.01</v>
      </c>
      <c r="H711" s="6" t="str">
        <f t="shared" si="114"/>
        <v>INSERT INTO public.coupon (plancode, age, "year", couponrate, benefittype, benefitrate, premiumrate) VALUES('EN60', 40, 7, 8, 'A',700, 1.01);</v>
      </c>
      <c r="I711" s="6" t="str">
        <f t="shared" si="115"/>
        <v>{"age":"40", "year":"7", "couponrate":"8", "benefittype":"A", "benefitrate":"700", "premiumrate":"1.01"}</v>
      </c>
      <c r="J711" s="6" t="str">
        <f t="shared" si="116"/>
        <v>,</v>
      </c>
    </row>
    <row r="712" spans="1:10">
      <c r="A712" s="4" t="str">
        <f>'EN60'!A$3</f>
        <v>EN60</v>
      </c>
      <c r="B712" s="4">
        <f t="shared" si="117"/>
        <v>40</v>
      </c>
      <c r="C712" s="4">
        <f t="shared" si="118"/>
        <v>8</v>
      </c>
      <c r="D712" s="4">
        <f t="shared" si="112"/>
        <v>8</v>
      </c>
      <c r="E712" s="4" t="s">
        <v>27</v>
      </c>
      <c r="F712" s="4">
        <f t="shared" si="113"/>
        <v>800</v>
      </c>
      <c r="G712" s="5">
        <f t="shared" si="119"/>
        <v>1.01</v>
      </c>
      <c r="H712" s="6" t="str">
        <f t="shared" si="114"/>
        <v>INSERT INTO public.coupon (plancode, age, "year", couponrate, benefittype, benefitrate, premiumrate) VALUES('EN60', 40, 8, 8, 'A',800, 1.01);</v>
      </c>
      <c r="I712" s="6" t="str">
        <f t="shared" si="115"/>
        <v>{"age":"40", "year":"8", "couponrate":"8", "benefittype":"A", "benefitrate":"800", "premiumrate":"1.01"}</v>
      </c>
      <c r="J712" s="6" t="str">
        <f t="shared" si="116"/>
        <v>,</v>
      </c>
    </row>
    <row r="713" spans="1:10">
      <c r="A713" s="4" t="str">
        <f>'EN60'!A$3</f>
        <v>EN60</v>
      </c>
      <c r="B713" s="4">
        <f t="shared" si="117"/>
        <v>40</v>
      </c>
      <c r="C713" s="4">
        <f t="shared" si="118"/>
        <v>9</v>
      </c>
      <c r="D713" s="4">
        <f t="shared" si="112"/>
        <v>8</v>
      </c>
      <c r="E713" s="4" t="s">
        <v>27</v>
      </c>
      <c r="F713" s="4">
        <f t="shared" si="113"/>
        <v>800</v>
      </c>
      <c r="G713" s="5">
        <f t="shared" si="119"/>
        <v>1.01</v>
      </c>
      <c r="H713" s="6" t="str">
        <f t="shared" si="114"/>
        <v>INSERT INTO public.coupon (plancode, age, "year", couponrate, benefittype, benefitrate, premiumrate) VALUES('EN60', 40, 9, 8, 'A',800, 1.01);</v>
      </c>
      <c r="I713" s="6" t="str">
        <f t="shared" si="115"/>
        <v>{"age":"40", "year":"9", "couponrate":"8", "benefittype":"A", "benefitrate":"800", "premiumrate":"1.01"}</v>
      </c>
      <c r="J713" s="6" t="str">
        <f t="shared" si="116"/>
        <v>,</v>
      </c>
    </row>
    <row r="714" spans="1:10">
      <c r="A714" s="4" t="str">
        <f>'EN60'!A$3</f>
        <v>EN60</v>
      </c>
      <c r="B714" s="4">
        <f t="shared" si="117"/>
        <v>40</v>
      </c>
      <c r="C714" s="4">
        <f t="shared" si="118"/>
        <v>10</v>
      </c>
      <c r="D714" s="4">
        <f t="shared" si="112"/>
        <v>8</v>
      </c>
      <c r="E714" s="4" t="s">
        <v>27</v>
      </c>
      <c r="F714" s="4">
        <f t="shared" si="113"/>
        <v>800</v>
      </c>
      <c r="G714" s="5">
        <f t="shared" si="119"/>
        <v>1.01</v>
      </c>
      <c r="H714" s="6" t="str">
        <f t="shared" si="114"/>
        <v>INSERT INTO public.coupon (plancode, age, "year", couponrate, benefittype, benefitrate, premiumrate) VALUES('EN60', 40, 10, 8, 'A',800, 1.01);</v>
      </c>
      <c r="I714" s="6" t="str">
        <f t="shared" si="115"/>
        <v>{"age":"40", "year":"10", "couponrate":"8", "benefittype":"A", "benefitrate":"800", "premiumrate":"1.01"}</v>
      </c>
      <c r="J714" s="6" t="str">
        <f t="shared" si="116"/>
        <v>,</v>
      </c>
    </row>
    <row r="715" spans="1:10">
      <c r="A715" s="4" t="str">
        <f>'EN60'!A$3</f>
        <v>EN60</v>
      </c>
      <c r="B715" s="4">
        <f t="shared" si="117"/>
        <v>40</v>
      </c>
      <c r="C715" s="4">
        <f t="shared" si="118"/>
        <v>11</v>
      </c>
      <c r="D715" s="4">
        <f t="shared" si="112"/>
        <v>8</v>
      </c>
      <c r="E715" s="4" t="s">
        <v>27</v>
      </c>
      <c r="F715" s="4">
        <f t="shared" si="113"/>
        <v>800</v>
      </c>
      <c r="G715" s="5">
        <f t="shared" si="119"/>
        <v>1.01</v>
      </c>
      <c r="H715" s="6" t="str">
        <f t="shared" si="114"/>
        <v>INSERT INTO public.coupon (plancode, age, "year", couponrate, benefittype, benefitrate, premiumrate) VALUES('EN60', 40, 11, 8, 'A',800, 1.01);</v>
      </c>
      <c r="I715" s="6" t="str">
        <f t="shared" si="115"/>
        <v>{"age":"40", "year":"11", "couponrate":"8", "benefittype":"A", "benefitrate":"800", "premiumrate":"1.01"}</v>
      </c>
      <c r="J715" s="6" t="str">
        <f t="shared" si="116"/>
        <v>,</v>
      </c>
    </row>
    <row r="716" spans="1:10">
      <c r="A716" s="4" t="str">
        <f>'EN60'!A$3</f>
        <v>EN60</v>
      </c>
      <c r="B716" s="4">
        <f t="shared" si="117"/>
        <v>40</v>
      </c>
      <c r="C716" s="4">
        <f t="shared" si="118"/>
        <v>12</v>
      </c>
      <c r="D716" s="4">
        <f t="shared" si="112"/>
        <v>8</v>
      </c>
      <c r="E716" s="4" t="s">
        <v>27</v>
      </c>
      <c r="F716" s="4">
        <f t="shared" si="113"/>
        <v>800</v>
      </c>
      <c r="G716" s="5">
        <f t="shared" si="119"/>
        <v>1.01</v>
      </c>
      <c r="H716" s="6" t="str">
        <f t="shared" si="114"/>
        <v>INSERT INTO public.coupon (plancode, age, "year", couponrate, benefittype, benefitrate, premiumrate) VALUES('EN60', 40, 12, 8, 'A',800, 1.01);</v>
      </c>
      <c r="I716" s="6" t="str">
        <f t="shared" si="115"/>
        <v>{"age":"40", "year":"12", "couponrate":"8", "benefittype":"A", "benefitrate":"800", "premiumrate":"1.01"}</v>
      </c>
      <c r="J716" s="6" t="str">
        <f t="shared" si="116"/>
        <v>,</v>
      </c>
    </row>
    <row r="717" spans="1:10">
      <c r="A717" s="4" t="str">
        <f>'EN60'!A$3</f>
        <v>EN60</v>
      </c>
      <c r="B717" s="4">
        <f t="shared" si="117"/>
        <v>40</v>
      </c>
      <c r="C717" s="4">
        <f t="shared" si="118"/>
        <v>13</v>
      </c>
      <c r="D717" s="4">
        <f t="shared" si="112"/>
        <v>8</v>
      </c>
      <c r="E717" s="4" t="s">
        <v>27</v>
      </c>
      <c r="F717" s="4">
        <f t="shared" si="113"/>
        <v>800</v>
      </c>
      <c r="G717" s="5">
        <f t="shared" si="119"/>
        <v>1.01</v>
      </c>
      <c r="H717" s="6" t="str">
        <f t="shared" si="114"/>
        <v>INSERT INTO public.coupon (plancode, age, "year", couponrate, benefittype, benefitrate, premiumrate) VALUES('EN60', 40, 13, 8, 'A',800, 1.01);</v>
      </c>
      <c r="I717" s="6" t="str">
        <f t="shared" si="115"/>
        <v>{"age":"40", "year":"13", "couponrate":"8", "benefittype":"A", "benefitrate":"800", "premiumrate":"1.01"}</v>
      </c>
      <c r="J717" s="6" t="str">
        <f t="shared" si="116"/>
        <v>,</v>
      </c>
    </row>
    <row r="718" spans="1:10">
      <c r="A718" s="4" t="str">
        <f>'EN60'!A$3</f>
        <v>EN60</v>
      </c>
      <c r="B718" s="4">
        <f t="shared" si="117"/>
        <v>40</v>
      </c>
      <c r="C718" s="4">
        <f t="shared" si="118"/>
        <v>14</v>
      </c>
      <c r="D718" s="4">
        <f t="shared" si="112"/>
        <v>8</v>
      </c>
      <c r="E718" s="4" t="s">
        <v>27</v>
      </c>
      <c r="F718" s="4">
        <f t="shared" si="113"/>
        <v>800</v>
      </c>
      <c r="G718" s="5">
        <f t="shared" si="119"/>
        <v>1.01</v>
      </c>
      <c r="H718" s="6" t="str">
        <f t="shared" si="114"/>
        <v>INSERT INTO public.coupon (plancode, age, "year", couponrate, benefittype, benefitrate, premiumrate) VALUES('EN60', 40, 14, 8, 'A',800, 1.01);</v>
      </c>
      <c r="I718" s="6" t="str">
        <f t="shared" si="115"/>
        <v>{"age":"40", "year":"14", "couponrate":"8", "benefittype":"A", "benefitrate":"800", "premiumrate":"1.01"}</v>
      </c>
      <c r="J718" s="6" t="str">
        <f t="shared" si="116"/>
        <v>,</v>
      </c>
    </row>
    <row r="719" spans="1:10">
      <c r="A719" s="4" t="str">
        <f>'EN60'!A$3</f>
        <v>EN60</v>
      </c>
      <c r="B719" s="4">
        <f t="shared" si="117"/>
        <v>40</v>
      </c>
      <c r="C719" s="4">
        <f t="shared" si="118"/>
        <v>15</v>
      </c>
      <c r="D719" s="4">
        <f t="shared" si="112"/>
        <v>8</v>
      </c>
      <c r="E719" s="4" t="s">
        <v>27</v>
      </c>
      <c r="F719" s="4">
        <f t="shared" si="113"/>
        <v>800</v>
      </c>
      <c r="G719" s="5">
        <f t="shared" si="119"/>
        <v>1.01</v>
      </c>
      <c r="H719" s="6" t="str">
        <f t="shared" si="114"/>
        <v>INSERT INTO public.coupon (plancode, age, "year", couponrate, benefittype, benefitrate, premiumrate) VALUES('EN60', 40, 15, 8, 'A',800, 1.01);</v>
      </c>
      <c r="I719" s="6" t="str">
        <f t="shared" si="115"/>
        <v>{"age":"40", "year":"15", "couponrate":"8", "benefittype":"A", "benefitrate":"800", "premiumrate":"1.01"}</v>
      </c>
      <c r="J719" s="6" t="str">
        <f t="shared" si="116"/>
        <v>,</v>
      </c>
    </row>
    <row r="720" spans="1:10">
      <c r="A720" s="4" t="str">
        <f>'EN60'!A$3</f>
        <v>EN60</v>
      </c>
      <c r="B720" s="4">
        <f t="shared" si="117"/>
        <v>40</v>
      </c>
      <c r="C720" s="4">
        <f t="shared" si="118"/>
        <v>16</v>
      </c>
      <c r="D720" s="4">
        <f t="shared" si="112"/>
        <v>8</v>
      </c>
      <c r="E720" s="4" t="s">
        <v>27</v>
      </c>
      <c r="F720" s="4">
        <f t="shared" si="113"/>
        <v>800</v>
      </c>
      <c r="G720" s="5">
        <f t="shared" si="119"/>
        <v>1.01</v>
      </c>
      <c r="H720" s="6" t="str">
        <f t="shared" si="114"/>
        <v>INSERT INTO public.coupon (plancode, age, "year", couponrate, benefittype, benefitrate, premiumrate) VALUES('EN60', 40, 16, 8, 'A',800, 1.01);</v>
      </c>
      <c r="I720" s="6" t="str">
        <f t="shared" si="115"/>
        <v>{"age":"40", "year":"16", "couponrate":"8", "benefittype":"A", "benefitrate":"800", "premiumrate":"1.01"}</v>
      </c>
      <c r="J720" s="6" t="str">
        <f t="shared" si="116"/>
        <v>,</v>
      </c>
    </row>
    <row r="721" spans="1:10">
      <c r="A721" s="4" t="str">
        <f>'EN60'!A$3</f>
        <v>EN60</v>
      </c>
      <c r="B721" s="4">
        <f t="shared" si="117"/>
        <v>40</v>
      </c>
      <c r="C721" s="4">
        <f t="shared" si="118"/>
        <v>17</v>
      </c>
      <c r="D721" s="4">
        <f t="shared" si="112"/>
        <v>8</v>
      </c>
      <c r="E721" s="4" t="s">
        <v>27</v>
      </c>
      <c r="F721" s="4">
        <f t="shared" si="113"/>
        <v>800</v>
      </c>
      <c r="G721" s="5">
        <f t="shared" si="119"/>
        <v>1.01</v>
      </c>
      <c r="H721" s="6" t="str">
        <f t="shared" si="114"/>
        <v>INSERT INTO public.coupon (plancode, age, "year", couponrate, benefittype, benefitrate, premiumrate) VALUES('EN60', 40, 17, 8, 'A',800, 1.01);</v>
      </c>
      <c r="I721" s="6" t="str">
        <f t="shared" si="115"/>
        <v>{"age":"40", "year":"17", "couponrate":"8", "benefittype":"A", "benefitrate":"800", "premiumrate":"1.01"}</v>
      </c>
      <c r="J721" s="6" t="str">
        <f t="shared" si="116"/>
        <v>,</v>
      </c>
    </row>
    <row r="722" spans="1:10">
      <c r="A722" s="4" t="str">
        <f>'EN60'!A$3</f>
        <v>EN60</v>
      </c>
      <c r="B722" s="4">
        <f t="shared" si="117"/>
        <v>40</v>
      </c>
      <c r="C722" s="4">
        <f t="shared" si="118"/>
        <v>18</v>
      </c>
      <c r="D722" s="4">
        <f t="shared" si="112"/>
        <v>8</v>
      </c>
      <c r="E722" s="4" t="s">
        <v>27</v>
      </c>
      <c r="F722" s="4">
        <f t="shared" si="113"/>
        <v>800</v>
      </c>
      <c r="G722" s="5">
        <f t="shared" si="119"/>
        <v>1.01</v>
      </c>
      <c r="H722" s="6" t="str">
        <f t="shared" si="114"/>
        <v>INSERT INTO public.coupon (plancode, age, "year", couponrate, benefittype, benefitrate, premiumrate) VALUES('EN60', 40, 18, 8, 'A',800, 1.01);</v>
      </c>
      <c r="I722" s="6" t="str">
        <f t="shared" si="115"/>
        <v>{"age":"40", "year":"18", "couponrate":"8", "benefittype":"A", "benefitrate":"800", "premiumrate":"1.01"}</v>
      </c>
      <c r="J722" s="6" t="str">
        <f t="shared" si="116"/>
        <v>,</v>
      </c>
    </row>
    <row r="723" spans="1:10">
      <c r="A723" s="4" t="str">
        <f>'EN60'!A$3</f>
        <v>EN60</v>
      </c>
      <c r="B723" s="4">
        <f t="shared" si="117"/>
        <v>40</v>
      </c>
      <c r="C723" s="4">
        <f t="shared" si="118"/>
        <v>19</v>
      </c>
      <c r="D723" s="4">
        <f t="shared" si="112"/>
        <v>8</v>
      </c>
      <c r="E723" s="4" t="s">
        <v>27</v>
      </c>
      <c r="F723" s="4">
        <f t="shared" si="113"/>
        <v>800</v>
      </c>
      <c r="G723" s="5">
        <f t="shared" si="119"/>
        <v>1.01</v>
      </c>
      <c r="H723" s="6" t="str">
        <f t="shared" si="114"/>
        <v>INSERT INTO public.coupon (plancode, age, "year", couponrate, benefittype, benefitrate, premiumrate) VALUES('EN60', 40, 19, 8, 'A',800, 1.01);</v>
      </c>
      <c r="I723" s="6" t="str">
        <f t="shared" si="115"/>
        <v>{"age":"40", "year":"19", "couponrate":"8", "benefittype":"A", "benefitrate":"800", "premiumrate":"1.01"}</v>
      </c>
      <c r="J723" s="6" t="str">
        <f t="shared" si="116"/>
        <v>,</v>
      </c>
    </row>
    <row r="724" spans="1:10">
      <c r="A724" s="4" t="str">
        <f>'EN60'!A$3</f>
        <v>EN60</v>
      </c>
      <c r="B724" s="4">
        <f t="shared" si="117"/>
        <v>40</v>
      </c>
      <c r="C724" s="4">
        <f t="shared" si="118"/>
        <v>20</v>
      </c>
      <c r="D724" s="4">
        <f t="shared" si="112"/>
        <v>8</v>
      </c>
      <c r="E724" s="4" t="s">
        <v>27</v>
      </c>
      <c r="F724" s="4">
        <f t="shared" si="113"/>
        <v>800</v>
      </c>
      <c r="G724" s="5">
        <f t="shared" si="119"/>
        <v>1.01</v>
      </c>
      <c r="H724" s="6" t="str">
        <f t="shared" si="114"/>
        <v>INSERT INTO public.coupon (plancode, age, "year", couponrate, benefittype, benefitrate, premiumrate) VALUES('EN60', 40, 20, 8, 'A',800, 1.01);</v>
      </c>
      <c r="I724" s="6" t="str">
        <f t="shared" si="115"/>
        <v>{"age":"40", "year":"20", "couponrate":"8", "benefittype":"A", "benefitrate":"800", "premiumrate":"1.01"}</v>
      </c>
      <c r="J724" s="6" t="str">
        <f t="shared" si="116"/>
        <v>,</v>
      </c>
    </row>
    <row r="725" spans="1:10">
      <c r="A725" s="4" t="str">
        <f>'EN60'!A$3</f>
        <v>EN60</v>
      </c>
      <c r="B725" s="4">
        <f t="shared" si="117"/>
        <v>40</v>
      </c>
      <c r="C725" s="4">
        <f t="shared" si="118"/>
        <v>21</v>
      </c>
      <c r="D725" s="4">
        <f t="shared" si="112"/>
        <v>8</v>
      </c>
      <c r="E725" s="4" t="s">
        <v>27</v>
      </c>
      <c r="F725" s="4">
        <f t="shared" si="113"/>
        <v>800</v>
      </c>
      <c r="G725" s="5">
        <f t="shared" si="119"/>
        <v>1.01</v>
      </c>
      <c r="H725" s="6" t="str">
        <f t="shared" si="114"/>
        <v>INSERT INTO public.coupon (plancode, age, "year", couponrate, benefittype, benefitrate, premiumrate) VALUES('EN60', 40, 21, 8, 'A',800, 1.01);</v>
      </c>
      <c r="I725" s="6" t="str">
        <f t="shared" si="115"/>
        <v>{"age":"40", "year":"21", "couponrate":"8", "benefittype":"A", "benefitrate":"800", "premiumrate":"1.01"}</v>
      </c>
      <c r="J725" s="6" t="str">
        <f t="shared" si="116"/>
        <v>,</v>
      </c>
    </row>
    <row r="726" spans="1:10">
      <c r="A726" s="4" t="str">
        <f>'EN60'!A$3</f>
        <v>EN60</v>
      </c>
      <c r="B726" s="4">
        <f t="shared" si="117"/>
        <v>40</v>
      </c>
      <c r="C726" s="4">
        <f t="shared" si="118"/>
        <v>22</v>
      </c>
      <c r="D726" s="4">
        <f t="shared" si="112"/>
        <v>8</v>
      </c>
      <c r="E726" s="4" t="s">
        <v>27</v>
      </c>
      <c r="F726" s="4">
        <f t="shared" si="113"/>
        <v>800</v>
      </c>
      <c r="G726" s="5">
        <f t="shared" si="119"/>
        <v>1.01</v>
      </c>
      <c r="H726" s="6" t="str">
        <f t="shared" si="114"/>
        <v>INSERT INTO public.coupon (plancode, age, "year", couponrate, benefittype, benefitrate, premiumrate) VALUES('EN60', 40, 22, 8, 'A',800, 1.01);</v>
      </c>
      <c r="I726" s="6" t="str">
        <f t="shared" si="115"/>
        <v>{"age":"40", "year":"22", "couponrate":"8", "benefittype":"A", "benefitrate":"800", "premiumrate":"1.01"}</v>
      </c>
      <c r="J726" s="6" t="str">
        <f t="shared" si="116"/>
        <v>,</v>
      </c>
    </row>
    <row r="727" spans="1:10">
      <c r="A727" s="4" t="str">
        <f>'EN60'!A$3</f>
        <v>EN60</v>
      </c>
      <c r="B727" s="4">
        <f t="shared" si="117"/>
        <v>40</v>
      </c>
      <c r="C727" s="4">
        <f t="shared" si="118"/>
        <v>23</v>
      </c>
      <c r="D727" s="4">
        <f t="shared" si="112"/>
        <v>8</v>
      </c>
      <c r="E727" s="4" t="s">
        <v>27</v>
      </c>
      <c r="F727" s="4">
        <f t="shared" si="113"/>
        <v>800</v>
      </c>
      <c r="G727" s="5">
        <f t="shared" si="119"/>
        <v>1.01</v>
      </c>
      <c r="H727" s="6" t="str">
        <f t="shared" si="114"/>
        <v>INSERT INTO public.coupon (plancode, age, "year", couponrate, benefittype, benefitrate, premiumrate) VALUES('EN60', 40, 23, 8, 'A',800, 1.01);</v>
      </c>
      <c r="I727" s="6" t="str">
        <f t="shared" si="115"/>
        <v>{"age":"40", "year":"23", "couponrate":"8", "benefittype":"A", "benefitrate":"800", "premiumrate":"1.01"}</v>
      </c>
      <c r="J727" s="6" t="str">
        <f t="shared" si="116"/>
        <v>,</v>
      </c>
    </row>
    <row r="728" spans="1:10">
      <c r="A728" s="4" t="str">
        <f>'EN60'!A$3</f>
        <v>EN60</v>
      </c>
      <c r="B728" s="4">
        <f t="shared" si="117"/>
        <v>40</v>
      </c>
      <c r="C728" s="4">
        <f t="shared" si="118"/>
        <v>24</v>
      </c>
      <c r="D728" s="4">
        <f t="shared" si="112"/>
        <v>8</v>
      </c>
      <c r="E728" s="4" t="s">
        <v>27</v>
      </c>
      <c r="F728" s="4">
        <f t="shared" si="113"/>
        <v>800</v>
      </c>
      <c r="G728" s="5">
        <f t="shared" si="119"/>
        <v>1.01</v>
      </c>
      <c r="H728" s="6" t="str">
        <f t="shared" si="114"/>
        <v>INSERT INTO public.coupon (plancode, age, "year", couponrate, benefittype, benefitrate, premiumrate) VALUES('EN60', 40, 24, 8, 'A',800, 1.01);</v>
      </c>
      <c r="I728" s="6" t="str">
        <f t="shared" si="115"/>
        <v>{"age":"40", "year":"24", "couponrate":"8", "benefittype":"A", "benefitrate":"800", "premiumrate":"1.01"}</v>
      </c>
      <c r="J728" s="6" t="str">
        <f t="shared" si="116"/>
        <v>,</v>
      </c>
    </row>
    <row r="729" spans="1:10">
      <c r="A729" s="4" t="str">
        <f>'EN60'!A$3</f>
        <v>EN60</v>
      </c>
      <c r="B729" s="4">
        <f t="shared" si="117"/>
        <v>40</v>
      </c>
      <c r="C729" s="4">
        <f t="shared" si="118"/>
        <v>25</v>
      </c>
      <c r="D729" s="4">
        <f t="shared" si="112"/>
        <v>8</v>
      </c>
      <c r="E729" s="4" t="s">
        <v>27</v>
      </c>
      <c r="F729" s="4">
        <f t="shared" si="113"/>
        <v>800</v>
      </c>
      <c r="G729" s="5">
        <f t="shared" si="119"/>
        <v>1.01</v>
      </c>
      <c r="H729" s="6" t="str">
        <f t="shared" si="114"/>
        <v>INSERT INTO public.coupon (plancode, age, "year", couponrate, benefittype, benefitrate, premiumrate) VALUES('EN60', 40, 25, 8, 'A',800, 1.01);</v>
      </c>
      <c r="I729" s="6" t="str">
        <f t="shared" si="115"/>
        <v>{"age":"40", "year":"25", "couponrate":"8", "benefittype":"A", "benefitrate":"800", "premiumrate":"1.01"}</v>
      </c>
      <c r="J729" s="6" t="str">
        <f t="shared" si="116"/>
        <v>,</v>
      </c>
    </row>
    <row r="730" spans="1:10">
      <c r="A730" s="4" t="str">
        <f>'EN60'!A$3</f>
        <v>EN60</v>
      </c>
      <c r="B730" s="4">
        <f t="shared" si="117"/>
        <v>40</v>
      </c>
      <c r="C730" s="4">
        <f t="shared" si="118"/>
        <v>26</v>
      </c>
      <c r="D730" s="4">
        <f t="shared" si="112"/>
        <v>8</v>
      </c>
      <c r="E730" s="4" t="s">
        <v>27</v>
      </c>
      <c r="F730" s="4">
        <f t="shared" si="113"/>
        <v>800</v>
      </c>
      <c r="G730" s="5">
        <f t="shared" si="119"/>
        <v>1.01</v>
      </c>
      <c r="H730" s="6" t="str">
        <f t="shared" si="114"/>
        <v>INSERT INTO public.coupon (plancode, age, "year", couponrate, benefittype, benefitrate, premiumrate) VALUES('EN60', 40, 26, 8, 'A',800, 1.01);</v>
      </c>
      <c r="I730" s="6" t="str">
        <f t="shared" si="115"/>
        <v>{"age":"40", "year":"26", "couponrate":"8", "benefittype":"A", "benefitrate":"800", "premiumrate":"1.01"}</v>
      </c>
      <c r="J730" s="6" t="str">
        <f t="shared" si="116"/>
        <v>,</v>
      </c>
    </row>
    <row r="731" spans="1:10">
      <c r="A731" s="4" t="str">
        <f>'EN60'!A$3</f>
        <v>EN60</v>
      </c>
      <c r="B731" s="4">
        <f t="shared" si="117"/>
        <v>40</v>
      </c>
      <c r="C731" s="4">
        <f t="shared" si="118"/>
        <v>27</v>
      </c>
      <c r="D731" s="4">
        <f t="shared" si="112"/>
        <v>8</v>
      </c>
      <c r="E731" s="4" t="s">
        <v>27</v>
      </c>
      <c r="F731" s="4">
        <f t="shared" si="113"/>
        <v>800</v>
      </c>
      <c r="G731" s="5">
        <f t="shared" si="119"/>
        <v>1.01</v>
      </c>
      <c r="H731" s="6" t="str">
        <f t="shared" si="114"/>
        <v>INSERT INTO public.coupon (plancode, age, "year", couponrate, benefittype, benefitrate, premiumrate) VALUES('EN60', 40, 27, 8, 'A',800, 1.01);</v>
      </c>
      <c r="I731" s="6" t="str">
        <f t="shared" si="115"/>
        <v>{"age":"40", "year":"27", "couponrate":"8", "benefittype":"A", "benefitrate":"800", "premiumrate":"1.01"}</v>
      </c>
      <c r="J731" s="6" t="str">
        <f t="shared" si="116"/>
        <v>,</v>
      </c>
    </row>
    <row r="732" spans="1:10">
      <c r="A732" s="4" t="str">
        <f>'EN60'!A$3</f>
        <v>EN60</v>
      </c>
      <c r="B732" s="4">
        <f t="shared" si="117"/>
        <v>40</v>
      </c>
      <c r="C732" s="4">
        <f t="shared" si="118"/>
        <v>28</v>
      </c>
      <c r="D732" s="4">
        <f t="shared" si="112"/>
        <v>8</v>
      </c>
      <c r="E732" s="4" t="s">
        <v>27</v>
      </c>
      <c r="F732" s="4">
        <f t="shared" si="113"/>
        <v>800</v>
      </c>
      <c r="G732" s="5">
        <f t="shared" si="119"/>
        <v>1.01</v>
      </c>
      <c r="H732" s="6" t="str">
        <f t="shared" si="114"/>
        <v>INSERT INTO public.coupon (plancode, age, "year", couponrate, benefittype, benefitrate, premiumrate) VALUES('EN60', 40, 28, 8, 'A',800, 1.01);</v>
      </c>
      <c r="I732" s="6" t="str">
        <f t="shared" si="115"/>
        <v>{"age":"40", "year":"28", "couponrate":"8", "benefittype":"A", "benefitrate":"800", "premiumrate":"1.01"}</v>
      </c>
      <c r="J732" s="6" t="str">
        <f t="shared" si="116"/>
        <v>,</v>
      </c>
    </row>
    <row r="733" spans="1:10">
      <c r="A733" s="4" t="str">
        <f>'EN60'!A$3</f>
        <v>EN60</v>
      </c>
      <c r="B733" s="4">
        <f t="shared" si="117"/>
        <v>40</v>
      </c>
      <c r="C733" s="4">
        <f t="shared" si="118"/>
        <v>29</v>
      </c>
      <c r="D733" s="4">
        <f t="shared" si="112"/>
        <v>8</v>
      </c>
      <c r="E733" s="4" t="s">
        <v>27</v>
      </c>
      <c r="F733" s="4">
        <f t="shared" si="113"/>
        <v>800</v>
      </c>
      <c r="G733" s="5">
        <f t="shared" si="119"/>
        <v>1.01</v>
      </c>
      <c r="H733" s="6" t="str">
        <f t="shared" si="114"/>
        <v>INSERT INTO public.coupon (plancode, age, "year", couponrate, benefittype, benefitrate, premiumrate) VALUES('EN60', 40, 29, 8, 'A',800, 1.01);</v>
      </c>
      <c r="I733" s="6" t="str">
        <f t="shared" si="115"/>
        <v>{"age":"40", "year":"29", "couponrate":"8", "benefittype":"A", "benefitrate":"800", "premiumrate":"1.01"}</v>
      </c>
      <c r="J733" s="6" t="str">
        <f t="shared" si="116"/>
        <v>,</v>
      </c>
    </row>
    <row r="734" spans="1:10">
      <c r="A734" s="4" t="str">
        <f>'EN60'!A$3</f>
        <v>EN60</v>
      </c>
      <c r="B734" s="4">
        <f t="shared" si="117"/>
        <v>40</v>
      </c>
      <c r="C734" s="4">
        <f t="shared" si="118"/>
        <v>30</v>
      </c>
      <c r="D734" s="4">
        <f t="shared" si="112"/>
        <v>8</v>
      </c>
      <c r="E734" s="4" t="s">
        <v>27</v>
      </c>
      <c r="F734" s="4">
        <f t="shared" si="113"/>
        <v>800</v>
      </c>
      <c r="G734" s="5">
        <f t="shared" si="119"/>
        <v>1.01</v>
      </c>
      <c r="H734" s="6" t="str">
        <f t="shared" si="114"/>
        <v>INSERT INTO public.coupon (plancode, age, "year", couponrate, benefittype, benefitrate, premiumrate) VALUES('EN60', 40, 30, 8, 'A',800, 1.01);</v>
      </c>
      <c r="I734" s="6" t="str">
        <f t="shared" si="115"/>
        <v>{"age":"40", "year":"30", "couponrate":"8", "benefittype":"A", "benefitrate":"800", "premiumrate":"1.01"}</v>
      </c>
      <c r="J734" s="6" t="str">
        <f t="shared" si="116"/>
        <v>,</v>
      </c>
    </row>
    <row r="735" spans="1:10">
      <c r="A735" s="4" t="str">
        <f>'EN60'!A$3</f>
        <v>EN60</v>
      </c>
      <c r="B735" s="4">
        <f t="shared" si="117"/>
        <v>40</v>
      </c>
      <c r="C735" s="4">
        <f t="shared" si="118"/>
        <v>31</v>
      </c>
      <c r="D735" s="4">
        <f t="shared" si="112"/>
        <v>8</v>
      </c>
      <c r="E735" s="4" t="s">
        <v>27</v>
      </c>
      <c r="F735" s="4">
        <f t="shared" si="113"/>
        <v>800</v>
      </c>
      <c r="G735" s="5">
        <f t="shared" si="119"/>
        <v>1.01</v>
      </c>
      <c r="H735" s="6" t="str">
        <f t="shared" si="114"/>
        <v>INSERT INTO public.coupon (plancode, age, "year", couponrate, benefittype, benefitrate, premiumrate) VALUES('EN60', 40, 31, 8, 'A',800, 1.01);</v>
      </c>
      <c r="I735" s="6" t="str">
        <f t="shared" si="115"/>
        <v>{"age":"40", "year":"31", "couponrate":"8", "benefittype":"A", "benefitrate":"800", "premiumrate":"1.01"}</v>
      </c>
      <c r="J735" s="6" t="str">
        <f t="shared" si="116"/>
        <v>,</v>
      </c>
    </row>
    <row r="736" spans="1:10">
      <c r="A736" s="4" t="str">
        <f>'EN60'!A$3</f>
        <v>EN60</v>
      </c>
      <c r="B736" s="4">
        <f t="shared" si="117"/>
        <v>40</v>
      </c>
      <c r="C736" s="4">
        <f t="shared" si="118"/>
        <v>32</v>
      </c>
      <c r="D736" s="4">
        <f t="shared" si="112"/>
        <v>8</v>
      </c>
      <c r="E736" s="4" t="s">
        <v>27</v>
      </c>
      <c r="F736" s="4">
        <f t="shared" si="113"/>
        <v>800</v>
      </c>
      <c r="G736" s="5">
        <f t="shared" si="119"/>
        <v>1.01</v>
      </c>
      <c r="H736" s="6" t="str">
        <f t="shared" si="114"/>
        <v>INSERT INTO public.coupon (plancode, age, "year", couponrate, benefittype, benefitrate, premiumrate) VALUES('EN60', 40, 32, 8, 'A',800, 1.01);</v>
      </c>
      <c r="I736" s="6" t="str">
        <f t="shared" si="115"/>
        <v>{"age":"40", "year":"32", "couponrate":"8", "benefittype":"A", "benefitrate":"800", "premiumrate":"1.01"}</v>
      </c>
      <c r="J736" s="6" t="str">
        <f t="shared" si="116"/>
        <v>,</v>
      </c>
    </row>
    <row r="737" spans="1:10">
      <c r="A737" s="4" t="str">
        <f>'EN60'!A$3</f>
        <v>EN60</v>
      </c>
      <c r="B737" s="4">
        <f t="shared" si="117"/>
        <v>40</v>
      </c>
      <c r="C737" s="4">
        <f t="shared" si="118"/>
        <v>33</v>
      </c>
      <c r="D737" s="4">
        <f t="shared" si="112"/>
        <v>8</v>
      </c>
      <c r="E737" s="4" t="s">
        <v>27</v>
      </c>
      <c r="F737" s="4">
        <f t="shared" si="113"/>
        <v>800</v>
      </c>
      <c r="G737" s="5">
        <f t="shared" si="119"/>
        <v>1.01</v>
      </c>
      <c r="H737" s="6" t="str">
        <f t="shared" si="114"/>
        <v>INSERT INTO public.coupon (plancode, age, "year", couponrate, benefittype, benefitrate, premiumrate) VALUES('EN60', 40, 33, 8, 'A',800, 1.01);</v>
      </c>
      <c r="I737" s="6" t="str">
        <f t="shared" si="115"/>
        <v>{"age":"40", "year":"33", "couponrate":"8", "benefittype":"A", "benefitrate":"800", "premiumrate":"1.01"}</v>
      </c>
      <c r="J737" s="6" t="str">
        <f t="shared" si="116"/>
        <v>,</v>
      </c>
    </row>
    <row r="738" spans="1:10">
      <c r="A738" s="4" t="str">
        <f>'EN60'!A$3</f>
        <v>EN60</v>
      </c>
      <c r="B738" s="4">
        <f t="shared" si="117"/>
        <v>40</v>
      </c>
      <c r="C738" s="4">
        <f t="shared" si="118"/>
        <v>34</v>
      </c>
      <c r="D738" s="4">
        <f t="shared" si="112"/>
        <v>8</v>
      </c>
      <c r="E738" s="4" t="s">
        <v>27</v>
      </c>
      <c r="F738" s="4">
        <f t="shared" si="113"/>
        <v>800</v>
      </c>
      <c r="G738" s="5">
        <f t="shared" si="119"/>
        <v>1.01</v>
      </c>
      <c r="H738" s="6" t="str">
        <f t="shared" si="114"/>
        <v>INSERT INTO public.coupon (plancode, age, "year", couponrate, benefittype, benefitrate, premiumrate) VALUES('EN60', 40, 34, 8, 'A',800, 1.01);</v>
      </c>
      <c r="I738" s="6" t="str">
        <f t="shared" si="115"/>
        <v>{"age":"40", "year":"34", "couponrate":"8", "benefittype":"A", "benefitrate":"800", "premiumrate":"1.01"}</v>
      </c>
      <c r="J738" s="6" t="str">
        <f t="shared" si="116"/>
        <v>,</v>
      </c>
    </row>
    <row r="739" spans="1:10">
      <c r="A739" s="4" t="str">
        <f>'EN60'!A$3</f>
        <v>EN60</v>
      </c>
      <c r="B739" s="4">
        <f t="shared" si="117"/>
        <v>40</v>
      </c>
      <c r="C739" s="4">
        <f t="shared" si="118"/>
        <v>35</v>
      </c>
      <c r="D739" s="4">
        <f t="shared" si="112"/>
        <v>8</v>
      </c>
      <c r="E739" s="4" t="s">
        <v>27</v>
      </c>
      <c r="F739" s="4">
        <f t="shared" si="113"/>
        <v>800</v>
      </c>
      <c r="G739" s="5">
        <f t="shared" si="119"/>
        <v>1.01</v>
      </c>
      <c r="H739" s="6" t="str">
        <f t="shared" si="114"/>
        <v>INSERT INTO public.coupon (plancode, age, "year", couponrate, benefittype, benefitrate, premiumrate) VALUES('EN60', 40, 35, 8, 'A',800, 1.01);</v>
      </c>
      <c r="I739" s="6" t="str">
        <f t="shared" si="115"/>
        <v>{"age":"40", "year":"35", "couponrate":"8", "benefittype":"A", "benefitrate":"800", "premiumrate":"1.01"}</v>
      </c>
      <c r="J739" s="6" t="str">
        <f t="shared" si="116"/>
        <v>,</v>
      </c>
    </row>
    <row r="740" spans="1:10">
      <c r="A740" s="4" t="str">
        <f>'EN60'!A$3</f>
        <v>EN60</v>
      </c>
      <c r="B740" s="4">
        <f t="shared" si="117"/>
        <v>40</v>
      </c>
      <c r="C740" s="4">
        <f t="shared" si="118"/>
        <v>36</v>
      </c>
      <c r="D740" s="4">
        <f t="shared" si="112"/>
        <v>8</v>
      </c>
      <c r="E740" s="4" t="s">
        <v>27</v>
      </c>
      <c r="F740" s="4">
        <f t="shared" si="113"/>
        <v>800</v>
      </c>
      <c r="G740" s="5">
        <f t="shared" si="119"/>
        <v>1.01</v>
      </c>
      <c r="H740" s="6" t="str">
        <f t="shared" si="114"/>
        <v>INSERT INTO public.coupon (plancode, age, "year", couponrate, benefittype, benefitrate, premiumrate) VALUES('EN60', 40, 36, 8, 'A',800, 1.01);</v>
      </c>
      <c r="I740" s="6" t="str">
        <f t="shared" si="115"/>
        <v>{"age":"40", "year":"36", "couponrate":"8", "benefittype":"A", "benefitrate":"800", "premiumrate":"1.01"}</v>
      </c>
      <c r="J740" s="6" t="str">
        <f t="shared" si="116"/>
        <v>,</v>
      </c>
    </row>
    <row r="741" spans="1:10">
      <c r="A741" s="4" t="str">
        <f>'EN60'!A$3</f>
        <v>EN60</v>
      </c>
      <c r="B741" s="4">
        <f t="shared" si="117"/>
        <v>40</v>
      </c>
      <c r="C741" s="4">
        <f t="shared" si="118"/>
        <v>37</v>
      </c>
      <c r="D741" s="4">
        <f t="shared" si="112"/>
        <v>8</v>
      </c>
      <c r="E741" s="4" t="s">
        <v>27</v>
      </c>
      <c r="F741" s="4">
        <f t="shared" si="113"/>
        <v>800</v>
      </c>
      <c r="G741" s="5">
        <f t="shared" si="119"/>
        <v>1.01</v>
      </c>
      <c r="H741" s="6" t="str">
        <f t="shared" si="114"/>
        <v>INSERT INTO public.coupon (plancode, age, "year", couponrate, benefittype, benefitrate, premiumrate) VALUES('EN60', 40, 37, 8, 'A',800, 1.01);</v>
      </c>
      <c r="I741" s="6" t="str">
        <f t="shared" si="115"/>
        <v>{"age":"40", "year":"37", "couponrate":"8", "benefittype":"A", "benefitrate":"800", "premiumrate":"1.01"}</v>
      </c>
      <c r="J741" s="6" t="str">
        <f t="shared" si="116"/>
        <v>,</v>
      </c>
    </row>
    <row r="742" spans="1:10">
      <c r="A742" s="4" t="str">
        <f>'EN60'!A$3</f>
        <v>EN60</v>
      </c>
      <c r="B742" s="4">
        <f t="shared" si="117"/>
        <v>40</v>
      </c>
      <c r="C742" s="4">
        <f t="shared" si="118"/>
        <v>38</v>
      </c>
      <c r="D742" s="4">
        <f t="shared" si="112"/>
        <v>8</v>
      </c>
      <c r="E742" s="4" t="s">
        <v>27</v>
      </c>
      <c r="F742" s="4">
        <f t="shared" si="113"/>
        <v>800</v>
      </c>
      <c r="G742" s="5">
        <f t="shared" si="119"/>
        <v>1.01</v>
      </c>
      <c r="H742" s="6" t="str">
        <f t="shared" si="114"/>
        <v>INSERT INTO public.coupon (plancode, age, "year", couponrate, benefittype, benefitrate, premiumrate) VALUES('EN60', 40, 38, 8, 'A',800, 1.01);</v>
      </c>
      <c r="I742" s="6" t="str">
        <f t="shared" si="115"/>
        <v>{"age":"40", "year":"38", "couponrate":"8", "benefittype":"A", "benefitrate":"800", "premiumrate":"1.01"}</v>
      </c>
      <c r="J742" s="6" t="str">
        <f t="shared" si="116"/>
        <v>,</v>
      </c>
    </row>
    <row r="743" spans="1:10">
      <c r="A743" s="4" t="str">
        <f>'EN60'!A$3</f>
        <v>EN60</v>
      </c>
      <c r="B743" s="4">
        <f t="shared" si="117"/>
        <v>40</v>
      </c>
      <c r="C743" s="4">
        <f t="shared" si="118"/>
        <v>39</v>
      </c>
      <c r="D743" s="4">
        <f t="shared" si="112"/>
        <v>8</v>
      </c>
      <c r="E743" s="4" t="s">
        <v>27</v>
      </c>
      <c r="F743" s="4">
        <f t="shared" si="113"/>
        <v>800</v>
      </c>
      <c r="G743" s="5">
        <f t="shared" si="119"/>
        <v>1.01</v>
      </c>
      <c r="H743" s="6" t="str">
        <f t="shared" si="114"/>
        <v>INSERT INTO public.coupon (plancode, age, "year", couponrate, benefittype, benefitrate, premiumrate) VALUES('EN60', 40, 39, 8, 'A',800, 1.01);</v>
      </c>
      <c r="I743" s="6" t="str">
        <f t="shared" si="115"/>
        <v>{"age":"40", "year":"39", "couponrate":"8", "benefittype":"A", "benefitrate":"800", "premiumrate":"1.01"}</v>
      </c>
      <c r="J743" s="6" t="str">
        <f t="shared" si="116"/>
        <v>,</v>
      </c>
    </row>
    <row r="744" spans="1:10">
      <c r="A744" s="4" t="str">
        <f>'EN60'!A$3</f>
        <v>EN60</v>
      </c>
      <c r="B744" s="4">
        <f t="shared" si="117"/>
        <v>40</v>
      </c>
      <c r="C744" s="4">
        <f t="shared" si="118"/>
        <v>40</v>
      </c>
      <c r="D744" s="4">
        <f t="shared" si="112"/>
        <v>0</v>
      </c>
      <c r="E744" s="4" t="s">
        <v>27</v>
      </c>
      <c r="F744" s="4">
        <f t="shared" si="113"/>
        <v>800</v>
      </c>
      <c r="G744" s="5">
        <f t="shared" si="119"/>
        <v>1.01</v>
      </c>
      <c r="H744" s="6" t="str">
        <f t="shared" si="114"/>
        <v>INSERT INTO public.coupon (plancode, age, "year", couponrate, benefittype, benefitrate, premiumrate) VALUES('EN60', 40, 40, 0, 'A',800, 1.01);</v>
      </c>
      <c r="I744" s="6" t="str">
        <f t="shared" si="115"/>
        <v>{"age":"40", "year":"40", "couponrate":"0", "benefittype":"A", "benefitrate":"800", "premiumrate":"1.01"}</v>
      </c>
    </row>
    <row r="745" spans="1:10">
      <c r="C745" s="6"/>
      <c r="I745" s="6" t="s">
        <v>28</v>
      </c>
    </row>
    <row r="746" spans="1:10">
      <c r="A746" s="3" t="s">
        <v>2</v>
      </c>
      <c r="B746" s="3" t="s">
        <v>23</v>
      </c>
      <c r="C746" s="3" t="s">
        <v>24</v>
      </c>
      <c r="D746" s="3" t="s">
        <v>25</v>
      </c>
      <c r="E746" s="3" t="s">
        <v>8</v>
      </c>
      <c r="F746" s="3" t="s">
        <v>26</v>
      </c>
      <c r="G746" s="3" t="s">
        <v>4</v>
      </c>
      <c r="I746" s="6" t="str">
        <f>"[{""plancode"":"""&amp;A747&amp;""",""returncash"":"""&amp;B$7&amp;""",""ytable"":"""&amp;C$7&amp;""",""maturerate"":"""&amp;B$3&amp;""",""maturepmrate"":"""&amp;C$3&amp;""",""coupon"":["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747" spans="1:10">
      <c r="A747" s="4" t="str">
        <f>'EN60'!A$3</f>
        <v>EN60</v>
      </c>
      <c r="B747" s="8">
        <v>41</v>
      </c>
      <c r="C747" s="4">
        <v>1</v>
      </c>
      <c r="D747" s="4">
        <f t="shared" ref="D747:D785" si="120">IF(C747+B747=80,0,8)</f>
        <v>8</v>
      </c>
      <c r="E747" s="4" t="s">
        <v>27</v>
      </c>
      <c r="F747" s="4">
        <f t="shared" ref="F747:F785" si="121">IF(C747&gt;7, 800, C747*100)</f>
        <v>100</v>
      </c>
      <c r="G747" s="5">
        <f>'EN60'!C$3</f>
        <v>1.01</v>
      </c>
      <c r="H747" s="6" t="str">
        <f t="shared" ref="H747:H785" si="122">"INSERT INTO public.coupon ("&amp;A$11&amp;", "&amp;B$11&amp;", """&amp;C$11&amp;""", "&amp;D$11&amp;", "&amp;E$11&amp;", "&amp;F$11&amp;", "&amp;G$11&amp;") VALUES('"&amp;A747&amp;"', "&amp;B747&amp;", "&amp;C747&amp;", "&amp;D747&amp;", '"&amp;E747&amp;"',"&amp;F747&amp;", "&amp;G747&amp;");"</f>
        <v>INSERT INTO public.coupon (plancode, age, "year", couponrate, benefittype, benefitrate, premiumrate) VALUES('EN60', 41, 1, 8, 'A',100, 1.01);</v>
      </c>
      <c r="I747" s="6" t="str">
        <f t="shared" ref="I747:I785" si="123">"{""age"":"""&amp;B747&amp;""", ""year"":"""&amp;C747&amp;""", ""couponrate"":"""&amp;D747&amp;""", ""benefittype"":"""&amp;E747&amp;""", ""benefitrate"":"""&amp;F747&amp;""", """&amp;G$11&amp;""":"""&amp;G747&amp;"""}"</f>
        <v>{"age":"41", "year":"1", "couponrate":"8", "benefittype":"A", "benefitrate":"100", "premiumrate":"1.01"}</v>
      </c>
      <c r="J747" s="6" t="str">
        <f t="shared" ref="J747:J784" si="124">IF(OR(I748="]", I747="[", I747="]"), "", ",")</f>
        <v>,</v>
      </c>
    </row>
    <row r="748" spans="1:10">
      <c r="A748" s="4" t="str">
        <f>'EN60'!A$3</f>
        <v>EN60</v>
      </c>
      <c r="B748" s="4">
        <f t="shared" ref="B748:B785" si="125">B747</f>
        <v>41</v>
      </c>
      <c r="C748" s="4">
        <f t="shared" ref="C748:C785" si="126">IF(B748+C747+1&gt;80,"",C747+1)</f>
        <v>2</v>
      </c>
      <c r="D748" s="4">
        <f t="shared" si="120"/>
        <v>8</v>
      </c>
      <c r="E748" s="4" t="s">
        <v>27</v>
      </c>
      <c r="F748" s="4">
        <f t="shared" si="121"/>
        <v>200</v>
      </c>
      <c r="G748" s="5">
        <f t="shared" ref="G748:G785" si="127">G747</f>
        <v>1.01</v>
      </c>
      <c r="H748" s="6" t="str">
        <f t="shared" si="122"/>
        <v>INSERT INTO public.coupon (plancode, age, "year", couponrate, benefittype, benefitrate, premiumrate) VALUES('EN60', 41, 2, 8, 'A',200, 1.01);</v>
      </c>
      <c r="I748" s="6" t="str">
        <f t="shared" si="123"/>
        <v>{"age":"41", "year":"2", "couponrate":"8", "benefittype":"A", "benefitrate":"200", "premiumrate":"1.01"}</v>
      </c>
      <c r="J748" s="6" t="str">
        <f t="shared" si="124"/>
        <v>,</v>
      </c>
    </row>
    <row r="749" spans="1:10">
      <c r="A749" s="4" t="str">
        <f>'EN60'!A$3</f>
        <v>EN60</v>
      </c>
      <c r="B749" s="4">
        <f t="shared" si="125"/>
        <v>41</v>
      </c>
      <c r="C749" s="4">
        <f t="shared" si="126"/>
        <v>3</v>
      </c>
      <c r="D749" s="4">
        <f t="shared" si="120"/>
        <v>8</v>
      </c>
      <c r="E749" s="4" t="s">
        <v>27</v>
      </c>
      <c r="F749" s="4">
        <f t="shared" si="121"/>
        <v>300</v>
      </c>
      <c r="G749" s="5">
        <f t="shared" si="127"/>
        <v>1.01</v>
      </c>
      <c r="H749" s="6" t="str">
        <f t="shared" si="122"/>
        <v>INSERT INTO public.coupon (plancode, age, "year", couponrate, benefittype, benefitrate, premiumrate) VALUES('EN60', 41, 3, 8, 'A',300, 1.01);</v>
      </c>
      <c r="I749" s="6" t="str">
        <f t="shared" si="123"/>
        <v>{"age":"41", "year":"3", "couponrate":"8", "benefittype":"A", "benefitrate":"300", "premiumrate":"1.01"}</v>
      </c>
      <c r="J749" s="6" t="str">
        <f t="shared" si="124"/>
        <v>,</v>
      </c>
    </row>
    <row r="750" spans="1:10">
      <c r="A750" s="4" t="str">
        <f>'EN60'!A$3</f>
        <v>EN60</v>
      </c>
      <c r="B750" s="4">
        <f t="shared" si="125"/>
        <v>41</v>
      </c>
      <c r="C750" s="4">
        <f t="shared" si="126"/>
        <v>4</v>
      </c>
      <c r="D750" s="4">
        <f t="shared" si="120"/>
        <v>8</v>
      </c>
      <c r="E750" s="4" t="s">
        <v>27</v>
      </c>
      <c r="F750" s="4">
        <f t="shared" si="121"/>
        <v>400</v>
      </c>
      <c r="G750" s="5">
        <f t="shared" si="127"/>
        <v>1.01</v>
      </c>
      <c r="H750" s="6" t="str">
        <f t="shared" si="122"/>
        <v>INSERT INTO public.coupon (plancode, age, "year", couponrate, benefittype, benefitrate, premiumrate) VALUES('EN60', 41, 4, 8, 'A',400, 1.01);</v>
      </c>
      <c r="I750" s="6" t="str">
        <f t="shared" si="123"/>
        <v>{"age":"41", "year":"4", "couponrate":"8", "benefittype":"A", "benefitrate":"400", "premiumrate":"1.01"}</v>
      </c>
      <c r="J750" s="6" t="str">
        <f t="shared" si="124"/>
        <v>,</v>
      </c>
    </row>
    <row r="751" spans="1:10">
      <c r="A751" s="4" t="str">
        <f>'EN60'!A$3</f>
        <v>EN60</v>
      </c>
      <c r="B751" s="4">
        <f t="shared" si="125"/>
        <v>41</v>
      </c>
      <c r="C751" s="4">
        <f t="shared" si="126"/>
        <v>5</v>
      </c>
      <c r="D751" s="4">
        <f t="shared" si="120"/>
        <v>8</v>
      </c>
      <c r="E751" s="4" t="s">
        <v>27</v>
      </c>
      <c r="F751" s="4">
        <f t="shared" si="121"/>
        <v>500</v>
      </c>
      <c r="G751" s="5">
        <f t="shared" si="127"/>
        <v>1.01</v>
      </c>
      <c r="H751" s="6" t="str">
        <f t="shared" si="122"/>
        <v>INSERT INTO public.coupon (plancode, age, "year", couponrate, benefittype, benefitrate, premiumrate) VALUES('EN60', 41, 5, 8, 'A',500, 1.01);</v>
      </c>
      <c r="I751" s="6" t="str">
        <f t="shared" si="123"/>
        <v>{"age":"41", "year":"5", "couponrate":"8", "benefittype":"A", "benefitrate":"500", "premiumrate":"1.01"}</v>
      </c>
      <c r="J751" s="6" t="str">
        <f t="shared" si="124"/>
        <v>,</v>
      </c>
    </row>
    <row r="752" spans="1:10">
      <c r="A752" s="4" t="str">
        <f>'EN60'!A$3</f>
        <v>EN60</v>
      </c>
      <c r="B752" s="4">
        <f t="shared" si="125"/>
        <v>41</v>
      </c>
      <c r="C752" s="4">
        <f t="shared" si="126"/>
        <v>6</v>
      </c>
      <c r="D752" s="4">
        <f t="shared" si="120"/>
        <v>8</v>
      </c>
      <c r="E752" s="4" t="s">
        <v>27</v>
      </c>
      <c r="F752" s="4">
        <f t="shared" si="121"/>
        <v>600</v>
      </c>
      <c r="G752" s="5">
        <f t="shared" si="127"/>
        <v>1.01</v>
      </c>
      <c r="H752" s="6" t="str">
        <f t="shared" si="122"/>
        <v>INSERT INTO public.coupon (plancode, age, "year", couponrate, benefittype, benefitrate, premiumrate) VALUES('EN60', 41, 6, 8, 'A',600, 1.01);</v>
      </c>
      <c r="I752" s="6" t="str">
        <f t="shared" si="123"/>
        <v>{"age":"41", "year":"6", "couponrate":"8", "benefittype":"A", "benefitrate":"600", "premiumrate":"1.01"}</v>
      </c>
      <c r="J752" s="6" t="str">
        <f t="shared" si="124"/>
        <v>,</v>
      </c>
    </row>
    <row r="753" spans="1:10">
      <c r="A753" s="4" t="str">
        <f>'EN60'!A$3</f>
        <v>EN60</v>
      </c>
      <c r="B753" s="4">
        <f t="shared" si="125"/>
        <v>41</v>
      </c>
      <c r="C753" s="4">
        <f t="shared" si="126"/>
        <v>7</v>
      </c>
      <c r="D753" s="4">
        <f t="shared" si="120"/>
        <v>8</v>
      </c>
      <c r="E753" s="4" t="s">
        <v>27</v>
      </c>
      <c r="F753" s="4">
        <f t="shared" si="121"/>
        <v>700</v>
      </c>
      <c r="G753" s="5">
        <f t="shared" si="127"/>
        <v>1.01</v>
      </c>
      <c r="H753" s="6" t="str">
        <f t="shared" si="122"/>
        <v>INSERT INTO public.coupon (plancode, age, "year", couponrate, benefittype, benefitrate, premiumrate) VALUES('EN60', 41, 7, 8, 'A',700, 1.01);</v>
      </c>
      <c r="I753" s="6" t="str">
        <f t="shared" si="123"/>
        <v>{"age":"41", "year":"7", "couponrate":"8", "benefittype":"A", "benefitrate":"700", "premiumrate":"1.01"}</v>
      </c>
      <c r="J753" s="6" t="str">
        <f t="shared" si="124"/>
        <v>,</v>
      </c>
    </row>
    <row r="754" spans="1:10">
      <c r="A754" s="4" t="str">
        <f>'EN60'!A$3</f>
        <v>EN60</v>
      </c>
      <c r="B754" s="4">
        <f t="shared" si="125"/>
        <v>41</v>
      </c>
      <c r="C754" s="4">
        <f t="shared" si="126"/>
        <v>8</v>
      </c>
      <c r="D754" s="4">
        <f t="shared" si="120"/>
        <v>8</v>
      </c>
      <c r="E754" s="4" t="s">
        <v>27</v>
      </c>
      <c r="F754" s="4">
        <f t="shared" si="121"/>
        <v>800</v>
      </c>
      <c r="G754" s="5">
        <f t="shared" si="127"/>
        <v>1.01</v>
      </c>
      <c r="H754" s="6" t="str">
        <f t="shared" si="122"/>
        <v>INSERT INTO public.coupon (plancode, age, "year", couponrate, benefittype, benefitrate, premiumrate) VALUES('EN60', 41, 8, 8, 'A',800, 1.01);</v>
      </c>
      <c r="I754" s="6" t="str">
        <f t="shared" si="123"/>
        <v>{"age":"41", "year":"8", "couponrate":"8", "benefittype":"A", "benefitrate":"800", "premiumrate":"1.01"}</v>
      </c>
      <c r="J754" s="6" t="str">
        <f t="shared" si="124"/>
        <v>,</v>
      </c>
    </row>
    <row r="755" spans="1:10">
      <c r="A755" s="4" t="str">
        <f>'EN60'!A$3</f>
        <v>EN60</v>
      </c>
      <c r="B755" s="4">
        <f t="shared" si="125"/>
        <v>41</v>
      </c>
      <c r="C755" s="4">
        <f t="shared" si="126"/>
        <v>9</v>
      </c>
      <c r="D755" s="4">
        <f t="shared" si="120"/>
        <v>8</v>
      </c>
      <c r="E755" s="4" t="s">
        <v>27</v>
      </c>
      <c r="F755" s="4">
        <f t="shared" si="121"/>
        <v>800</v>
      </c>
      <c r="G755" s="5">
        <f t="shared" si="127"/>
        <v>1.01</v>
      </c>
      <c r="H755" s="6" t="str">
        <f t="shared" si="122"/>
        <v>INSERT INTO public.coupon (plancode, age, "year", couponrate, benefittype, benefitrate, premiumrate) VALUES('EN60', 41, 9, 8, 'A',800, 1.01);</v>
      </c>
      <c r="I755" s="6" t="str">
        <f t="shared" si="123"/>
        <v>{"age":"41", "year":"9", "couponrate":"8", "benefittype":"A", "benefitrate":"800", "premiumrate":"1.01"}</v>
      </c>
      <c r="J755" s="6" t="str">
        <f t="shared" si="124"/>
        <v>,</v>
      </c>
    </row>
    <row r="756" spans="1:10">
      <c r="A756" s="4" t="str">
        <f>'EN60'!A$3</f>
        <v>EN60</v>
      </c>
      <c r="B756" s="4">
        <f t="shared" si="125"/>
        <v>41</v>
      </c>
      <c r="C756" s="4">
        <f t="shared" si="126"/>
        <v>10</v>
      </c>
      <c r="D756" s="4">
        <f t="shared" si="120"/>
        <v>8</v>
      </c>
      <c r="E756" s="4" t="s">
        <v>27</v>
      </c>
      <c r="F756" s="4">
        <f t="shared" si="121"/>
        <v>800</v>
      </c>
      <c r="G756" s="5">
        <f t="shared" si="127"/>
        <v>1.01</v>
      </c>
      <c r="H756" s="6" t="str">
        <f t="shared" si="122"/>
        <v>INSERT INTO public.coupon (plancode, age, "year", couponrate, benefittype, benefitrate, premiumrate) VALUES('EN60', 41, 10, 8, 'A',800, 1.01);</v>
      </c>
      <c r="I756" s="6" t="str">
        <f t="shared" si="123"/>
        <v>{"age":"41", "year":"10", "couponrate":"8", "benefittype":"A", "benefitrate":"800", "premiumrate":"1.01"}</v>
      </c>
      <c r="J756" s="6" t="str">
        <f t="shared" si="124"/>
        <v>,</v>
      </c>
    </row>
    <row r="757" spans="1:10">
      <c r="A757" s="4" t="str">
        <f>'EN60'!A$3</f>
        <v>EN60</v>
      </c>
      <c r="B757" s="4">
        <f t="shared" si="125"/>
        <v>41</v>
      </c>
      <c r="C757" s="4">
        <f t="shared" si="126"/>
        <v>11</v>
      </c>
      <c r="D757" s="4">
        <f t="shared" si="120"/>
        <v>8</v>
      </c>
      <c r="E757" s="4" t="s">
        <v>27</v>
      </c>
      <c r="F757" s="4">
        <f t="shared" si="121"/>
        <v>800</v>
      </c>
      <c r="G757" s="5">
        <f t="shared" si="127"/>
        <v>1.01</v>
      </c>
      <c r="H757" s="6" t="str">
        <f t="shared" si="122"/>
        <v>INSERT INTO public.coupon (plancode, age, "year", couponrate, benefittype, benefitrate, premiumrate) VALUES('EN60', 41, 11, 8, 'A',800, 1.01);</v>
      </c>
      <c r="I757" s="6" t="str">
        <f t="shared" si="123"/>
        <v>{"age":"41", "year":"11", "couponrate":"8", "benefittype":"A", "benefitrate":"800", "premiumrate":"1.01"}</v>
      </c>
      <c r="J757" s="6" t="str">
        <f t="shared" si="124"/>
        <v>,</v>
      </c>
    </row>
    <row r="758" spans="1:10">
      <c r="A758" s="4" t="str">
        <f>'EN60'!A$3</f>
        <v>EN60</v>
      </c>
      <c r="B758" s="4">
        <f t="shared" si="125"/>
        <v>41</v>
      </c>
      <c r="C758" s="4">
        <f t="shared" si="126"/>
        <v>12</v>
      </c>
      <c r="D758" s="4">
        <f t="shared" si="120"/>
        <v>8</v>
      </c>
      <c r="E758" s="4" t="s">
        <v>27</v>
      </c>
      <c r="F758" s="4">
        <f t="shared" si="121"/>
        <v>800</v>
      </c>
      <c r="G758" s="5">
        <f t="shared" si="127"/>
        <v>1.01</v>
      </c>
      <c r="H758" s="6" t="str">
        <f t="shared" si="122"/>
        <v>INSERT INTO public.coupon (plancode, age, "year", couponrate, benefittype, benefitrate, premiumrate) VALUES('EN60', 41, 12, 8, 'A',800, 1.01);</v>
      </c>
      <c r="I758" s="6" t="str">
        <f t="shared" si="123"/>
        <v>{"age":"41", "year":"12", "couponrate":"8", "benefittype":"A", "benefitrate":"800", "premiumrate":"1.01"}</v>
      </c>
      <c r="J758" s="6" t="str">
        <f t="shared" si="124"/>
        <v>,</v>
      </c>
    </row>
    <row r="759" spans="1:10">
      <c r="A759" s="4" t="str">
        <f>'EN60'!A$3</f>
        <v>EN60</v>
      </c>
      <c r="B759" s="4">
        <f t="shared" si="125"/>
        <v>41</v>
      </c>
      <c r="C759" s="4">
        <f t="shared" si="126"/>
        <v>13</v>
      </c>
      <c r="D759" s="4">
        <f t="shared" si="120"/>
        <v>8</v>
      </c>
      <c r="E759" s="4" t="s">
        <v>27</v>
      </c>
      <c r="F759" s="4">
        <f t="shared" si="121"/>
        <v>800</v>
      </c>
      <c r="G759" s="5">
        <f t="shared" si="127"/>
        <v>1.01</v>
      </c>
      <c r="H759" s="6" t="str">
        <f t="shared" si="122"/>
        <v>INSERT INTO public.coupon (plancode, age, "year", couponrate, benefittype, benefitrate, premiumrate) VALUES('EN60', 41, 13, 8, 'A',800, 1.01);</v>
      </c>
      <c r="I759" s="6" t="str">
        <f t="shared" si="123"/>
        <v>{"age":"41", "year":"13", "couponrate":"8", "benefittype":"A", "benefitrate":"800", "premiumrate":"1.01"}</v>
      </c>
      <c r="J759" s="6" t="str">
        <f t="shared" si="124"/>
        <v>,</v>
      </c>
    </row>
    <row r="760" spans="1:10">
      <c r="A760" s="4" t="str">
        <f>'EN60'!A$3</f>
        <v>EN60</v>
      </c>
      <c r="B760" s="4">
        <f t="shared" si="125"/>
        <v>41</v>
      </c>
      <c r="C760" s="4">
        <f t="shared" si="126"/>
        <v>14</v>
      </c>
      <c r="D760" s="4">
        <f t="shared" si="120"/>
        <v>8</v>
      </c>
      <c r="E760" s="4" t="s">
        <v>27</v>
      </c>
      <c r="F760" s="4">
        <f t="shared" si="121"/>
        <v>800</v>
      </c>
      <c r="G760" s="5">
        <f t="shared" si="127"/>
        <v>1.01</v>
      </c>
      <c r="H760" s="6" t="str">
        <f t="shared" si="122"/>
        <v>INSERT INTO public.coupon (plancode, age, "year", couponrate, benefittype, benefitrate, premiumrate) VALUES('EN60', 41, 14, 8, 'A',800, 1.01);</v>
      </c>
      <c r="I760" s="6" t="str">
        <f t="shared" si="123"/>
        <v>{"age":"41", "year":"14", "couponrate":"8", "benefittype":"A", "benefitrate":"800", "premiumrate":"1.01"}</v>
      </c>
      <c r="J760" s="6" t="str">
        <f t="shared" si="124"/>
        <v>,</v>
      </c>
    </row>
    <row r="761" spans="1:10">
      <c r="A761" s="4" t="str">
        <f>'EN60'!A$3</f>
        <v>EN60</v>
      </c>
      <c r="B761" s="4">
        <f t="shared" si="125"/>
        <v>41</v>
      </c>
      <c r="C761" s="4">
        <f t="shared" si="126"/>
        <v>15</v>
      </c>
      <c r="D761" s="4">
        <f t="shared" si="120"/>
        <v>8</v>
      </c>
      <c r="E761" s="4" t="s">
        <v>27</v>
      </c>
      <c r="F761" s="4">
        <f t="shared" si="121"/>
        <v>800</v>
      </c>
      <c r="G761" s="5">
        <f t="shared" si="127"/>
        <v>1.01</v>
      </c>
      <c r="H761" s="6" t="str">
        <f t="shared" si="122"/>
        <v>INSERT INTO public.coupon (plancode, age, "year", couponrate, benefittype, benefitrate, premiumrate) VALUES('EN60', 41, 15, 8, 'A',800, 1.01);</v>
      </c>
      <c r="I761" s="6" t="str">
        <f t="shared" si="123"/>
        <v>{"age":"41", "year":"15", "couponrate":"8", "benefittype":"A", "benefitrate":"800", "premiumrate":"1.01"}</v>
      </c>
      <c r="J761" s="6" t="str">
        <f t="shared" si="124"/>
        <v>,</v>
      </c>
    </row>
    <row r="762" spans="1:10">
      <c r="A762" s="4" t="str">
        <f>'EN60'!A$3</f>
        <v>EN60</v>
      </c>
      <c r="B762" s="4">
        <f t="shared" si="125"/>
        <v>41</v>
      </c>
      <c r="C762" s="4">
        <f t="shared" si="126"/>
        <v>16</v>
      </c>
      <c r="D762" s="4">
        <f t="shared" si="120"/>
        <v>8</v>
      </c>
      <c r="E762" s="4" t="s">
        <v>27</v>
      </c>
      <c r="F762" s="4">
        <f t="shared" si="121"/>
        <v>800</v>
      </c>
      <c r="G762" s="5">
        <f t="shared" si="127"/>
        <v>1.01</v>
      </c>
      <c r="H762" s="6" t="str">
        <f t="shared" si="122"/>
        <v>INSERT INTO public.coupon (plancode, age, "year", couponrate, benefittype, benefitrate, premiumrate) VALUES('EN60', 41, 16, 8, 'A',800, 1.01);</v>
      </c>
      <c r="I762" s="6" t="str">
        <f t="shared" si="123"/>
        <v>{"age":"41", "year":"16", "couponrate":"8", "benefittype":"A", "benefitrate":"800", "premiumrate":"1.01"}</v>
      </c>
      <c r="J762" s="6" t="str">
        <f t="shared" si="124"/>
        <v>,</v>
      </c>
    </row>
    <row r="763" spans="1:10">
      <c r="A763" s="4" t="str">
        <f>'EN60'!A$3</f>
        <v>EN60</v>
      </c>
      <c r="B763" s="4">
        <f t="shared" si="125"/>
        <v>41</v>
      </c>
      <c r="C763" s="4">
        <f t="shared" si="126"/>
        <v>17</v>
      </c>
      <c r="D763" s="4">
        <f t="shared" si="120"/>
        <v>8</v>
      </c>
      <c r="E763" s="4" t="s">
        <v>27</v>
      </c>
      <c r="F763" s="4">
        <f t="shared" si="121"/>
        <v>800</v>
      </c>
      <c r="G763" s="5">
        <f t="shared" si="127"/>
        <v>1.01</v>
      </c>
      <c r="H763" s="6" t="str">
        <f t="shared" si="122"/>
        <v>INSERT INTO public.coupon (plancode, age, "year", couponrate, benefittype, benefitrate, premiumrate) VALUES('EN60', 41, 17, 8, 'A',800, 1.01);</v>
      </c>
      <c r="I763" s="6" t="str">
        <f t="shared" si="123"/>
        <v>{"age":"41", "year":"17", "couponrate":"8", "benefittype":"A", "benefitrate":"800", "premiumrate":"1.01"}</v>
      </c>
      <c r="J763" s="6" t="str">
        <f t="shared" si="124"/>
        <v>,</v>
      </c>
    </row>
    <row r="764" spans="1:10">
      <c r="A764" s="4" t="str">
        <f>'EN60'!A$3</f>
        <v>EN60</v>
      </c>
      <c r="B764" s="4">
        <f t="shared" si="125"/>
        <v>41</v>
      </c>
      <c r="C764" s="4">
        <f t="shared" si="126"/>
        <v>18</v>
      </c>
      <c r="D764" s="4">
        <f t="shared" si="120"/>
        <v>8</v>
      </c>
      <c r="E764" s="4" t="s">
        <v>27</v>
      </c>
      <c r="F764" s="4">
        <f t="shared" si="121"/>
        <v>800</v>
      </c>
      <c r="G764" s="5">
        <f t="shared" si="127"/>
        <v>1.01</v>
      </c>
      <c r="H764" s="6" t="str">
        <f t="shared" si="122"/>
        <v>INSERT INTO public.coupon (plancode, age, "year", couponrate, benefittype, benefitrate, premiumrate) VALUES('EN60', 41, 18, 8, 'A',800, 1.01);</v>
      </c>
      <c r="I764" s="6" t="str">
        <f t="shared" si="123"/>
        <v>{"age":"41", "year":"18", "couponrate":"8", "benefittype":"A", "benefitrate":"800", "premiumrate":"1.01"}</v>
      </c>
      <c r="J764" s="6" t="str">
        <f t="shared" si="124"/>
        <v>,</v>
      </c>
    </row>
    <row r="765" spans="1:10">
      <c r="A765" s="4" t="str">
        <f>'EN60'!A$3</f>
        <v>EN60</v>
      </c>
      <c r="B765" s="4">
        <f t="shared" si="125"/>
        <v>41</v>
      </c>
      <c r="C765" s="4">
        <f t="shared" si="126"/>
        <v>19</v>
      </c>
      <c r="D765" s="4">
        <f t="shared" si="120"/>
        <v>8</v>
      </c>
      <c r="E765" s="4" t="s">
        <v>27</v>
      </c>
      <c r="F765" s="4">
        <f t="shared" si="121"/>
        <v>800</v>
      </c>
      <c r="G765" s="5">
        <f t="shared" si="127"/>
        <v>1.01</v>
      </c>
      <c r="H765" s="6" t="str">
        <f t="shared" si="122"/>
        <v>INSERT INTO public.coupon (plancode, age, "year", couponrate, benefittype, benefitrate, premiumrate) VALUES('EN60', 41, 19, 8, 'A',800, 1.01);</v>
      </c>
      <c r="I765" s="6" t="str">
        <f t="shared" si="123"/>
        <v>{"age":"41", "year":"19", "couponrate":"8", "benefittype":"A", "benefitrate":"800", "premiumrate":"1.01"}</v>
      </c>
      <c r="J765" s="6" t="str">
        <f t="shared" si="124"/>
        <v>,</v>
      </c>
    </row>
    <row r="766" spans="1:10">
      <c r="A766" s="4" t="str">
        <f>'EN60'!A$3</f>
        <v>EN60</v>
      </c>
      <c r="B766" s="4">
        <f t="shared" si="125"/>
        <v>41</v>
      </c>
      <c r="C766" s="4">
        <f t="shared" si="126"/>
        <v>20</v>
      </c>
      <c r="D766" s="4">
        <f t="shared" si="120"/>
        <v>8</v>
      </c>
      <c r="E766" s="4" t="s">
        <v>27</v>
      </c>
      <c r="F766" s="4">
        <f t="shared" si="121"/>
        <v>800</v>
      </c>
      <c r="G766" s="5">
        <f t="shared" si="127"/>
        <v>1.01</v>
      </c>
      <c r="H766" s="6" t="str">
        <f t="shared" si="122"/>
        <v>INSERT INTO public.coupon (plancode, age, "year", couponrate, benefittype, benefitrate, premiumrate) VALUES('EN60', 41, 20, 8, 'A',800, 1.01);</v>
      </c>
      <c r="I766" s="6" t="str">
        <f t="shared" si="123"/>
        <v>{"age":"41", "year":"20", "couponrate":"8", "benefittype":"A", "benefitrate":"800", "premiumrate":"1.01"}</v>
      </c>
      <c r="J766" s="6" t="str">
        <f t="shared" si="124"/>
        <v>,</v>
      </c>
    </row>
    <row r="767" spans="1:10">
      <c r="A767" s="4" t="str">
        <f>'EN60'!A$3</f>
        <v>EN60</v>
      </c>
      <c r="B767" s="4">
        <f t="shared" si="125"/>
        <v>41</v>
      </c>
      <c r="C767" s="4">
        <f t="shared" si="126"/>
        <v>21</v>
      </c>
      <c r="D767" s="4">
        <f t="shared" si="120"/>
        <v>8</v>
      </c>
      <c r="E767" s="4" t="s">
        <v>27</v>
      </c>
      <c r="F767" s="4">
        <f t="shared" si="121"/>
        <v>800</v>
      </c>
      <c r="G767" s="5">
        <f t="shared" si="127"/>
        <v>1.01</v>
      </c>
      <c r="H767" s="6" t="str">
        <f t="shared" si="122"/>
        <v>INSERT INTO public.coupon (plancode, age, "year", couponrate, benefittype, benefitrate, premiumrate) VALUES('EN60', 41, 21, 8, 'A',800, 1.01);</v>
      </c>
      <c r="I767" s="6" t="str">
        <f t="shared" si="123"/>
        <v>{"age":"41", "year":"21", "couponrate":"8", "benefittype":"A", "benefitrate":"800", "premiumrate":"1.01"}</v>
      </c>
      <c r="J767" s="6" t="str">
        <f t="shared" si="124"/>
        <v>,</v>
      </c>
    </row>
    <row r="768" spans="1:10">
      <c r="A768" s="4" t="str">
        <f>'EN60'!A$3</f>
        <v>EN60</v>
      </c>
      <c r="B768" s="4">
        <f t="shared" si="125"/>
        <v>41</v>
      </c>
      <c r="C768" s="4">
        <f t="shared" si="126"/>
        <v>22</v>
      </c>
      <c r="D768" s="4">
        <f t="shared" si="120"/>
        <v>8</v>
      </c>
      <c r="E768" s="4" t="s">
        <v>27</v>
      </c>
      <c r="F768" s="4">
        <f t="shared" si="121"/>
        <v>800</v>
      </c>
      <c r="G768" s="5">
        <f t="shared" si="127"/>
        <v>1.01</v>
      </c>
      <c r="H768" s="6" t="str">
        <f t="shared" si="122"/>
        <v>INSERT INTO public.coupon (plancode, age, "year", couponrate, benefittype, benefitrate, premiumrate) VALUES('EN60', 41, 22, 8, 'A',800, 1.01);</v>
      </c>
      <c r="I768" s="6" t="str">
        <f t="shared" si="123"/>
        <v>{"age":"41", "year":"22", "couponrate":"8", "benefittype":"A", "benefitrate":"800", "premiumrate":"1.01"}</v>
      </c>
      <c r="J768" s="6" t="str">
        <f t="shared" si="124"/>
        <v>,</v>
      </c>
    </row>
    <row r="769" spans="1:10">
      <c r="A769" s="4" t="str">
        <f>'EN60'!A$3</f>
        <v>EN60</v>
      </c>
      <c r="B769" s="4">
        <f t="shared" si="125"/>
        <v>41</v>
      </c>
      <c r="C769" s="4">
        <f t="shared" si="126"/>
        <v>23</v>
      </c>
      <c r="D769" s="4">
        <f t="shared" si="120"/>
        <v>8</v>
      </c>
      <c r="E769" s="4" t="s">
        <v>27</v>
      </c>
      <c r="F769" s="4">
        <f t="shared" si="121"/>
        <v>800</v>
      </c>
      <c r="G769" s="5">
        <f t="shared" si="127"/>
        <v>1.01</v>
      </c>
      <c r="H769" s="6" t="str">
        <f t="shared" si="122"/>
        <v>INSERT INTO public.coupon (plancode, age, "year", couponrate, benefittype, benefitrate, premiumrate) VALUES('EN60', 41, 23, 8, 'A',800, 1.01);</v>
      </c>
      <c r="I769" s="6" t="str">
        <f t="shared" si="123"/>
        <v>{"age":"41", "year":"23", "couponrate":"8", "benefittype":"A", "benefitrate":"800", "premiumrate":"1.01"}</v>
      </c>
      <c r="J769" s="6" t="str">
        <f t="shared" si="124"/>
        <v>,</v>
      </c>
    </row>
    <row r="770" spans="1:10">
      <c r="A770" s="4" t="str">
        <f>'EN60'!A$3</f>
        <v>EN60</v>
      </c>
      <c r="B770" s="4">
        <f t="shared" si="125"/>
        <v>41</v>
      </c>
      <c r="C770" s="4">
        <f t="shared" si="126"/>
        <v>24</v>
      </c>
      <c r="D770" s="4">
        <f t="shared" si="120"/>
        <v>8</v>
      </c>
      <c r="E770" s="4" t="s">
        <v>27</v>
      </c>
      <c r="F770" s="4">
        <f t="shared" si="121"/>
        <v>800</v>
      </c>
      <c r="G770" s="5">
        <f t="shared" si="127"/>
        <v>1.01</v>
      </c>
      <c r="H770" s="6" t="str">
        <f t="shared" si="122"/>
        <v>INSERT INTO public.coupon (plancode, age, "year", couponrate, benefittype, benefitrate, premiumrate) VALUES('EN60', 41, 24, 8, 'A',800, 1.01);</v>
      </c>
      <c r="I770" s="6" t="str">
        <f t="shared" si="123"/>
        <v>{"age":"41", "year":"24", "couponrate":"8", "benefittype":"A", "benefitrate":"800", "premiumrate":"1.01"}</v>
      </c>
      <c r="J770" s="6" t="str">
        <f t="shared" si="124"/>
        <v>,</v>
      </c>
    </row>
    <row r="771" spans="1:10">
      <c r="A771" s="4" t="str">
        <f>'EN60'!A$3</f>
        <v>EN60</v>
      </c>
      <c r="B771" s="4">
        <f t="shared" si="125"/>
        <v>41</v>
      </c>
      <c r="C771" s="4">
        <f t="shared" si="126"/>
        <v>25</v>
      </c>
      <c r="D771" s="4">
        <f t="shared" si="120"/>
        <v>8</v>
      </c>
      <c r="E771" s="4" t="s">
        <v>27</v>
      </c>
      <c r="F771" s="4">
        <f t="shared" si="121"/>
        <v>800</v>
      </c>
      <c r="G771" s="5">
        <f t="shared" si="127"/>
        <v>1.01</v>
      </c>
      <c r="H771" s="6" t="str">
        <f t="shared" si="122"/>
        <v>INSERT INTO public.coupon (plancode, age, "year", couponrate, benefittype, benefitrate, premiumrate) VALUES('EN60', 41, 25, 8, 'A',800, 1.01);</v>
      </c>
      <c r="I771" s="6" t="str">
        <f t="shared" si="123"/>
        <v>{"age":"41", "year":"25", "couponrate":"8", "benefittype":"A", "benefitrate":"800", "premiumrate":"1.01"}</v>
      </c>
      <c r="J771" s="6" t="str">
        <f t="shared" si="124"/>
        <v>,</v>
      </c>
    </row>
    <row r="772" spans="1:10">
      <c r="A772" s="4" t="str">
        <f>'EN60'!A$3</f>
        <v>EN60</v>
      </c>
      <c r="B772" s="4">
        <f t="shared" si="125"/>
        <v>41</v>
      </c>
      <c r="C772" s="4">
        <f t="shared" si="126"/>
        <v>26</v>
      </c>
      <c r="D772" s="4">
        <f t="shared" si="120"/>
        <v>8</v>
      </c>
      <c r="E772" s="4" t="s">
        <v>27</v>
      </c>
      <c r="F772" s="4">
        <f t="shared" si="121"/>
        <v>800</v>
      </c>
      <c r="G772" s="5">
        <f t="shared" si="127"/>
        <v>1.01</v>
      </c>
      <c r="H772" s="6" t="str">
        <f t="shared" si="122"/>
        <v>INSERT INTO public.coupon (plancode, age, "year", couponrate, benefittype, benefitrate, premiumrate) VALUES('EN60', 41, 26, 8, 'A',800, 1.01);</v>
      </c>
      <c r="I772" s="6" t="str">
        <f t="shared" si="123"/>
        <v>{"age":"41", "year":"26", "couponrate":"8", "benefittype":"A", "benefitrate":"800", "premiumrate":"1.01"}</v>
      </c>
      <c r="J772" s="6" t="str">
        <f t="shared" si="124"/>
        <v>,</v>
      </c>
    </row>
    <row r="773" spans="1:10">
      <c r="A773" s="4" t="str">
        <f>'EN60'!A$3</f>
        <v>EN60</v>
      </c>
      <c r="B773" s="4">
        <f t="shared" si="125"/>
        <v>41</v>
      </c>
      <c r="C773" s="4">
        <f t="shared" si="126"/>
        <v>27</v>
      </c>
      <c r="D773" s="4">
        <f t="shared" si="120"/>
        <v>8</v>
      </c>
      <c r="E773" s="4" t="s">
        <v>27</v>
      </c>
      <c r="F773" s="4">
        <f t="shared" si="121"/>
        <v>800</v>
      </c>
      <c r="G773" s="5">
        <f t="shared" si="127"/>
        <v>1.01</v>
      </c>
      <c r="H773" s="6" t="str">
        <f t="shared" si="122"/>
        <v>INSERT INTO public.coupon (plancode, age, "year", couponrate, benefittype, benefitrate, premiumrate) VALUES('EN60', 41, 27, 8, 'A',800, 1.01);</v>
      </c>
      <c r="I773" s="6" t="str">
        <f t="shared" si="123"/>
        <v>{"age":"41", "year":"27", "couponrate":"8", "benefittype":"A", "benefitrate":"800", "premiumrate":"1.01"}</v>
      </c>
      <c r="J773" s="6" t="str">
        <f t="shared" si="124"/>
        <v>,</v>
      </c>
    </row>
    <row r="774" spans="1:10">
      <c r="A774" s="4" t="str">
        <f>'EN60'!A$3</f>
        <v>EN60</v>
      </c>
      <c r="B774" s="4">
        <f t="shared" si="125"/>
        <v>41</v>
      </c>
      <c r="C774" s="4">
        <f t="shared" si="126"/>
        <v>28</v>
      </c>
      <c r="D774" s="4">
        <f t="shared" si="120"/>
        <v>8</v>
      </c>
      <c r="E774" s="4" t="s">
        <v>27</v>
      </c>
      <c r="F774" s="4">
        <f t="shared" si="121"/>
        <v>800</v>
      </c>
      <c r="G774" s="5">
        <f t="shared" si="127"/>
        <v>1.01</v>
      </c>
      <c r="H774" s="6" t="str">
        <f t="shared" si="122"/>
        <v>INSERT INTO public.coupon (plancode, age, "year", couponrate, benefittype, benefitrate, premiumrate) VALUES('EN60', 41, 28, 8, 'A',800, 1.01);</v>
      </c>
      <c r="I774" s="6" t="str">
        <f t="shared" si="123"/>
        <v>{"age":"41", "year":"28", "couponrate":"8", "benefittype":"A", "benefitrate":"800", "premiumrate":"1.01"}</v>
      </c>
      <c r="J774" s="6" t="str">
        <f t="shared" si="124"/>
        <v>,</v>
      </c>
    </row>
    <row r="775" spans="1:10">
      <c r="A775" s="4" t="str">
        <f>'EN60'!A$3</f>
        <v>EN60</v>
      </c>
      <c r="B775" s="4">
        <f t="shared" si="125"/>
        <v>41</v>
      </c>
      <c r="C775" s="4">
        <f t="shared" si="126"/>
        <v>29</v>
      </c>
      <c r="D775" s="4">
        <f t="shared" si="120"/>
        <v>8</v>
      </c>
      <c r="E775" s="4" t="s">
        <v>27</v>
      </c>
      <c r="F775" s="4">
        <f t="shared" si="121"/>
        <v>800</v>
      </c>
      <c r="G775" s="5">
        <f t="shared" si="127"/>
        <v>1.01</v>
      </c>
      <c r="H775" s="6" t="str">
        <f t="shared" si="122"/>
        <v>INSERT INTO public.coupon (plancode, age, "year", couponrate, benefittype, benefitrate, premiumrate) VALUES('EN60', 41, 29, 8, 'A',800, 1.01);</v>
      </c>
      <c r="I775" s="6" t="str">
        <f t="shared" si="123"/>
        <v>{"age":"41", "year":"29", "couponrate":"8", "benefittype":"A", "benefitrate":"800", "premiumrate":"1.01"}</v>
      </c>
      <c r="J775" s="6" t="str">
        <f t="shared" si="124"/>
        <v>,</v>
      </c>
    </row>
    <row r="776" spans="1:10">
      <c r="A776" s="4" t="str">
        <f>'EN60'!A$3</f>
        <v>EN60</v>
      </c>
      <c r="B776" s="4">
        <f t="shared" si="125"/>
        <v>41</v>
      </c>
      <c r="C776" s="4">
        <f t="shared" si="126"/>
        <v>30</v>
      </c>
      <c r="D776" s="4">
        <f t="shared" si="120"/>
        <v>8</v>
      </c>
      <c r="E776" s="4" t="s">
        <v>27</v>
      </c>
      <c r="F776" s="4">
        <f t="shared" si="121"/>
        <v>800</v>
      </c>
      <c r="G776" s="5">
        <f t="shared" si="127"/>
        <v>1.01</v>
      </c>
      <c r="H776" s="6" t="str">
        <f t="shared" si="122"/>
        <v>INSERT INTO public.coupon (plancode, age, "year", couponrate, benefittype, benefitrate, premiumrate) VALUES('EN60', 41, 30, 8, 'A',800, 1.01);</v>
      </c>
      <c r="I776" s="6" t="str">
        <f t="shared" si="123"/>
        <v>{"age":"41", "year":"30", "couponrate":"8", "benefittype":"A", "benefitrate":"800", "premiumrate":"1.01"}</v>
      </c>
      <c r="J776" s="6" t="str">
        <f t="shared" si="124"/>
        <v>,</v>
      </c>
    </row>
    <row r="777" spans="1:10">
      <c r="A777" s="4" t="str">
        <f>'EN60'!A$3</f>
        <v>EN60</v>
      </c>
      <c r="B777" s="4">
        <f t="shared" si="125"/>
        <v>41</v>
      </c>
      <c r="C777" s="4">
        <f t="shared" si="126"/>
        <v>31</v>
      </c>
      <c r="D777" s="4">
        <f t="shared" si="120"/>
        <v>8</v>
      </c>
      <c r="E777" s="4" t="s">
        <v>27</v>
      </c>
      <c r="F777" s="4">
        <f t="shared" si="121"/>
        <v>800</v>
      </c>
      <c r="G777" s="5">
        <f t="shared" si="127"/>
        <v>1.01</v>
      </c>
      <c r="H777" s="6" t="str">
        <f t="shared" si="122"/>
        <v>INSERT INTO public.coupon (plancode, age, "year", couponrate, benefittype, benefitrate, premiumrate) VALUES('EN60', 41, 31, 8, 'A',800, 1.01);</v>
      </c>
      <c r="I777" s="6" t="str">
        <f t="shared" si="123"/>
        <v>{"age":"41", "year":"31", "couponrate":"8", "benefittype":"A", "benefitrate":"800", "premiumrate":"1.01"}</v>
      </c>
      <c r="J777" s="6" t="str">
        <f t="shared" si="124"/>
        <v>,</v>
      </c>
    </row>
    <row r="778" spans="1:10">
      <c r="A778" s="4" t="str">
        <f>'EN60'!A$3</f>
        <v>EN60</v>
      </c>
      <c r="B778" s="4">
        <f t="shared" si="125"/>
        <v>41</v>
      </c>
      <c r="C778" s="4">
        <f t="shared" si="126"/>
        <v>32</v>
      </c>
      <c r="D778" s="4">
        <f t="shared" si="120"/>
        <v>8</v>
      </c>
      <c r="E778" s="4" t="s">
        <v>27</v>
      </c>
      <c r="F778" s="4">
        <f t="shared" si="121"/>
        <v>800</v>
      </c>
      <c r="G778" s="5">
        <f t="shared" si="127"/>
        <v>1.01</v>
      </c>
      <c r="H778" s="6" t="str">
        <f t="shared" si="122"/>
        <v>INSERT INTO public.coupon (plancode, age, "year", couponrate, benefittype, benefitrate, premiumrate) VALUES('EN60', 41, 32, 8, 'A',800, 1.01);</v>
      </c>
      <c r="I778" s="6" t="str">
        <f t="shared" si="123"/>
        <v>{"age":"41", "year":"32", "couponrate":"8", "benefittype":"A", "benefitrate":"800", "premiumrate":"1.01"}</v>
      </c>
      <c r="J778" s="6" t="str">
        <f t="shared" si="124"/>
        <v>,</v>
      </c>
    </row>
    <row r="779" spans="1:10">
      <c r="A779" s="4" t="str">
        <f>'EN60'!A$3</f>
        <v>EN60</v>
      </c>
      <c r="B779" s="4">
        <f t="shared" si="125"/>
        <v>41</v>
      </c>
      <c r="C779" s="4">
        <f t="shared" si="126"/>
        <v>33</v>
      </c>
      <c r="D779" s="4">
        <f t="shared" si="120"/>
        <v>8</v>
      </c>
      <c r="E779" s="4" t="s">
        <v>27</v>
      </c>
      <c r="F779" s="4">
        <f t="shared" si="121"/>
        <v>800</v>
      </c>
      <c r="G779" s="5">
        <f t="shared" si="127"/>
        <v>1.01</v>
      </c>
      <c r="H779" s="6" t="str">
        <f t="shared" si="122"/>
        <v>INSERT INTO public.coupon (plancode, age, "year", couponrate, benefittype, benefitrate, premiumrate) VALUES('EN60', 41, 33, 8, 'A',800, 1.01);</v>
      </c>
      <c r="I779" s="6" t="str">
        <f t="shared" si="123"/>
        <v>{"age":"41", "year":"33", "couponrate":"8", "benefittype":"A", "benefitrate":"800", "premiumrate":"1.01"}</v>
      </c>
      <c r="J779" s="6" t="str">
        <f t="shared" si="124"/>
        <v>,</v>
      </c>
    </row>
    <row r="780" spans="1:10">
      <c r="A780" s="4" t="str">
        <f>'EN60'!A$3</f>
        <v>EN60</v>
      </c>
      <c r="B780" s="4">
        <f t="shared" si="125"/>
        <v>41</v>
      </c>
      <c r="C780" s="4">
        <f t="shared" si="126"/>
        <v>34</v>
      </c>
      <c r="D780" s="4">
        <f t="shared" si="120"/>
        <v>8</v>
      </c>
      <c r="E780" s="4" t="s">
        <v>27</v>
      </c>
      <c r="F780" s="4">
        <f t="shared" si="121"/>
        <v>800</v>
      </c>
      <c r="G780" s="5">
        <f t="shared" si="127"/>
        <v>1.01</v>
      </c>
      <c r="H780" s="6" t="str">
        <f t="shared" si="122"/>
        <v>INSERT INTO public.coupon (plancode, age, "year", couponrate, benefittype, benefitrate, premiumrate) VALUES('EN60', 41, 34, 8, 'A',800, 1.01);</v>
      </c>
      <c r="I780" s="6" t="str">
        <f t="shared" si="123"/>
        <v>{"age":"41", "year":"34", "couponrate":"8", "benefittype":"A", "benefitrate":"800", "premiumrate":"1.01"}</v>
      </c>
      <c r="J780" s="6" t="str">
        <f t="shared" si="124"/>
        <v>,</v>
      </c>
    </row>
    <row r="781" spans="1:10">
      <c r="A781" s="4" t="str">
        <f>'EN60'!A$3</f>
        <v>EN60</v>
      </c>
      <c r="B781" s="4">
        <f t="shared" si="125"/>
        <v>41</v>
      </c>
      <c r="C781" s="4">
        <f t="shared" si="126"/>
        <v>35</v>
      </c>
      <c r="D781" s="4">
        <f t="shared" si="120"/>
        <v>8</v>
      </c>
      <c r="E781" s="4" t="s">
        <v>27</v>
      </c>
      <c r="F781" s="4">
        <f t="shared" si="121"/>
        <v>800</v>
      </c>
      <c r="G781" s="5">
        <f t="shared" si="127"/>
        <v>1.01</v>
      </c>
      <c r="H781" s="6" t="str">
        <f t="shared" si="122"/>
        <v>INSERT INTO public.coupon (plancode, age, "year", couponrate, benefittype, benefitrate, premiumrate) VALUES('EN60', 41, 35, 8, 'A',800, 1.01);</v>
      </c>
      <c r="I781" s="6" t="str">
        <f t="shared" si="123"/>
        <v>{"age":"41", "year":"35", "couponrate":"8", "benefittype":"A", "benefitrate":"800", "premiumrate":"1.01"}</v>
      </c>
      <c r="J781" s="6" t="str">
        <f t="shared" si="124"/>
        <v>,</v>
      </c>
    </row>
    <row r="782" spans="1:10">
      <c r="A782" s="4" t="str">
        <f>'EN60'!A$3</f>
        <v>EN60</v>
      </c>
      <c r="B782" s="4">
        <f t="shared" si="125"/>
        <v>41</v>
      </c>
      <c r="C782" s="4">
        <f t="shared" si="126"/>
        <v>36</v>
      </c>
      <c r="D782" s="4">
        <f t="shared" si="120"/>
        <v>8</v>
      </c>
      <c r="E782" s="4" t="s">
        <v>27</v>
      </c>
      <c r="F782" s="4">
        <f t="shared" si="121"/>
        <v>800</v>
      </c>
      <c r="G782" s="5">
        <f t="shared" si="127"/>
        <v>1.01</v>
      </c>
      <c r="H782" s="6" t="str">
        <f t="shared" si="122"/>
        <v>INSERT INTO public.coupon (plancode, age, "year", couponrate, benefittype, benefitrate, premiumrate) VALUES('EN60', 41, 36, 8, 'A',800, 1.01);</v>
      </c>
      <c r="I782" s="6" t="str">
        <f t="shared" si="123"/>
        <v>{"age":"41", "year":"36", "couponrate":"8", "benefittype":"A", "benefitrate":"800", "premiumrate":"1.01"}</v>
      </c>
      <c r="J782" s="6" t="str">
        <f t="shared" si="124"/>
        <v>,</v>
      </c>
    </row>
    <row r="783" spans="1:10">
      <c r="A783" s="4" t="str">
        <f>'EN60'!A$3</f>
        <v>EN60</v>
      </c>
      <c r="B783" s="4">
        <f t="shared" si="125"/>
        <v>41</v>
      </c>
      <c r="C783" s="4">
        <f t="shared" si="126"/>
        <v>37</v>
      </c>
      <c r="D783" s="4">
        <f t="shared" si="120"/>
        <v>8</v>
      </c>
      <c r="E783" s="4" t="s">
        <v>27</v>
      </c>
      <c r="F783" s="4">
        <f t="shared" si="121"/>
        <v>800</v>
      </c>
      <c r="G783" s="5">
        <f t="shared" si="127"/>
        <v>1.01</v>
      </c>
      <c r="H783" s="6" t="str">
        <f t="shared" si="122"/>
        <v>INSERT INTO public.coupon (plancode, age, "year", couponrate, benefittype, benefitrate, premiumrate) VALUES('EN60', 41, 37, 8, 'A',800, 1.01);</v>
      </c>
      <c r="I783" s="6" t="str">
        <f t="shared" si="123"/>
        <v>{"age":"41", "year":"37", "couponrate":"8", "benefittype":"A", "benefitrate":"800", "premiumrate":"1.01"}</v>
      </c>
      <c r="J783" s="6" t="str">
        <f t="shared" si="124"/>
        <v>,</v>
      </c>
    </row>
    <row r="784" spans="1:10">
      <c r="A784" s="4" t="str">
        <f>'EN60'!A$3</f>
        <v>EN60</v>
      </c>
      <c r="B784" s="4">
        <f t="shared" si="125"/>
        <v>41</v>
      </c>
      <c r="C784" s="4">
        <f t="shared" si="126"/>
        <v>38</v>
      </c>
      <c r="D784" s="4">
        <f t="shared" si="120"/>
        <v>8</v>
      </c>
      <c r="E784" s="4" t="s">
        <v>27</v>
      </c>
      <c r="F784" s="4">
        <f t="shared" si="121"/>
        <v>800</v>
      </c>
      <c r="G784" s="5">
        <f t="shared" si="127"/>
        <v>1.01</v>
      </c>
      <c r="H784" s="6" t="str">
        <f t="shared" si="122"/>
        <v>INSERT INTO public.coupon (plancode, age, "year", couponrate, benefittype, benefitrate, premiumrate) VALUES('EN60', 41, 38, 8, 'A',800, 1.01);</v>
      </c>
      <c r="I784" s="6" t="str">
        <f t="shared" si="123"/>
        <v>{"age":"41", "year":"38", "couponrate":"8", "benefittype":"A", "benefitrate":"800", "premiumrate":"1.01"}</v>
      </c>
      <c r="J784" s="6" t="str">
        <f t="shared" si="124"/>
        <v>,</v>
      </c>
    </row>
    <row r="785" spans="1:10">
      <c r="A785" s="4" t="str">
        <f>'EN60'!A$3</f>
        <v>EN60</v>
      </c>
      <c r="B785" s="4">
        <f t="shared" si="125"/>
        <v>41</v>
      </c>
      <c r="C785" s="4">
        <f t="shared" si="126"/>
        <v>39</v>
      </c>
      <c r="D785" s="4">
        <f t="shared" si="120"/>
        <v>0</v>
      </c>
      <c r="E785" s="4" t="s">
        <v>27</v>
      </c>
      <c r="F785" s="4">
        <f t="shared" si="121"/>
        <v>800</v>
      </c>
      <c r="G785" s="5">
        <f t="shared" si="127"/>
        <v>1.01</v>
      </c>
      <c r="H785" s="6" t="str">
        <f t="shared" si="122"/>
        <v>INSERT INTO public.coupon (plancode, age, "year", couponrate, benefittype, benefitrate, premiumrate) VALUES('EN60', 41, 39, 0, 'A',800, 1.01);</v>
      </c>
      <c r="I785" s="6" t="str">
        <f t="shared" si="123"/>
        <v>{"age":"41", "year":"39", "couponrate":"0", "benefittype":"A", "benefitrate":"800", "premiumrate":"1.01"}</v>
      </c>
    </row>
    <row r="786" spans="1:10">
      <c r="C786" s="6"/>
      <c r="I786" s="6" t="s">
        <v>28</v>
      </c>
    </row>
    <row r="787" spans="1:10">
      <c r="A787" s="3" t="s">
        <v>2</v>
      </c>
      <c r="B787" s="3" t="s">
        <v>23</v>
      </c>
      <c r="C787" s="3" t="s">
        <v>24</v>
      </c>
      <c r="D787" s="3" t="s">
        <v>25</v>
      </c>
      <c r="E787" s="3" t="s">
        <v>8</v>
      </c>
      <c r="F787" s="3" t="s">
        <v>26</v>
      </c>
      <c r="G787" s="3" t="s">
        <v>4</v>
      </c>
      <c r="I787" s="6" t="str">
        <f>"[{""plancode"":"""&amp;A788&amp;""",""returncash"":"""&amp;B$7&amp;""",""ytable"":"""&amp;C$7&amp;""",""maturerate"":"""&amp;B$3&amp;""",""maturepmrate"":"""&amp;C$3&amp;""",""coupon"":["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788" spans="1:10">
      <c r="A788" s="4" t="str">
        <f>'EN60'!A$3</f>
        <v>EN60</v>
      </c>
      <c r="B788" s="8">
        <v>42</v>
      </c>
      <c r="C788" s="4">
        <v>1</v>
      </c>
      <c r="D788" s="4">
        <f t="shared" ref="D788:D825" si="128">IF(C788+B788=80,0,8)</f>
        <v>8</v>
      </c>
      <c r="E788" s="4" t="s">
        <v>27</v>
      </c>
      <c r="F788" s="4">
        <f t="shared" ref="F788:F825" si="129">IF(C788&gt;7, 800, C788*100)</f>
        <v>100</v>
      </c>
      <c r="G788" s="5">
        <f>'EN60'!C$3</f>
        <v>1.01</v>
      </c>
      <c r="H788" s="6" t="str">
        <f t="shared" ref="H788:H825" si="130">"INSERT INTO public.coupon ("&amp;A$11&amp;", "&amp;B$11&amp;", """&amp;C$11&amp;""", "&amp;D$11&amp;", "&amp;E$11&amp;", "&amp;F$11&amp;", "&amp;G$11&amp;") VALUES('"&amp;A788&amp;"', "&amp;B788&amp;", "&amp;C788&amp;", "&amp;D788&amp;", '"&amp;E788&amp;"',"&amp;F788&amp;", "&amp;G788&amp;");"</f>
        <v>INSERT INTO public.coupon (plancode, age, "year", couponrate, benefittype, benefitrate, premiumrate) VALUES('EN60', 42, 1, 8, 'A',100, 1.01);</v>
      </c>
      <c r="I788" s="6" t="str">
        <f t="shared" ref="I788:I825" si="131">"{""age"":"""&amp;B788&amp;""", ""year"":"""&amp;C788&amp;""", ""couponrate"":"""&amp;D788&amp;""", ""benefittype"":"""&amp;E788&amp;""", ""benefitrate"":"""&amp;F788&amp;""", """&amp;G$11&amp;""":"""&amp;G788&amp;"""}"</f>
        <v>{"age":"42", "year":"1", "couponrate":"8", "benefittype":"A", "benefitrate":"100", "premiumrate":"1.01"}</v>
      </c>
      <c r="J788" s="6" t="str">
        <f t="shared" ref="J788:J824" si="132">IF(OR(I789="]", I788="[", I788="]"), "", ",")</f>
        <v>,</v>
      </c>
    </row>
    <row r="789" spans="1:10">
      <c r="A789" s="4" t="str">
        <f>'EN60'!A$3</f>
        <v>EN60</v>
      </c>
      <c r="B789" s="4">
        <f t="shared" ref="B789:B825" si="133">B788</f>
        <v>42</v>
      </c>
      <c r="C789" s="4">
        <f t="shared" ref="C789:C825" si="134">IF(B789+C788+1&gt;80,"",C788+1)</f>
        <v>2</v>
      </c>
      <c r="D789" s="4">
        <f t="shared" si="128"/>
        <v>8</v>
      </c>
      <c r="E789" s="4" t="s">
        <v>27</v>
      </c>
      <c r="F789" s="4">
        <f t="shared" si="129"/>
        <v>200</v>
      </c>
      <c r="G789" s="5">
        <f t="shared" ref="G789:G825" si="135">G788</f>
        <v>1.01</v>
      </c>
      <c r="H789" s="6" t="str">
        <f t="shared" si="130"/>
        <v>INSERT INTO public.coupon (plancode, age, "year", couponrate, benefittype, benefitrate, premiumrate) VALUES('EN60', 42, 2, 8, 'A',200, 1.01);</v>
      </c>
      <c r="I789" s="6" t="str">
        <f t="shared" si="131"/>
        <v>{"age":"42", "year":"2", "couponrate":"8", "benefittype":"A", "benefitrate":"200", "premiumrate":"1.01"}</v>
      </c>
      <c r="J789" s="6" t="str">
        <f t="shared" si="132"/>
        <v>,</v>
      </c>
    </row>
    <row r="790" spans="1:10">
      <c r="A790" s="4" t="str">
        <f>'EN60'!A$3</f>
        <v>EN60</v>
      </c>
      <c r="B790" s="4">
        <f t="shared" si="133"/>
        <v>42</v>
      </c>
      <c r="C790" s="4">
        <f t="shared" si="134"/>
        <v>3</v>
      </c>
      <c r="D790" s="4">
        <f t="shared" si="128"/>
        <v>8</v>
      </c>
      <c r="E790" s="4" t="s">
        <v>27</v>
      </c>
      <c r="F790" s="4">
        <f t="shared" si="129"/>
        <v>300</v>
      </c>
      <c r="G790" s="5">
        <f t="shared" si="135"/>
        <v>1.01</v>
      </c>
      <c r="H790" s="6" t="str">
        <f t="shared" si="130"/>
        <v>INSERT INTO public.coupon (plancode, age, "year", couponrate, benefittype, benefitrate, premiumrate) VALUES('EN60', 42, 3, 8, 'A',300, 1.01);</v>
      </c>
      <c r="I790" s="6" t="str">
        <f t="shared" si="131"/>
        <v>{"age":"42", "year":"3", "couponrate":"8", "benefittype":"A", "benefitrate":"300", "premiumrate":"1.01"}</v>
      </c>
      <c r="J790" s="6" t="str">
        <f t="shared" si="132"/>
        <v>,</v>
      </c>
    </row>
    <row r="791" spans="1:10">
      <c r="A791" s="4" t="str">
        <f>'EN60'!A$3</f>
        <v>EN60</v>
      </c>
      <c r="B791" s="4">
        <f t="shared" si="133"/>
        <v>42</v>
      </c>
      <c r="C791" s="4">
        <f t="shared" si="134"/>
        <v>4</v>
      </c>
      <c r="D791" s="4">
        <f t="shared" si="128"/>
        <v>8</v>
      </c>
      <c r="E791" s="4" t="s">
        <v>27</v>
      </c>
      <c r="F791" s="4">
        <f t="shared" si="129"/>
        <v>400</v>
      </c>
      <c r="G791" s="5">
        <f t="shared" si="135"/>
        <v>1.01</v>
      </c>
      <c r="H791" s="6" t="str">
        <f t="shared" si="130"/>
        <v>INSERT INTO public.coupon (plancode, age, "year", couponrate, benefittype, benefitrate, premiumrate) VALUES('EN60', 42, 4, 8, 'A',400, 1.01);</v>
      </c>
      <c r="I791" s="6" t="str">
        <f t="shared" si="131"/>
        <v>{"age":"42", "year":"4", "couponrate":"8", "benefittype":"A", "benefitrate":"400", "premiumrate":"1.01"}</v>
      </c>
      <c r="J791" s="6" t="str">
        <f t="shared" si="132"/>
        <v>,</v>
      </c>
    </row>
    <row r="792" spans="1:10">
      <c r="A792" s="4" t="str">
        <f>'EN60'!A$3</f>
        <v>EN60</v>
      </c>
      <c r="B792" s="4">
        <f t="shared" si="133"/>
        <v>42</v>
      </c>
      <c r="C792" s="4">
        <f t="shared" si="134"/>
        <v>5</v>
      </c>
      <c r="D792" s="4">
        <f t="shared" si="128"/>
        <v>8</v>
      </c>
      <c r="E792" s="4" t="s">
        <v>27</v>
      </c>
      <c r="F792" s="4">
        <f t="shared" si="129"/>
        <v>500</v>
      </c>
      <c r="G792" s="5">
        <f t="shared" si="135"/>
        <v>1.01</v>
      </c>
      <c r="H792" s="6" t="str">
        <f t="shared" si="130"/>
        <v>INSERT INTO public.coupon (plancode, age, "year", couponrate, benefittype, benefitrate, premiumrate) VALUES('EN60', 42, 5, 8, 'A',500, 1.01);</v>
      </c>
      <c r="I792" s="6" t="str">
        <f t="shared" si="131"/>
        <v>{"age":"42", "year":"5", "couponrate":"8", "benefittype":"A", "benefitrate":"500", "premiumrate":"1.01"}</v>
      </c>
      <c r="J792" s="6" t="str">
        <f t="shared" si="132"/>
        <v>,</v>
      </c>
    </row>
    <row r="793" spans="1:10">
      <c r="A793" s="4" t="str">
        <f>'EN60'!A$3</f>
        <v>EN60</v>
      </c>
      <c r="B793" s="4">
        <f t="shared" si="133"/>
        <v>42</v>
      </c>
      <c r="C793" s="4">
        <f t="shared" si="134"/>
        <v>6</v>
      </c>
      <c r="D793" s="4">
        <f t="shared" si="128"/>
        <v>8</v>
      </c>
      <c r="E793" s="4" t="s">
        <v>27</v>
      </c>
      <c r="F793" s="4">
        <f t="shared" si="129"/>
        <v>600</v>
      </c>
      <c r="G793" s="5">
        <f t="shared" si="135"/>
        <v>1.01</v>
      </c>
      <c r="H793" s="6" t="str">
        <f t="shared" si="130"/>
        <v>INSERT INTO public.coupon (plancode, age, "year", couponrate, benefittype, benefitrate, premiumrate) VALUES('EN60', 42, 6, 8, 'A',600, 1.01);</v>
      </c>
      <c r="I793" s="6" t="str">
        <f t="shared" si="131"/>
        <v>{"age":"42", "year":"6", "couponrate":"8", "benefittype":"A", "benefitrate":"600", "premiumrate":"1.01"}</v>
      </c>
      <c r="J793" s="6" t="str">
        <f t="shared" si="132"/>
        <v>,</v>
      </c>
    </row>
    <row r="794" spans="1:10">
      <c r="A794" s="4" t="str">
        <f>'EN60'!A$3</f>
        <v>EN60</v>
      </c>
      <c r="B794" s="4">
        <f t="shared" si="133"/>
        <v>42</v>
      </c>
      <c r="C794" s="4">
        <f t="shared" si="134"/>
        <v>7</v>
      </c>
      <c r="D794" s="4">
        <f t="shared" si="128"/>
        <v>8</v>
      </c>
      <c r="E794" s="4" t="s">
        <v>27</v>
      </c>
      <c r="F794" s="4">
        <f t="shared" si="129"/>
        <v>700</v>
      </c>
      <c r="G794" s="5">
        <f t="shared" si="135"/>
        <v>1.01</v>
      </c>
      <c r="H794" s="6" t="str">
        <f t="shared" si="130"/>
        <v>INSERT INTO public.coupon (plancode, age, "year", couponrate, benefittype, benefitrate, premiumrate) VALUES('EN60', 42, 7, 8, 'A',700, 1.01);</v>
      </c>
      <c r="I794" s="6" t="str">
        <f t="shared" si="131"/>
        <v>{"age":"42", "year":"7", "couponrate":"8", "benefittype":"A", "benefitrate":"700", "premiumrate":"1.01"}</v>
      </c>
      <c r="J794" s="6" t="str">
        <f t="shared" si="132"/>
        <v>,</v>
      </c>
    </row>
    <row r="795" spans="1:10">
      <c r="A795" s="4" t="str">
        <f>'EN60'!A$3</f>
        <v>EN60</v>
      </c>
      <c r="B795" s="4">
        <f t="shared" si="133"/>
        <v>42</v>
      </c>
      <c r="C795" s="4">
        <f t="shared" si="134"/>
        <v>8</v>
      </c>
      <c r="D795" s="4">
        <f t="shared" si="128"/>
        <v>8</v>
      </c>
      <c r="E795" s="4" t="s">
        <v>27</v>
      </c>
      <c r="F795" s="4">
        <f t="shared" si="129"/>
        <v>800</v>
      </c>
      <c r="G795" s="5">
        <f t="shared" si="135"/>
        <v>1.01</v>
      </c>
      <c r="H795" s="6" t="str">
        <f t="shared" si="130"/>
        <v>INSERT INTO public.coupon (plancode, age, "year", couponrate, benefittype, benefitrate, premiumrate) VALUES('EN60', 42, 8, 8, 'A',800, 1.01);</v>
      </c>
      <c r="I795" s="6" t="str">
        <f t="shared" si="131"/>
        <v>{"age":"42", "year":"8", "couponrate":"8", "benefittype":"A", "benefitrate":"800", "premiumrate":"1.01"}</v>
      </c>
      <c r="J795" s="6" t="str">
        <f t="shared" si="132"/>
        <v>,</v>
      </c>
    </row>
    <row r="796" spans="1:10">
      <c r="A796" s="4" t="str">
        <f>'EN60'!A$3</f>
        <v>EN60</v>
      </c>
      <c r="B796" s="4">
        <f t="shared" si="133"/>
        <v>42</v>
      </c>
      <c r="C796" s="4">
        <f t="shared" si="134"/>
        <v>9</v>
      </c>
      <c r="D796" s="4">
        <f t="shared" si="128"/>
        <v>8</v>
      </c>
      <c r="E796" s="4" t="s">
        <v>27</v>
      </c>
      <c r="F796" s="4">
        <f t="shared" si="129"/>
        <v>800</v>
      </c>
      <c r="G796" s="5">
        <f t="shared" si="135"/>
        <v>1.01</v>
      </c>
      <c r="H796" s="6" t="str">
        <f t="shared" si="130"/>
        <v>INSERT INTO public.coupon (plancode, age, "year", couponrate, benefittype, benefitrate, premiumrate) VALUES('EN60', 42, 9, 8, 'A',800, 1.01);</v>
      </c>
      <c r="I796" s="6" t="str">
        <f t="shared" si="131"/>
        <v>{"age":"42", "year":"9", "couponrate":"8", "benefittype":"A", "benefitrate":"800", "premiumrate":"1.01"}</v>
      </c>
      <c r="J796" s="6" t="str">
        <f t="shared" si="132"/>
        <v>,</v>
      </c>
    </row>
    <row r="797" spans="1:10">
      <c r="A797" s="4" t="str">
        <f>'EN60'!A$3</f>
        <v>EN60</v>
      </c>
      <c r="B797" s="4">
        <f t="shared" si="133"/>
        <v>42</v>
      </c>
      <c r="C797" s="4">
        <f t="shared" si="134"/>
        <v>10</v>
      </c>
      <c r="D797" s="4">
        <f t="shared" si="128"/>
        <v>8</v>
      </c>
      <c r="E797" s="4" t="s">
        <v>27</v>
      </c>
      <c r="F797" s="4">
        <f t="shared" si="129"/>
        <v>800</v>
      </c>
      <c r="G797" s="5">
        <f t="shared" si="135"/>
        <v>1.01</v>
      </c>
      <c r="H797" s="6" t="str">
        <f t="shared" si="130"/>
        <v>INSERT INTO public.coupon (plancode, age, "year", couponrate, benefittype, benefitrate, premiumrate) VALUES('EN60', 42, 10, 8, 'A',800, 1.01);</v>
      </c>
      <c r="I797" s="6" t="str">
        <f t="shared" si="131"/>
        <v>{"age":"42", "year":"10", "couponrate":"8", "benefittype":"A", "benefitrate":"800", "premiumrate":"1.01"}</v>
      </c>
      <c r="J797" s="6" t="str">
        <f t="shared" si="132"/>
        <v>,</v>
      </c>
    </row>
    <row r="798" spans="1:10">
      <c r="A798" s="4" t="str">
        <f>'EN60'!A$3</f>
        <v>EN60</v>
      </c>
      <c r="B798" s="4">
        <f t="shared" si="133"/>
        <v>42</v>
      </c>
      <c r="C798" s="4">
        <f t="shared" si="134"/>
        <v>11</v>
      </c>
      <c r="D798" s="4">
        <f t="shared" si="128"/>
        <v>8</v>
      </c>
      <c r="E798" s="4" t="s">
        <v>27</v>
      </c>
      <c r="F798" s="4">
        <f t="shared" si="129"/>
        <v>800</v>
      </c>
      <c r="G798" s="5">
        <f t="shared" si="135"/>
        <v>1.01</v>
      </c>
      <c r="H798" s="6" t="str">
        <f t="shared" si="130"/>
        <v>INSERT INTO public.coupon (plancode, age, "year", couponrate, benefittype, benefitrate, premiumrate) VALUES('EN60', 42, 11, 8, 'A',800, 1.01);</v>
      </c>
      <c r="I798" s="6" t="str">
        <f t="shared" si="131"/>
        <v>{"age":"42", "year":"11", "couponrate":"8", "benefittype":"A", "benefitrate":"800", "premiumrate":"1.01"}</v>
      </c>
      <c r="J798" s="6" t="str">
        <f t="shared" si="132"/>
        <v>,</v>
      </c>
    </row>
    <row r="799" spans="1:10">
      <c r="A799" s="4" t="str">
        <f>'EN60'!A$3</f>
        <v>EN60</v>
      </c>
      <c r="B799" s="4">
        <f t="shared" si="133"/>
        <v>42</v>
      </c>
      <c r="C799" s="4">
        <f t="shared" si="134"/>
        <v>12</v>
      </c>
      <c r="D799" s="4">
        <f t="shared" si="128"/>
        <v>8</v>
      </c>
      <c r="E799" s="4" t="s">
        <v>27</v>
      </c>
      <c r="F799" s="4">
        <f t="shared" si="129"/>
        <v>800</v>
      </c>
      <c r="G799" s="5">
        <f t="shared" si="135"/>
        <v>1.01</v>
      </c>
      <c r="H799" s="6" t="str">
        <f t="shared" si="130"/>
        <v>INSERT INTO public.coupon (plancode, age, "year", couponrate, benefittype, benefitrate, premiumrate) VALUES('EN60', 42, 12, 8, 'A',800, 1.01);</v>
      </c>
      <c r="I799" s="6" t="str">
        <f t="shared" si="131"/>
        <v>{"age":"42", "year":"12", "couponrate":"8", "benefittype":"A", "benefitrate":"800", "premiumrate":"1.01"}</v>
      </c>
      <c r="J799" s="6" t="str">
        <f t="shared" si="132"/>
        <v>,</v>
      </c>
    </row>
    <row r="800" spans="1:10">
      <c r="A800" s="4" t="str">
        <f>'EN60'!A$3</f>
        <v>EN60</v>
      </c>
      <c r="B800" s="4">
        <f t="shared" si="133"/>
        <v>42</v>
      </c>
      <c r="C800" s="4">
        <f t="shared" si="134"/>
        <v>13</v>
      </c>
      <c r="D800" s="4">
        <f t="shared" si="128"/>
        <v>8</v>
      </c>
      <c r="E800" s="4" t="s">
        <v>27</v>
      </c>
      <c r="F800" s="4">
        <f t="shared" si="129"/>
        <v>800</v>
      </c>
      <c r="G800" s="5">
        <f t="shared" si="135"/>
        <v>1.01</v>
      </c>
      <c r="H800" s="6" t="str">
        <f t="shared" si="130"/>
        <v>INSERT INTO public.coupon (plancode, age, "year", couponrate, benefittype, benefitrate, premiumrate) VALUES('EN60', 42, 13, 8, 'A',800, 1.01);</v>
      </c>
      <c r="I800" s="6" t="str">
        <f t="shared" si="131"/>
        <v>{"age":"42", "year":"13", "couponrate":"8", "benefittype":"A", "benefitrate":"800", "premiumrate":"1.01"}</v>
      </c>
      <c r="J800" s="6" t="str">
        <f t="shared" si="132"/>
        <v>,</v>
      </c>
    </row>
    <row r="801" spans="1:10">
      <c r="A801" s="4" t="str">
        <f>'EN60'!A$3</f>
        <v>EN60</v>
      </c>
      <c r="B801" s="4">
        <f t="shared" si="133"/>
        <v>42</v>
      </c>
      <c r="C801" s="4">
        <f t="shared" si="134"/>
        <v>14</v>
      </c>
      <c r="D801" s="4">
        <f t="shared" si="128"/>
        <v>8</v>
      </c>
      <c r="E801" s="4" t="s">
        <v>27</v>
      </c>
      <c r="F801" s="4">
        <f t="shared" si="129"/>
        <v>800</v>
      </c>
      <c r="G801" s="5">
        <f t="shared" si="135"/>
        <v>1.01</v>
      </c>
      <c r="H801" s="6" t="str">
        <f t="shared" si="130"/>
        <v>INSERT INTO public.coupon (plancode, age, "year", couponrate, benefittype, benefitrate, premiumrate) VALUES('EN60', 42, 14, 8, 'A',800, 1.01);</v>
      </c>
      <c r="I801" s="6" t="str">
        <f t="shared" si="131"/>
        <v>{"age":"42", "year":"14", "couponrate":"8", "benefittype":"A", "benefitrate":"800", "premiumrate":"1.01"}</v>
      </c>
      <c r="J801" s="6" t="str">
        <f t="shared" si="132"/>
        <v>,</v>
      </c>
    </row>
    <row r="802" spans="1:10">
      <c r="A802" s="4" t="str">
        <f>'EN60'!A$3</f>
        <v>EN60</v>
      </c>
      <c r="B802" s="4">
        <f t="shared" si="133"/>
        <v>42</v>
      </c>
      <c r="C802" s="4">
        <f t="shared" si="134"/>
        <v>15</v>
      </c>
      <c r="D802" s="4">
        <f t="shared" si="128"/>
        <v>8</v>
      </c>
      <c r="E802" s="4" t="s">
        <v>27</v>
      </c>
      <c r="F802" s="4">
        <f t="shared" si="129"/>
        <v>800</v>
      </c>
      <c r="G802" s="5">
        <f t="shared" si="135"/>
        <v>1.01</v>
      </c>
      <c r="H802" s="6" t="str">
        <f t="shared" si="130"/>
        <v>INSERT INTO public.coupon (plancode, age, "year", couponrate, benefittype, benefitrate, premiumrate) VALUES('EN60', 42, 15, 8, 'A',800, 1.01);</v>
      </c>
      <c r="I802" s="6" t="str">
        <f t="shared" si="131"/>
        <v>{"age":"42", "year":"15", "couponrate":"8", "benefittype":"A", "benefitrate":"800", "premiumrate":"1.01"}</v>
      </c>
      <c r="J802" s="6" t="str">
        <f t="shared" si="132"/>
        <v>,</v>
      </c>
    </row>
    <row r="803" spans="1:10">
      <c r="A803" s="4" t="str">
        <f>'EN60'!A$3</f>
        <v>EN60</v>
      </c>
      <c r="B803" s="4">
        <f t="shared" si="133"/>
        <v>42</v>
      </c>
      <c r="C803" s="4">
        <f t="shared" si="134"/>
        <v>16</v>
      </c>
      <c r="D803" s="4">
        <f t="shared" si="128"/>
        <v>8</v>
      </c>
      <c r="E803" s="4" t="s">
        <v>27</v>
      </c>
      <c r="F803" s="4">
        <f t="shared" si="129"/>
        <v>800</v>
      </c>
      <c r="G803" s="5">
        <f t="shared" si="135"/>
        <v>1.01</v>
      </c>
      <c r="H803" s="6" t="str">
        <f t="shared" si="130"/>
        <v>INSERT INTO public.coupon (plancode, age, "year", couponrate, benefittype, benefitrate, premiumrate) VALUES('EN60', 42, 16, 8, 'A',800, 1.01);</v>
      </c>
      <c r="I803" s="6" t="str">
        <f t="shared" si="131"/>
        <v>{"age":"42", "year":"16", "couponrate":"8", "benefittype":"A", "benefitrate":"800", "premiumrate":"1.01"}</v>
      </c>
      <c r="J803" s="6" t="str">
        <f t="shared" si="132"/>
        <v>,</v>
      </c>
    </row>
    <row r="804" spans="1:10">
      <c r="A804" s="4" t="str">
        <f>'EN60'!A$3</f>
        <v>EN60</v>
      </c>
      <c r="B804" s="4">
        <f t="shared" si="133"/>
        <v>42</v>
      </c>
      <c r="C804" s="4">
        <f t="shared" si="134"/>
        <v>17</v>
      </c>
      <c r="D804" s="4">
        <f t="shared" si="128"/>
        <v>8</v>
      </c>
      <c r="E804" s="4" t="s">
        <v>27</v>
      </c>
      <c r="F804" s="4">
        <f t="shared" si="129"/>
        <v>800</v>
      </c>
      <c r="G804" s="5">
        <f t="shared" si="135"/>
        <v>1.01</v>
      </c>
      <c r="H804" s="6" t="str">
        <f t="shared" si="130"/>
        <v>INSERT INTO public.coupon (plancode, age, "year", couponrate, benefittype, benefitrate, premiumrate) VALUES('EN60', 42, 17, 8, 'A',800, 1.01);</v>
      </c>
      <c r="I804" s="6" t="str">
        <f t="shared" si="131"/>
        <v>{"age":"42", "year":"17", "couponrate":"8", "benefittype":"A", "benefitrate":"800", "premiumrate":"1.01"}</v>
      </c>
      <c r="J804" s="6" t="str">
        <f t="shared" si="132"/>
        <v>,</v>
      </c>
    </row>
    <row r="805" spans="1:10">
      <c r="A805" s="4" t="str">
        <f>'EN60'!A$3</f>
        <v>EN60</v>
      </c>
      <c r="B805" s="4">
        <f t="shared" si="133"/>
        <v>42</v>
      </c>
      <c r="C805" s="4">
        <f t="shared" si="134"/>
        <v>18</v>
      </c>
      <c r="D805" s="4">
        <f t="shared" si="128"/>
        <v>8</v>
      </c>
      <c r="E805" s="4" t="s">
        <v>27</v>
      </c>
      <c r="F805" s="4">
        <f t="shared" si="129"/>
        <v>800</v>
      </c>
      <c r="G805" s="5">
        <f t="shared" si="135"/>
        <v>1.01</v>
      </c>
      <c r="H805" s="6" t="str">
        <f t="shared" si="130"/>
        <v>INSERT INTO public.coupon (plancode, age, "year", couponrate, benefittype, benefitrate, premiumrate) VALUES('EN60', 42, 18, 8, 'A',800, 1.01);</v>
      </c>
      <c r="I805" s="6" t="str">
        <f t="shared" si="131"/>
        <v>{"age":"42", "year":"18", "couponrate":"8", "benefittype":"A", "benefitrate":"800", "premiumrate":"1.01"}</v>
      </c>
      <c r="J805" s="6" t="str">
        <f t="shared" si="132"/>
        <v>,</v>
      </c>
    </row>
    <row r="806" spans="1:10">
      <c r="A806" s="4" t="str">
        <f>'EN60'!A$3</f>
        <v>EN60</v>
      </c>
      <c r="B806" s="4">
        <f t="shared" si="133"/>
        <v>42</v>
      </c>
      <c r="C806" s="4">
        <f t="shared" si="134"/>
        <v>19</v>
      </c>
      <c r="D806" s="4">
        <f t="shared" si="128"/>
        <v>8</v>
      </c>
      <c r="E806" s="4" t="s">
        <v>27</v>
      </c>
      <c r="F806" s="4">
        <f t="shared" si="129"/>
        <v>800</v>
      </c>
      <c r="G806" s="5">
        <f t="shared" si="135"/>
        <v>1.01</v>
      </c>
      <c r="H806" s="6" t="str">
        <f t="shared" si="130"/>
        <v>INSERT INTO public.coupon (plancode, age, "year", couponrate, benefittype, benefitrate, premiumrate) VALUES('EN60', 42, 19, 8, 'A',800, 1.01);</v>
      </c>
      <c r="I806" s="6" t="str">
        <f t="shared" si="131"/>
        <v>{"age":"42", "year":"19", "couponrate":"8", "benefittype":"A", "benefitrate":"800", "premiumrate":"1.01"}</v>
      </c>
      <c r="J806" s="6" t="str">
        <f t="shared" si="132"/>
        <v>,</v>
      </c>
    </row>
    <row r="807" spans="1:10">
      <c r="A807" s="4" t="str">
        <f>'EN60'!A$3</f>
        <v>EN60</v>
      </c>
      <c r="B807" s="4">
        <f t="shared" si="133"/>
        <v>42</v>
      </c>
      <c r="C807" s="4">
        <f t="shared" si="134"/>
        <v>20</v>
      </c>
      <c r="D807" s="4">
        <f t="shared" si="128"/>
        <v>8</v>
      </c>
      <c r="E807" s="4" t="s">
        <v>27</v>
      </c>
      <c r="F807" s="4">
        <f t="shared" si="129"/>
        <v>800</v>
      </c>
      <c r="G807" s="5">
        <f t="shared" si="135"/>
        <v>1.01</v>
      </c>
      <c r="H807" s="6" t="str">
        <f t="shared" si="130"/>
        <v>INSERT INTO public.coupon (plancode, age, "year", couponrate, benefittype, benefitrate, premiumrate) VALUES('EN60', 42, 20, 8, 'A',800, 1.01);</v>
      </c>
      <c r="I807" s="6" t="str">
        <f t="shared" si="131"/>
        <v>{"age":"42", "year":"20", "couponrate":"8", "benefittype":"A", "benefitrate":"800", "premiumrate":"1.01"}</v>
      </c>
      <c r="J807" s="6" t="str">
        <f t="shared" si="132"/>
        <v>,</v>
      </c>
    </row>
    <row r="808" spans="1:10">
      <c r="A808" s="4" t="str">
        <f>'EN60'!A$3</f>
        <v>EN60</v>
      </c>
      <c r="B808" s="4">
        <f t="shared" si="133"/>
        <v>42</v>
      </c>
      <c r="C808" s="4">
        <f t="shared" si="134"/>
        <v>21</v>
      </c>
      <c r="D808" s="4">
        <f t="shared" si="128"/>
        <v>8</v>
      </c>
      <c r="E808" s="4" t="s">
        <v>27</v>
      </c>
      <c r="F808" s="4">
        <f t="shared" si="129"/>
        <v>800</v>
      </c>
      <c r="G808" s="5">
        <f t="shared" si="135"/>
        <v>1.01</v>
      </c>
      <c r="H808" s="6" t="str">
        <f t="shared" si="130"/>
        <v>INSERT INTO public.coupon (plancode, age, "year", couponrate, benefittype, benefitrate, premiumrate) VALUES('EN60', 42, 21, 8, 'A',800, 1.01);</v>
      </c>
      <c r="I808" s="6" t="str">
        <f t="shared" si="131"/>
        <v>{"age":"42", "year":"21", "couponrate":"8", "benefittype":"A", "benefitrate":"800", "premiumrate":"1.01"}</v>
      </c>
      <c r="J808" s="6" t="str">
        <f t="shared" si="132"/>
        <v>,</v>
      </c>
    </row>
    <row r="809" spans="1:10">
      <c r="A809" s="4" t="str">
        <f>'EN60'!A$3</f>
        <v>EN60</v>
      </c>
      <c r="B809" s="4">
        <f t="shared" si="133"/>
        <v>42</v>
      </c>
      <c r="C809" s="4">
        <f t="shared" si="134"/>
        <v>22</v>
      </c>
      <c r="D809" s="4">
        <f t="shared" si="128"/>
        <v>8</v>
      </c>
      <c r="E809" s="4" t="s">
        <v>27</v>
      </c>
      <c r="F809" s="4">
        <f t="shared" si="129"/>
        <v>800</v>
      </c>
      <c r="G809" s="5">
        <f t="shared" si="135"/>
        <v>1.01</v>
      </c>
      <c r="H809" s="6" t="str">
        <f t="shared" si="130"/>
        <v>INSERT INTO public.coupon (plancode, age, "year", couponrate, benefittype, benefitrate, premiumrate) VALUES('EN60', 42, 22, 8, 'A',800, 1.01);</v>
      </c>
      <c r="I809" s="6" t="str">
        <f t="shared" si="131"/>
        <v>{"age":"42", "year":"22", "couponrate":"8", "benefittype":"A", "benefitrate":"800", "premiumrate":"1.01"}</v>
      </c>
      <c r="J809" s="6" t="str">
        <f t="shared" si="132"/>
        <v>,</v>
      </c>
    </row>
    <row r="810" spans="1:10">
      <c r="A810" s="4" t="str">
        <f>'EN60'!A$3</f>
        <v>EN60</v>
      </c>
      <c r="B810" s="4">
        <f t="shared" si="133"/>
        <v>42</v>
      </c>
      <c r="C810" s="4">
        <f t="shared" si="134"/>
        <v>23</v>
      </c>
      <c r="D810" s="4">
        <f t="shared" si="128"/>
        <v>8</v>
      </c>
      <c r="E810" s="4" t="s">
        <v>27</v>
      </c>
      <c r="F810" s="4">
        <f t="shared" si="129"/>
        <v>800</v>
      </c>
      <c r="G810" s="5">
        <f t="shared" si="135"/>
        <v>1.01</v>
      </c>
      <c r="H810" s="6" t="str">
        <f t="shared" si="130"/>
        <v>INSERT INTO public.coupon (plancode, age, "year", couponrate, benefittype, benefitrate, premiumrate) VALUES('EN60', 42, 23, 8, 'A',800, 1.01);</v>
      </c>
      <c r="I810" s="6" t="str">
        <f t="shared" si="131"/>
        <v>{"age":"42", "year":"23", "couponrate":"8", "benefittype":"A", "benefitrate":"800", "premiumrate":"1.01"}</v>
      </c>
      <c r="J810" s="6" t="str">
        <f t="shared" si="132"/>
        <v>,</v>
      </c>
    </row>
    <row r="811" spans="1:10">
      <c r="A811" s="4" t="str">
        <f>'EN60'!A$3</f>
        <v>EN60</v>
      </c>
      <c r="B811" s="4">
        <f t="shared" si="133"/>
        <v>42</v>
      </c>
      <c r="C811" s="4">
        <f t="shared" si="134"/>
        <v>24</v>
      </c>
      <c r="D811" s="4">
        <f t="shared" si="128"/>
        <v>8</v>
      </c>
      <c r="E811" s="4" t="s">
        <v>27</v>
      </c>
      <c r="F811" s="4">
        <f t="shared" si="129"/>
        <v>800</v>
      </c>
      <c r="G811" s="5">
        <f t="shared" si="135"/>
        <v>1.01</v>
      </c>
      <c r="H811" s="6" t="str">
        <f t="shared" si="130"/>
        <v>INSERT INTO public.coupon (plancode, age, "year", couponrate, benefittype, benefitrate, premiumrate) VALUES('EN60', 42, 24, 8, 'A',800, 1.01);</v>
      </c>
      <c r="I811" s="6" t="str">
        <f t="shared" si="131"/>
        <v>{"age":"42", "year":"24", "couponrate":"8", "benefittype":"A", "benefitrate":"800", "premiumrate":"1.01"}</v>
      </c>
      <c r="J811" s="6" t="str">
        <f t="shared" si="132"/>
        <v>,</v>
      </c>
    </row>
    <row r="812" spans="1:10">
      <c r="A812" s="4" t="str">
        <f>'EN60'!A$3</f>
        <v>EN60</v>
      </c>
      <c r="B812" s="4">
        <f t="shared" si="133"/>
        <v>42</v>
      </c>
      <c r="C812" s="4">
        <f t="shared" si="134"/>
        <v>25</v>
      </c>
      <c r="D812" s="4">
        <f t="shared" si="128"/>
        <v>8</v>
      </c>
      <c r="E812" s="4" t="s">
        <v>27</v>
      </c>
      <c r="F812" s="4">
        <f t="shared" si="129"/>
        <v>800</v>
      </c>
      <c r="G812" s="5">
        <f t="shared" si="135"/>
        <v>1.01</v>
      </c>
      <c r="H812" s="6" t="str">
        <f t="shared" si="130"/>
        <v>INSERT INTO public.coupon (plancode, age, "year", couponrate, benefittype, benefitrate, premiumrate) VALUES('EN60', 42, 25, 8, 'A',800, 1.01);</v>
      </c>
      <c r="I812" s="6" t="str">
        <f t="shared" si="131"/>
        <v>{"age":"42", "year":"25", "couponrate":"8", "benefittype":"A", "benefitrate":"800", "premiumrate":"1.01"}</v>
      </c>
      <c r="J812" s="6" t="str">
        <f t="shared" si="132"/>
        <v>,</v>
      </c>
    </row>
    <row r="813" spans="1:10">
      <c r="A813" s="4" t="str">
        <f>'EN60'!A$3</f>
        <v>EN60</v>
      </c>
      <c r="B813" s="4">
        <f t="shared" si="133"/>
        <v>42</v>
      </c>
      <c r="C813" s="4">
        <f t="shared" si="134"/>
        <v>26</v>
      </c>
      <c r="D813" s="4">
        <f t="shared" si="128"/>
        <v>8</v>
      </c>
      <c r="E813" s="4" t="s">
        <v>27</v>
      </c>
      <c r="F813" s="4">
        <f t="shared" si="129"/>
        <v>800</v>
      </c>
      <c r="G813" s="5">
        <f t="shared" si="135"/>
        <v>1.01</v>
      </c>
      <c r="H813" s="6" t="str">
        <f t="shared" si="130"/>
        <v>INSERT INTO public.coupon (plancode, age, "year", couponrate, benefittype, benefitrate, premiumrate) VALUES('EN60', 42, 26, 8, 'A',800, 1.01);</v>
      </c>
      <c r="I813" s="6" t="str">
        <f t="shared" si="131"/>
        <v>{"age":"42", "year":"26", "couponrate":"8", "benefittype":"A", "benefitrate":"800", "premiumrate":"1.01"}</v>
      </c>
      <c r="J813" s="6" t="str">
        <f t="shared" si="132"/>
        <v>,</v>
      </c>
    </row>
    <row r="814" spans="1:10">
      <c r="A814" s="4" t="str">
        <f>'EN60'!A$3</f>
        <v>EN60</v>
      </c>
      <c r="B814" s="4">
        <f t="shared" si="133"/>
        <v>42</v>
      </c>
      <c r="C814" s="4">
        <f t="shared" si="134"/>
        <v>27</v>
      </c>
      <c r="D814" s="4">
        <f t="shared" si="128"/>
        <v>8</v>
      </c>
      <c r="E814" s="4" t="s">
        <v>27</v>
      </c>
      <c r="F814" s="4">
        <f t="shared" si="129"/>
        <v>800</v>
      </c>
      <c r="G814" s="5">
        <f t="shared" si="135"/>
        <v>1.01</v>
      </c>
      <c r="H814" s="6" t="str">
        <f t="shared" si="130"/>
        <v>INSERT INTO public.coupon (plancode, age, "year", couponrate, benefittype, benefitrate, premiumrate) VALUES('EN60', 42, 27, 8, 'A',800, 1.01);</v>
      </c>
      <c r="I814" s="6" t="str">
        <f t="shared" si="131"/>
        <v>{"age":"42", "year":"27", "couponrate":"8", "benefittype":"A", "benefitrate":"800", "premiumrate":"1.01"}</v>
      </c>
      <c r="J814" s="6" t="str">
        <f t="shared" si="132"/>
        <v>,</v>
      </c>
    </row>
    <row r="815" spans="1:10">
      <c r="A815" s="4" t="str">
        <f>'EN60'!A$3</f>
        <v>EN60</v>
      </c>
      <c r="B815" s="4">
        <f t="shared" si="133"/>
        <v>42</v>
      </c>
      <c r="C815" s="4">
        <f t="shared" si="134"/>
        <v>28</v>
      </c>
      <c r="D815" s="4">
        <f t="shared" si="128"/>
        <v>8</v>
      </c>
      <c r="E815" s="4" t="s">
        <v>27</v>
      </c>
      <c r="F815" s="4">
        <f t="shared" si="129"/>
        <v>800</v>
      </c>
      <c r="G815" s="5">
        <f t="shared" si="135"/>
        <v>1.01</v>
      </c>
      <c r="H815" s="6" t="str">
        <f t="shared" si="130"/>
        <v>INSERT INTO public.coupon (plancode, age, "year", couponrate, benefittype, benefitrate, premiumrate) VALUES('EN60', 42, 28, 8, 'A',800, 1.01);</v>
      </c>
      <c r="I815" s="6" t="str">
        <f t="shared" si="131"/>
        <v>{"age":"42", "year":"28", "couponrate":"8", "benefittype":"A", "benefitrate":"800", "premiumrate":"1.01"}</v>
      </c>
      <c r="J815" s="6" t="str">
        <f t="shared" si="132"/>
        <v>,</v>
      </c>
    </row>
    <row r="816" spans="1:10">
      <c r="A816" s="4" t="str">
        <f>'EN60'!A$3</f>
        <v>EN60</v>
      </c>
      <c r="B816" s="4">
        <f t="shared" si="133"/>
        <v>42</v>
      </c>
      <c r="C816" s="4">
        <f t="shared" si="134"/>
        <v>29</v>
      </c>
      <c r="D816" s="4">
        <f t="shared" si="128"/>
        <v>8</v>
      </c>
      <c r="E816" s="4" t="s">
        <v>27</v>
      </c>
      <c r="F816" s="4">
        <f t="shared" si="129"/>
        <v>800</v>
      </c>
      <c r="G816" s="5">
        <f t="shared" si="135"/>
        <v>1.01</v>
      </c>
      <c r="H816" s="6" t="str">
        <f t="shared" si="130"/>
        <v>INSERT INTO public.coupon (plancode, age, "year", couponrate, benefittype, benefitrate, premiumrate) VALUES('EN60', 42, 29, 8, 'A',800, 1.01);</v>
      </c>
      <c r="I816" s="6" t="str">
        <f t="shared" si="131"/>
        <v>{"age":"42", "year":"29", "couponrate":"8", "benefittype":"A", "benefitrate":"800", "premiumrate":"1.01"}</v>
      </c>
      <c r="J816" s="6" t="str">
        <f t="shared" si="132"/>
        <v>,</v>
      </c>
    </row>
    <row r="817" spans="1:10">
      <c r="A817" s="4" t="str">
        <f>'EN60'!A$3</f>
        <v>EN60</v>
      </c>
      <c r="B817" s="4">
        <f t="shared" si="133"/>
        <v>42</v>
      </c>
      <c r="C817" s="4">
        <f t="shared" si="134"/>
        <v>30</v>
      </c>
      <c r="D817" s="4">
        <f t="shared" si="128"/>
        <v>8</v>
      </c>
      <c r="E817" s="4" t="s">
        <v>27</v>
      </c>
      <c r="F817" s="4">
        <f t="shared" si="129"/>
        <v>800</v>
      </c>
      <c r="G817" s="5">
        <f t="shared" si="135"/>
        <v>1.01</v>
      </c>
      <c r="H817" s="6" t="str">
        <f t="shared" si="130"/>
        <v>INSERT INTO public.coupon (plancode, age, "year", couponrate, benefittype, benefitrate, premiumrate) VALUES('EN60', 42, 30, 8, 'A',800, 1.01);</v>
      </c>
      <c r="I817" s="6" t="str">
        <f t="shared" si="131"/>
        <v>{"age":"42", "year":"30", "couponrate":"8", "benefittype":"A", "benefitrate":"800", "premiumrate":"1.01"}</v>
      </c>
      <c r="J817" s="6" t="str">
        <f t="shared" si="132"/>
        <v>,</v>
      </c>
    </row>
    <row r="818" spans="1:10">
      <c r="A818" s="4" t="str">
        <f>'EN60'!A$3</f>
        <v>EN60</v>
      </c>
      <c r="B818" s="4">
        <f t="shared" si="133"/>
        <v>42</v>
      </c>
      <c r="C818" s="4">
        <f t="shared" si="134"/>
        <v>31</v>
      </c>
      <c r="D818" s="4">
        <f t="shared" si="128"/>
        <v>8</v>
      </c>
      <c r="E818" s="4" t="s">
        <v>27</v>
      </c>
      <c r="F818" s="4">
        <f t="shared" si="129"/>
        <v>800</v>
      </c>
      <c r="G818" s="5">
        <f t="shared" si="135"/>
        <v>1.01</v>
      </c>
      <c r="H818" s="6" t="str">
        <f t="shared" si="130"/>
        <v>INSERT INTO public.coupon (plancode, age, "year", couponrate, benefittype, benefitrate, premiumrate) VALUES('EN60', 42, 31, 8, 'A',800, 1.01);</v>
      </c>
      <c r="I818" s="6" t="str">
        <f t="shared" si="131"/>
        <v>{"age":"42", "year":"31", "couponrate":"8", "benefittype":"A", "benefitrate":"800", "premiumrate":"1.01"}</v>
      </c>
      <c r="J818" s="6" t="str">
        <f t="shared" si="132"/>
        <v>,</v>
      </c>
    </row>
    <row r="819" spans="1:10">
      <c r="A819" s="4" t="str">
        <f>'EN60'!A$3</f>
        <v>EN60</v>
      </c>
      <c r="B819" s="4">
        <f t="shared" si="133"/>
        <v>42</v>
      </c>
      <c r="C819" s="4">
        <f t="shared" si="134"/>
        <v>32</v>
      </c>
      <c r="D819" s="4">
        <f t="shared" si="128"/>
        <v>8</v>
      </c>
      <c r="E819" s="4" t="s">
        <v>27</v>
      </c>
      <c r="F819" s="4">
        <f t="shared" si="129"/>
        <v>800</v>
      </c>
      <c r="G819" s="5">
        <f t="shared" si="135"/>
        <v>1.01</v>
      </c>
      <c r="H819" s="6" t="str">
        <f t="shared" si="130"/>
        <v>INSERT INTO public.coupon (plancode, age, "year", couponrate, benefittype, benefitrate, premiumrate) VALUES('EN60', 42, 32, 8, 'A',800, 1.01);</v>
      </c>
      <c r="I819" s="6" t="str">
        <f t="shared" si="131"/>
        <v>{"age":"42", "year":"32", "couponrate":"8", "benefittype":"A", "benefitrate":"800", "premiumrate":"1.01"}</v>
      </c>
      <c r="J819" s="6" t="str">
        <f t="shared" si="132"/>
        <v>,</v>
      </c>
    </row>
    <row r="820" spans="1:10">
      <c r="A820" s="4" t="str">
        <f>'EN60'!A$3</f>
        <v>EN60</v>
      </c>
      <c r="B820" s="4">
        <f t="shared" si="133"/>
        <v>42</v>
      </c>
      <c r="C820" s="4">
        <f t="shared" si="134"/>
        <v>33</v>
      </c>
      <c r="D820" s="4">
        <f t="shared" si="128"/>
        <v>8</v>
      </c>
      <c r="E820" s="4" t="s">
        <v>27</v>
      </c>
      <c r="F820" s="4">
        <f t="shared" si="129"/>
        <v>800</v>
      </c>
      <c r="G820" s="5">
        <f t="shared" si="135"/>
        <v>1.01</v>
      </c>
      <c r="H820" s="6" t="str">
        <f t="shared" si="130"/>
        <v>INSERT INTO public.coupon (plancode, age, "year", couponrate, benefittype, benefitrate, premiumrate) VALUES('EN60', 42, 33, 8, 'A',800, 1.01);</v>
      </c>
      <c r="I820" s="6" t="str">
        <f t="shared" si="131"/>
        <v>{"age":"42", "year":"33", "couponrate":"8", "benefittype":"A", "benefitrate":"800", "premiumrate":"1.01"}</v>
      </c>
      <c r="J820" s="6" t="str">
        <f t="shared" si="132"/>
        <v>,</v>
      </c>
    </row>
    <row r="821" spans="1:10">
      <c r="A821" s="4" t="str">
        <f>'EN60'!A$3</f>
        <v>EN60</v>
      </c>
      <c r="B821" s="4">
        <f t="shared" si="133"/>
        <v>42</v>
      </c>
      <c r="C821" s="4">
        <f t="shared" si="134"/>
        <v>34</v>
      </c>
      <c r="D821" s="4">
        <f t="shared" si="128"/>
        <v>8</v>
      </c>
      <c r="E821" s="4" t="s">
        <v>27</v>
      </c>
      <c r="F821" s="4">
        <f t="shared" si="129"/>
        <v>800</v>
      </c>
      <c r="G821" s="5">
        <f t="shared" si="135"/>
        <v>1.01</v>
      </c>
      <c r="H821" s="6" t="str">
        <f t="shared" si="130"/>
        <v>INSERT INTO public.coupon (plancode, age, "year", couponrate, benefittype, benefitrate, premiumrate) VALUES('EN60', 42, 34, 8, 'A',800, 1.01);</v>
      </c>
      <c r="I821" s="6" t="str">
        <f t="shared" si="131"/>
        <v>{"age":"42", "year":"34", "couponrate":"8", "benefittype":"A", "benefitrate":"800", "premiumrate":"1.01"}</v>
      </c>
      <c r="J821" s="6" t="str">
        <f t="shared" si="132"/>
        <v>,</v>
      </c>
    </row>
    <row r="822" spans="1:10">
      <c r="A822" s="4" t="str">
        <f>'EN60'!A$3</f>
        <v>EN60</v>
      </c>
      <c r="B822" s="4">
        <f t="shared" si="133"/>
        <v>42</v>
      </c>
      <c r="C822" s="4">
        <f t="shared" si="134"/>
        <v>35</v>
      </c>
      <c r="D822" s="4">
        <f t="shared" si="128"/>
        <v>8</v>
      </c>
      <c r="E822" s="4" t="s">
        <v>27</v>
      </c>
      <c r="F822" s="4">
        <f t="shared" si="129"/>
        <v>800</v>
      </c>
      <c r="G822" s="5">
        <f t="shared" si="135"/>
        <v>1.01</v>
      </c>
      <c r="H822" s="6" t="str">
        <f t="shared" si="130"/>
        <v>INSERT INTO public.coupon (plancode, age, "year", couponrate, benefittype, benefitrate, premiumrate) VALUES('EN60', 42, 35, 8, 'A',800, 1.01);</v>
      </c>
      <c r="I822" s="6" t="str">
        <f t="shared" si="131"/>
        <v>{"age":"42", "year":"35", "couponrate":"8", "benefittype":"A", "benefitrate":"800", "premiumrate":"1.01"}</v>
      </c>
      <c r="J822" s="6" t="str">
        <f t="shared" si="132"/>
        <v>,</v>
      </c>
    </row>
    <row r="823" spans="1:10">
      <c r="A823" s="4" t="str">
        <f>'EN60'!A$3</f>
        <v>EN60</v>
      </c>
      <c r="B823" s="4">
        <f t="shared" si="133"/>
        <v>42</v>
      </c>
      <c r="C823" s="4">
        <f t="shared" si="134"/>
        <v>36</v>
      </c>
      <c r="D823" s="4">
        <f t="shared" si="128"/>
        <v>8</v>
      </c>
      <c r="E823" s="4" t="s">
        <v>27</v>
      </c>
      <c r="F823" s="4">
        <f t="shared" si="129"/>
        <v>800</v>
      </c>
      <c r="G823" s="5">
        <f t="shared" si="135"/>
        <v>1.01</v>
      </c>
      <c r="H823" s="6" t="str">
        <f t="shared" si="130"/>
        <v>INSERT INTO public.coupon (plancode, age, "year", couponrate, benefittype, benefitrate, premiumrate) VALUES('EN60', 42, 36, 8, 'A',800, 1.01);</v>
      </c>
      <c r="I823" s="6" t="str">
        <f t="shared" si="131"/>
        <v>{"age":"42", "year":"36", "couponrate":"8", "benefittype":"A", "benefitrate":"800", "premiumrate":"1.01"}</v>
      </c>
      <c r="J823" s="6" t="str">
        <f t="shared" si="132"/>
        <v>,</v>
      </c>
    </row>
    <row r="824" spans="1:10">
      <c r="A824" s="4" t="str">
        <f>'EN60'!A$3</f>
        <v>EN60</v>
      </c>
      <c r="B824" s="4">
        <f t="shared" si="133"/>
        <v>42</v>
      </c>
      <c r="C824" s="4">
        <f t="shared" si="134"/>
        <v>37</v>
      </c>
      <c r="D824" s="4">
        <f t="shared" si="128"/>
        <v>8</v>
      </c>
      <c r="E824" s="4" t="s">
        <v>27</v>
      </c>
      <c r="F824" s="4">
        <f t="shared" si="129"/>
        <v>800</v>
      </c>
      <c r="G824" s="5">
        <f t="shared" si="135"/>
        <v>1.01</v>
      </c>
      <c r="H824" s="6" t="str">
        <f t="shared" si="130"/>
        <v>INSERT INTO public.coupon (plancode, age, "year", couponrate, benefittype, benefitrate, premiumrate) VALUES('EN60', 42, 37, 8, 'A',800, 1.01);</v>
      </c>
      <c r="I824" s="6" t="str">
        <f t="shared" si="131"/>
        <v>{"age":"42", "year":"37", "couponrate":"8", "benefittype":"A", "benefitrate":"800", "premiumrate":"1.01"}</v>
      </c>
      <c r="J824" s="6" t="str">
        <f t="shared" si="132"/>
        <v>,</v>
      </c>
    </row>
    <row r="825" spans="1:10">
      <c r="A825" s="4" t="str">
        <f>'EN60'!A$3</f>
        <v>EN60</v>
      </c>
      <c r="B825" s="4">
        <f t="shared" si="133"/>
        <v>42</v>
      </c>
      <c r="C825" s="4">
        <f t="shared" si="134"/>
        <v>38</v>
      </c>
      <c r="D825" s="4">
        <f t="shared" si="128"/>
        <v>0</v>
      </c>
      <c r="E825" s="4" t="s">
        <v>27</v>
      </c>
      <c r="F825" s="4">
        <f t="shared" si="129"/>
        <v>800</v>
      </c>
      <c r="G825" s="5">
        <f t="shared" si="135"/>
        <v>1.01</v>
      </c>
      <c r="H825" s="6" t="str">
        <f t="shared" si="130"/>
        <v>INSERT INTO public.coupon (plancode, age, "year", couponrate, benefittype, benefitrate, premiumrate) VALUES('EN60', 42, 38, 0, 'A',800, 1.01);</v>
      </c>
      <c r="I825" s="6" t="str">
        <f t="shared" si="131"/>
        <v>{"age":"42", "year":"38", "couponrate":"0", "benefittype":"A", "benefitrate":"800", "premiumrate":"1.01"}</v>
      </c>
    </row>
    <row r="826" spans="1:10">
      <c r="C826" s="6"/>
      <c r="I826" s="6" t="s">
        <v>28</v>
      </c>
    </row>
    <row r="827" spans="1:10">
      <c r="A827" s="3" t="s">
        <v>2</v>
      </c>
      <c r="B827" s="3" t="s">
        <v>23</v>
      </c>
      <c r="C827" s="3" t="s">
        <v>24</v>
      </c>
      <c r="D827" s="3" t="s">
        <v>25</v>
      </c>
      <c r="E827" s="3" t="s">
        <v>8</v>
      </c>
      <c r="F827" s="3" t="s">
        <v>26</v>
      </c>
      <c r="G827" s="3" t="s">
        <v>4</v>
      </c>
      <c r="I827" s="6" t="str">
        <f>"[{""plancode"":"""&amp;A828&amp;""",""returncash"":"""&amp;B$7&amp;""",""ytable"":"""&amp;C$7&amp;""",""maturerate"":"""&amp;B$3&amp;""",""maturepmrate"":"""&amp;C$3&amp;""",""coupon"":["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828" spans="1:10">
      <c r="A828" s="4" t="str">
        <f>'EN60'!A$3</f>
        <v>EN60</v>
      </c>
      <c r="B828" s="8">
        <v>43</v>
      </c>
      <c r="C828" s="4">
        <v>1</v>
      </c>
      <c r="D828" s="4">
        <f t="shared" ref="D828:D864" si="136">IF(C828+B828=80,0,8)</f>
        <v>8</v>
      </c>
      <c r="E828" s="4" t="s">
        <v>27</v>
      </c>
      <c r="F828" s="4">
        <f t="shared" ref="F828:F864" si="137">IF(C828&gt;7, 800, C828*100)</f>
        <v>100</v>
      </c>
      <c r="G828" s="5">
        <f>'EN60'!C$3</f>
        <v>1.01</v>
      </c>
      <c r="H828" s="6" t="str">
        <f t="shared" ref="H828:H864" si="138">"INSERT INTO public.coupon ("&amp;A$11&amp;", "&amp;B$11&amp;", """&amp;C$11&amp;""", "&amp;D$11&amp;", "&amp;E$11&amp;", "&amp;F$11&amp;", "&amp;G$11&amp;") VALUES('"&amp;A828&amp;"', "&amp;B828&amp;", "&amp;C828&amp;", "&amp;D828&amp;", '"&amp;E828&amp;"',"&amp;F828&amp;", "&amp;G828&amp;");"</f>
        <v>INSERT INTO public.coupon (plancode, age, "year", couponrate, benefittype, benefitrate, premiumrate) VALUES('EN60', 43, 1, 8, 'A',100, 1.01);</v>
      </c>
      <c r="I828" s="6" t="str">
        <f t="shared" ref="I828:I864" si="139">"{""age"":"""&amp;B828&amp;""", ""year"":"""&amp;C828&amp;""", ""couponrate"":"""&amp;D828&amp;""", ""benefittype"":"""&amp;E828&amp;""", ""benefitrate"":"""&amp;F828&amp;""", """&amp;G$11&amp;""":"""&amp;G828&amp;"""}"</f>
        <v>{"age":"43", "year":"1", "couponrate":"8", "benefittype":"A", "benefitrate":"100", "premiumrate":"1.01"}</v>
      </c>
      <c r="J828" s="6" t="str">
        <f t="shared" ref="J828:J863" si="140">IF(OR(I829="]", I828="[", I828="]"), "", ",")</f>
        <v>,</v>
      </c>
    </row>
    <row r="829" spans="1:10">
      <c r="A829" s="4" t="str">
        <f>'EN60'!A$3</f>
        <v>EN60</v>
      </c>
      <c r="B829" s="4">
        <f t="shared" ref="B829:B864" si="141">B828</f>
        <v>43</v>
      </c>
      <c r="C829" s="4">
        <f t="shared" ref="C829:C864" si="142">IF(B829+C828+1&gt;80,"",C828+1)</f>
        <v>2</v>
      </c>
      <c r="D829" s="4">
        <f t="shared" si="136"/>
        <v>8</v>
      </c>
      <c r="E829" s="4" t="s">
        <v>27</v>
      </c>
      <c r="F829" s="4">
        <f t="shared" si="137"/>
        <v>200</v>
      </c>
      <c r="G829" s="5">
        <f t="shared" ref="G829:G864" si="143">G828</f>
        <v>1.01</v>
      </c>
      <c r="H829" s="6" t="str">
        <f t="shared" si="138"/>
        <v>INSERT INTO public.coupon (plancode, age, "year", couponrate, benefittype, benefitrate, premiumrate) VALUES('EN60', 43, 2, 8, 'A',200, 1.01);</v>
      </c>
      <c r="I829" s="6" t="str">
        <f t="shared" si="139"/>
        <v>{"age":"43", "year":"2", "couponrate":"8", "benefittype":"A", "benefitrate":"200", "premiumrate":"1.01"}</v>
      </c>
      <c r="J829" s="6" t="str">
        <f t="shared" si="140"/>
        <v>,</v>
      </c>
    </row>
    <row r="830" spans="1:10">
      <c r="A830" s="4" t="str">
        <f>'EN60'!A$3</f>
        <v>EN60</v>
      </c>
      <c r="B830" s="4">
        <f t="shared" si="141"/>
        <v>43</v>
      </c>
      <c r="C830" s="4">
        <f t="shared" si="142"/>
        <v>3</v>
      </c>
      <c r="D830" s="4">
        <f t="shared" si="136"/>
        <v>8</v>
      </c>
      <c r="E830" s="4" t="s">
        <v>27</v>
      </c>
      <c r="F830" s="4">
        <f t="shared" si="137"/>
        <v>300</v>
      </c>
      <c r="G830" s="5">
        <f t="shared" si="143"/>
        <v>1.01</v>
      </c>
      <c r="H830" s="6" t="str">
        <f t="shared" si="138"/>
        <v>INSERT INTO public.coupon (plancode, age, "year", couponrate, benefittype, benefitrate, premiumrate) VALUES('EN60', 43, 3, 8, 'A',300, 1.01);</v>
      </c>
      <c r="I830" s="6" t="str">
        <f t="shared" si="139"/>
        <v>{"age":"43", "year":"3", "couponrate":"8", "benefittype":"A", "benefitrate":"300", "premiumrate":"1.01"}</v>
      </c>
      <c r="J830" s="6" t="str">
        <f t="shared" si="140"/>
        <v>,</v>
      </c>
    </row>
    <row r="831" spans="1:10">
      <c r="A831" s="4" t="str">
        <f>'EN60'!A$3</f>
        <v>EN60</v>
      </c>
      <c r="B831" s="4">
        <f t="shared" si="141"/>
        <v>43</v>
      </c>
      <c r="C831" s="4">
        <f t="shared" si="142"/>
        <v>4</v>
      </c>
      <c r="D831" s="4">
        <f t="shared" si="136"/>
        <v>8</v>
      </c>
      <c r="E831" s="4" t="s">
        <v>27</v>
      </c>
      <c r="F831" s="4">
        <f t="shared" si="137"/>
        <v>400</v>
      </c>
      <c r="G831" s="5">
        <f t="shared" si="143"/>
        <v>1.01</v>
      </c>
      <c r="H831" s="6" t="str">
        <f t="shared" si="138"/>
        <v>INSERT INTO public.coupon (plancode, age, "year", couponrate, benefittype, benefitrate, premiumrate) VALUES('EN60', 43, 4, 8, 'A',400, 1.01);</v>
      </c>
      <c r="I831" s="6" t="str">
        <f t="shared" si="139"/>
        <v>{"age":"43", "year":"4", "couponrate":"8", "benefittype":"A", "benefitrate":"400", "premiumrate":"1.01"}</v>
      </c>
      <c r="J831" s="6" t="str">
        <f t="shared" si="140"/>
        <v>,</v>
      </c>
    </row>
    <row r="832" spans="1:10">
      <c r="A832" s="4" t="str">
        <f>'EN60'!A$3</f>
        <v>EN60</v>
      </c>
      <c r="B832" s="4">
        <f t="shared" si="141"/>
        <v>43</v>
      </c>
      <c r="C832" s="4">
        <f t="shared" si="142"/>
        <v>5</v>
      </c>
      <c r="D832" s="4">
        <f t="shared" si="136"/>
        <v>8</v>
      </c>
      <c r="E832" s="4" t="s">
        <v>27</v>
      </c>
      <c r="F832" s="4">
        <f t="shared" si="137"/>
        <v>500</v>
      </c>
      <c r="G832" s="5">
        <f t="shared" si="143"/>
        <v>1.01</v>
      </c>
      <c r="H832" s="6" t="str">
        <f t="shared" si="138"/>
        <v>INSERT INTO public.coupon (plancode, age, "year", couponrate, benefittype, benefitrate, premiumrate) VALUES('EN60', 43, 5, 8, 'A',500, 1.01);</v>
      </c>
      <c r="I832" s="6" t="str">
        <f t="shared" si="139"/>
        <v>{"age":"43", "year":"5", "couponrate":"8", "benefittype":"A", "benefitrate":"500", "premiumrate":"1.01"}</v>
      </c>
      <c r="J832" s="6" t="str">
        <f t="shared" si="140"/>
        <v>,</v>
      </c>
    </row>
    <row r="833" spans="1:10">
      <c r="A833" s="4" t="str">
        <f>'EN60'!A$3</f>
        <v>EN60</v>
      </c>
      <c r="B833" s="4">
        <f t="shared" si="141"/>
        <v>43</v>
      </c>
      <c r="C833" s="4">
        <f t="shared" si="142"/>
        <v>6</v>
      </c>
      <c r="D833" s="4">
        <f t="shared" si="136"/>
        <v>8</v>
      </c>
      <c r="E833" s="4" t="s">
        <v>27</v>
      </c>
      <c r="F833" s="4">
        <f t="shared" si="137"/>
        <v>600</v>
      </c>
      <c r="G833" s="5">
        <f t="shared" si="143"/>
        <v>1.01</v>
      </c>
      <c r="H833" s="6" t="str">
        <f t="shared" si="138"/>
        <v>INSERT INTO public.coupon (plancode, age, "year", couponrate, benefittype, benefitrate, premiumrate) VALUES('EN60', 43, 6, 8, 'A',600, 1.01);</v>
      </c>
      <c r="I833" s="6" t="str">
        <f t="shared" si="139"/>
        <v>{"age":"43", "year":"6", "couponrate":"8", "benefittype":"A", "benefitrate":"600", "premiumrate":"1.01"}</v>
      </c>
      <c r="J833" s="6" t="str">
        <f t="shared" si="140"/>
        <v>,</v>
      </c>
    </row>
    <row r="834" spans="1:10">
      <c r="A834" s="4" t="str">
        <f>'EN60'!A$3</f>
        <v>EN60</v>
      </c>
      <c r="B834" s="4">
        <f t="shared" si="141"/>
        <v>43</v>
      </c>
      <c r="C834" s="4">
        <f t="shared" si="142"/>
        <v>7</v>
      </c>
      <c r="D834" s="4">
        <f t="shared" si="136"/>
        <v>8</v>
      </c>
      <c r="E834" s="4" t="s">
        <v>27</v>
      </c>
      <c r="F834" s="4">
        <f t="shared" si="137"/>
        <v>700</v>
      </c>
      <c r="G834" s="5">
        <f t="shared" si="143"/>
        <v>1.01</v>
      </c>
      <c r="H834" s="6" t="str">
        <f t="shared" si="138"/>
        <v>INSERT INTO public.coupon (plancode, age, "year", couponrate, benefittype, benefitrate, premiumrate) VALUES('EN60', 43, 7, 8, 'A',700, 1.01);</v>
      </c>
      <c r="I834" s="6" t="str">
        <f t="shared" si="139"/>
        <v>{"age":"43", "year":"7", "couponrate":"8", "benefittype":"A", "benefitrate":"700", "premiumrate":"1.01"}</v>
      </c>
      <c r="J834" s="6" t="str">
        <f t="shared" si="140"/>
        <v>,</v>
      </c>
    </row>
    <row r="835" spans="1:10">
      <c r="A835" s="4" t="str">
        <f>'EN60'!A$3</f>
        <v>EN60</v>
      </c>
      <c r="B835" s="4">
        <f t="shared" si="141"/>
        <v>43</v>
      </c>
      <c r="C835" s="4">
        <f t="shared" si="142"/>
        <v>8</v>
      </c>
      <c r="D835" s="4">
        <f t="shared" si="136"/>
        <v>8</v>
      </c>
      <c r="E835" s="4" t="s">
        <v>27</v>
      </c>
      <c r="F835" s="4">
        <f t="shared" si="137"/>
        <v>800</v>
      </c>
      <c r="G835" s="5">
        <f t="shared" si="143"/>
        <v>1.01</v>
      </c>
      <c r="H835" s="6" t="str">
        <f t="shared" si="138"/>
        <v>INSERT INTO public.coupon (plancode, age, "year", couponrate, benefittype, benefitrate, premiumrate) VALUES('EN60', 43, 8, 8, 'A',800, 1.01);</v>
      </c>
      <c r="I835" s="6" t="str">
        <f t="shared" si="139"/>
        <v>{"age":"43", "year":"8", "couponrate":"8", "benefittype":"A", "benefitrate":"800", "premiumrate":"1.01"}</v>
      </c>
      <c r="J835" s="6" t="str">
        <f t="shared" si="140"/>
        <v>,</v>
      </c>
    </row>
    <row r="836" spans="1:10">
      <c r="A836" s="4" t="str">
        <f>'EN60'!A$3</f>
        <v>EN60</v>
      </c>
      <c r="B836" s="4">
        <f t="shared" si="141"/>
        <v>43</v>
      </c>
      <c r="C836" s="4">
        <f t="shared" si="142"/>
        <v>9</v>
      </c>
      <c r="D836" s="4">
        <f t="shared" si="136"/>
        <v>8</v>
      </c>
      <c r="E836" s="4" t="s">
        <v>27</v>
      </c>
      <c r="F836" s="4">
        <f t="shared" si="137"/>
        <v>800</v>
      </c>
      <c r="G836" s="5">
        <f t="shared" si="143"/>
        <v>1.01</v>
      </c>
      <c r="H836" s="6" t="str">
        <f t="shared" si="138"/>
        <v>INSERT INTO public.coupon (plancode, age, "year", couponrate, benefittype, benefitrate, premiumrate) VALUES('EN60', 43, 9, 8, 'A',800, 1.01);</v>
      </c>
      <c r="I836" s="6" t="str">
        <f t="shared" si="139"/>
        <v>{"age":"43", "year":"9", "couponrate":"8", "benefittype":"A", "benefitrate":"800", "premiumrate":"1.01"}</v>
      </c>
      <c r="J836" s="6" t="str">
        <f t="shared" si="140"/>
        <v>,</v>
      </c>
    </row>
    <row r="837" spans="1:10">
      <c r="A837" s="4" t="str">
        <f>'EN60'!A$3</f>
        <v>EN60</v>
      </c>
      <c r="B837" s="4">
        <f t="shared" si="141"/>
        <v>43</v>
      </c>
      <c r="C837" s="4">
        <f t="shared" si="142"/>
        <v>10</v>
      </c>
      <c r="D837" s="4">
        <f t="shared" si="136"/>
        <v>8</v>
      </c>
      <c r="E837" s="4" t="s">
        <v>27</v>
      </c>
      <c r="F837" s="4">
        <f t="shared" si="137"/>
        <v>800</v>
      </c>
      <c r="G837" s="5">
        <f t="shared" si="143"/>
        <v>1.01</v>
      </c>
      <c r="H837" s="6" t="str">
        <f t="shared" si="138"/>
        <v>INSERT INTO public.coupon (plancode, age, "year", couponrate, benefittype, benefitrate, premiumrate) VALUES('EN60', 43, 10, 8, 'A',800, 1.01);</v>
      </c>
      <c r="I837" s="6" t="str">
        <f t="shared" si="139"/>
        <v>{"age":"43", "year":"10", "couponrate":"8", "benefittype":"A", "benefitrate":"800", "premiumrate":"1.01"}</v>
      </c>
      <c r="J837" s="6" t="str">
        <f t="shared" si="140"/>
        <v>,</v>
      </c>
    </row>
    <row r="838" spans="1:10">
      <c r="A838" s="4" t="str">
        <f>'EN60'!A$3</f>
        <v>EN60</v>
      </c>
      <c r="B838" s="4">
        <f t="shared" si="141"/>
        <v>43</v>
      </c>
      <c r="C838" s="4">
        <f t="shared" si="142"/>
        <v>11</v>
      </c>
      <c r="D838" s="4">
        <f t="shared" si="136"/>
        <v>8</v>
      </c>
      <c r="E838" s="4" t="s">
        <v>27</v>
      </c>
      <c r="F838" s="4">
        <f t="shared" si="137"/>
        <v>800</v>
      </c>
      <c r="G838" s="5">
        <f t="shared" si="143"/>
        <v>1.01</v>
      </c>
      <c r="H838" s="6" t="str">
        <f t="shared" si="138"/>
        <v>INSERT INTO public.coupon (plancode, age, "year", couponrate, benefittype, benefitrate, premiumrate) VALUES('EN60', 43, 11, 8, 'A',800, 1.01);</v>
      </c>
      <c r="I838" s="6" t="str">
        <f t="shared" si="139"/>
        <v>{"age":"43", "year":"11", "couponrate":"8", "benefittype":"A", "benefitrate":"800", "premiumrate":"1.01"}</v>
      </c>
      <c r="J838" s="6" t="str">
        <f t="shared" si="140"/>
        <v>,</v>
      </c>
    </row>
    <row r="839" spans="1:10">
      <c r="A839" s="4" t="str">
        <f>'EN60'!A$3</f>
        <v>EN60</v>
      </c>
      <c r="B839" s="4">
        <f t="shared" si="141"/>
        <v>43</v>
      </c>
      <c r="C839" s="4">
        <f t="shared" si="142"/>
        <v>12</v>
      </c>
      <c r="D839" s="4">
        <f t="shared" si="136"/>
        <v>8</v>
      </c>
      <c r="E839" s="4" t="s">
        <v>27</v>
      </c>
      <c r="F839" s="4">
        <f t="shared" si="137"/>
        <v>800</v>
      </c>
      <c r="G839" s="5">
        <f t="shared" si="143"/>
        <v>1.01</v>
      </c>
      <c r="H839" s="6" t="str">
        <f t="shared" si="138"/>
        <v>INSERT INTO public.coupon (plancode, age, "year", couponrate, benefittype, benefitrate, premiumrate) VALUES('EN60', 43, 12, 8, 'A',800, 1.01);</v>
      </c>
      <c r="I839" s="6" t="str">
        <f t="shared" si="139"/>
        <v>{"age":"43", "year":"12", "couponrate":"8", "benefittype":"A", "benefitrate":"800", "premiumrate":"1.01"}</v>
      </c>
      <c r="J839" s="6" t="str">
        <f t="shared" si="140"/>
        <v>,</v>
      </c>
    </row>
    <row r="840" spans="1:10">
      <c r="A840" s="4" t="str">
        <f>'EN60'!A$3</f>
        <v>EN60</v>
      </c>
      <c r="B840" s="4">
        <f t="shared" si="141"/>
        <v>43</v>
      </c>
      <c r="C840" s="4">
        <f t="shared" si="142"/>
        <v>13</v>
      </c>
      <c r="D840" s="4">
        <f t="shared" si="136"/>
        <v>8</v>
      </c>
      <c r="E840" s="4" t="s">
        <v>27</v>
      </c>
      <c r="F840" s="4">
        <f t="shared" si="137"/>
        <v>800</v>
      </c>
      <c r="G840" s="5">
        <f t="shared" si="143"/>
        <v>1.01</v>
      </c>
      <c r="H840" s="6" t="str">
        <f t="shared" si="138"/>
        <v>INSERT INTO public.coupon (plancode, age, "year", couponrate, benefittype, benefitrate, premiumrate) VALUES('EN60', 43, 13, 8, 'A',800, 1.01);</v>
      </c>
      <c r="I840" s="6" t="str">
        <f t="shared" si="139"/>
        <v>{"age":"43", "year":"13", "couponrate":"8", "benefittype":"A", "benefitrate":"800", "premiumrate":"1.01"}</v>
      </c>
      <c r="J840" s="6" t="str">
        <f t="shared" si="140"/>
        <v>,</v>
      </c>
    </row>
    <row r="841" spans="1:10">
      <c r="A841" s="4" t="str">
        <f>'EN60'!A$3</f>
        <v>EN60</v>
      </c>
      <c r="B841" s="4">
        <f t="shared" si="141"/>
        <v>43</v>
      </c>
      <c r="C841" s="4">
        <f t="shared" si="142"/>
        <v>14</v>
      </c>
      <c r="D841" s="4">
        <f t="shared" si="136"/>
        <v>8</v>
      </c>
      <c r="E841" s="4" t="s">
        <v>27</v>
      </c>
      <c r="F841" s="4">
        <f t="shared" si="137"/>
        <v>800</v>
      </c>
      <c r="G841" s="5">
        <f t="shared" si="143"/>
        <v>1.01</v>
      </c>
      <c r="H841" s="6" t="str">
        <f t="shared" si="138"/>
        <v>INSERT INTO public.coupon (plancode, age, "year", couponrate, benefittype, benefitrate, premiumrate) VALUES('EN60', 43, 14, 8, 'A',800, 1.01);</v>
      </c>
      <c r="I841" s="6" t="str">
        <f t="shared" si="139"/>
        <v>{"age":"43", "year":"14", "couponrate":"8", "benefittype":"A", "benefitrate":"800", "premiumrate":"1.01"}</v>
      </c>
      <c r="J841" s="6" t="str">
        <f t="shared" si="140"/>
        <v>,</v>
      </c>
    </row>
    <row r="842" spans="1:10">
      <c r="A842" s="4" t="str">
        <f>'EN60'!A$3</f>
        <v>EN60</v>
      </c>
      <c r="B842" s="4">
        <f t="shared" si="141"/>
        <v>43</v>
      </c>
      <c r="C842" s="4">
        <f t="shared" si="142"/>
        <v>15</v>
      </c>
      <c r="D842" s="4">
        <f t="shared" si="136"/>
        <v>8</v>
      </c>
      <c r="E842" s="4" t="s">
        <v>27</v>
      </c>
      <c r="F842" s="4">
        <f t="shared" si="137"/>
        <v>800</v>
      </c>
      <c r="G842" s="5">
        <f t="shared" si="143"/>
        <v>1.01</v>
      </c>
      <c r="H842" s="6" t="str">
        <f t="shared" si="138"/>
        <v>INSERT INTO public.coupon (plancode, age, "year", couponrate, benefittype, benefitrate, premiumrate) VALUES('EN60', 43, 15, 8, 'A',800, 1.01);</v>
      </c>
      <c r="I842" s="6" t="str">
        <f t="shared" si="139"/>
        <v>{"age":"43", "year":"15", "couponrate":"8", "benefittype":"A", "benefitrate":"800", "premiumrate":"1.01"}</v>
      </c>
      <c r="J842" s="6" t="str">
        <f t="shared" si="140"/>
        <v>,</v>
      </c>
    </row>
    <row r="843" spans="1:10">
      <c r="A843" s="4" t="str">
        <f>'EN60'!A$3</f>
        <v>EN60</v>
      </c>
      <c r="B843" s="4">
        <f t="shared" si="141"/>
        <v>43</v>
      </c>
      <c r="C843" s="4">
        <f t="shared" si="142"/>
        <v>16</v>
      </c>
      <c r="D843" s="4">
        <f t="shared" si="136"/>
        <v>8</v>
      </c>
      <c r="E843" s="4" t="s">
        <v>27</v>
      </c>
      <c r="F843" s="4">
        <f t="shared" si="137"/>
        <v>800</v>
      </c>
      <c r="G843" s="5">
        <f t="shared" si="143"/>
        <v>1.01</v>
      </c>
      <c r="H843" s="6" t="str">
        <f t="shared" si="138"/>
        <v>INSERT INTO public.coupon (plancode, age, "year", couponrate, benefittype, benefitrate, premiumrate) VALUES('EN60', 43, 16, 8, 'A',800, 1.01);</v>
      </c>
      <c r="I843" s="6" t="str">
        <f t="shared" si="139"/>
        <v>{"age":"43", "year":"16", "couponrate":"8", "benefittype":"A", "benefitrate":"800", "premiumrate":"1.01"}</v>
      </c>
      <c r="J843" s="6" t="str">
        <f t="shared" si="140"/>
        <v>,</v>
      </c>
    </row>
    <row r="844" spans="1:10">
      <c r="A844" s="4" t="str">
        <f>'EN60'!A$3</f>
        <v>EN60</v>
      </c>
      <c r="B844" s="4">
        <f t="shared" si="141"/>
        <v>43</v>
      </c>
      <c r="C844" s="4">
        <f t="shared" si="142"/>
        <v>17</v>
      </c>
      <c r="D844" s="4">
        <f t="shared" si="136"/>
        <v>8</v>
      </c>
      <c r="E844" s="4" t="s">
        <v>27</v>
      </c>
      <c r="F844" s="4">
        <f t="shared" si="137"/>
        <v>800</v>
      </c>
      <c r="G844" s="5">
        <f t="shared" si="143"/>
        <v>1.01</v>
      </c>
      <c r="H844" s="6" t="str">
        <f t="shared" si="138"/>
        <v>INSERT INTO public.coupon (plancode, age, "year", couponrate, benefittype, benefitrate, premiumrate) VALUES('EN60', 43, 17, 8, 'A',800, 1.01);</v>
      </c>
      <c r="I844" s="6" t="str">
        <f t="shared" si="139"/>
        <v>{"age":"43", "year":"17", "couponrate":"8", "benefittype":"A", "benefitrate":"800", "premiumrate":"1.01"}</v>
      </c>
      <c r="J844" s="6" t="str">
        <f t="shared" si="140"/>
        <v>,</v>
      </c>
    </row>
    <row r="845" spans="1:10">
      <c r="A845" s="4" t="str">
        <f>'EN60'!A$3</f>
        <v>EN60</v>
      </c>
      <c r="B845" s="4">
        <f t="shared" si="141"/>
        <v>43</v>
      </c>
      <c r="C845" s="4">
        <f t="shared" si="142"/>
        <v>18</v>
      </c>
      <c r="D845" s="4">
        <f t="shared" si="136"/>
        <v>8</v>
      </c>
      <c r="E845" s="4" t="s">
        <v>27</v>
      </c>
      <c r="F845" s="4">
        <f t="shared" si="137"/>
        <v>800</v>
      </c>
      <c r="G845" s="5">
        <f t="shared" si="143"/>
        <v>1.01</v>
      </c>
      <c r="H845" s="6" t="str">
        <f t="shared" si="138"/>
        <v>INSERT INTO public.coupon (plancode, age, "year", couponrate, benefittype, benefitrate, premiumrate) VALUES('EN60', 43, 18, 8, 'A',800, 1.01);</v>
      </c>
      <c r="I845" s="6" t="str">
        <f t="shared" si="139"/>
        <v>{"age":"43", "year":"18", "couponrate":"8", "benefittype":"A", "benefitrate":"800", "premiumrate":"1.01"}</v>
      </c>
      <c r="J845" s="6" t="str">
        <f t="shared" si="140"/>
        <v>,</v>
      </c>
    </row>
    <row r="846" spans="1:10">
      <c r="A846" s="4" t="str">
        <f>'EN60'!A$3</f>
        <v>EN60</v>
      </c>
      <c r="B846" s="4">
        <f t="shared" si="141"/>
        <v>43</v>
      </c>
      <c r="C846" s="4">
        <f t="shared" si="142"/>
        <v>19</v>
      </c>
      <c r="D846" s="4">
        <f t="shared" si="136"/>
        <v>8</v>
      </c>
      <c r="E846" s="4" t="s">
        <v>27</v>
      </c>
      <c r="F846" s="4">
        <f t="shared" si="137"/>
        <v>800</v>
      </c>
      <c r="G846" s="5">
        <f t="shared" si="143"/>
        <v>1.01</v>
      </c>
      <c r="H846" s="6" t="str">
        <f t="shared" si="138"/>
        <v>INSERT INTO public.coupon (plancode, age, "year", couponrate, benefittype, benefitrate, premiumrate) VALUES('EN60', 43, 19, 8, 'A',800, 1.01);</v>
      </c>
      <c r="I846" s="6" t="str">
        <f t="shared" si="139"/>
        <v>{"age":"43", "year":"19", "couponrate":"8", "benefittype":"A", "benefitrate":"800", "premiumrate":"1.01"}</v>
      </c>
      <c r="J846" s="6" t="str">
        <f t="shared" si="140"/>
        <v>,</v>
      </c>
    </row>
    <row r="847" spans="1:10">
      <c r="A847" s="4" t="str">
        <f>'EN60'!A$3</f>
        <v>EN60</v>
      </c>
      <c r="B847" s="4">
        <f t="shared" si="141"/>
        <v>43</v>
      </c>
      <c r="C847" s="4">
        <f t="shared" si="142"/>
        <v>20</v>
      </c>
      <c r="D847" s="4">
        <f t="shared" si="136"/>
        <v>8</v>
      </c>
      <c r="E847" s="4" t="s">
        <v>27</v>
      </c>
      <c r="F847" s="4">
        <f t="shared" si="137"/>
        <v>800</v>
      </c>
      <c r="G847" s="5">
        <f t="shared" si="143"/>
        <v>1.01</v>
      </c>
      <c r="H847" s="6" t="str">
        <f t="shared" si="138"/>
        <v>INSERT INTO public.coupon (plancode, age, "year", couponrate, benefittype, benefitrate, premiumrate) VALUES('EN60', 43, 20, 8, 'A',800, 1.01);</v>
      </c>
      <c r="I847" s="6" t="str">
        <f t="shared" si="139"/>
        <v>{"age":"43", "year":"20", "couponrate":"8", "benefittype":"A", "benefitrate":"800", "premiumrate":"1.01"}</v>
      </c>
      <c r="J847" s="6" t="str">
        <f t="shared" si="140"/>
        <v>,</v>
      </c>
    </row>
    <row r="848" spans="1:10">
      <c r="A848" s="4" t="str">
        <f>'EN60'!A$3</f>
        <v>EN60</v>
      </c>
      <c r="B848" s="4">
        <f t="shared" si="141"/>
        <v>43</v>
      </c>
      <c r="C848" s="4">
        <f t="shared" si="142"/>
        <v>21</v>
      </c>
      <c r="D848" s="4">
        <f t="shared" si="136"/>
        <v>8</v>
      </c>
      <c r="E848" s="4" t="s">
        <v>27</v>
      </c>
      <c r="F848" s="4">
        <f t="shared" si="137"/>
        <v>800</v>
      </c>
      <c r="G848" s="5">
        <f t="shared" si="143"/>
        <v>1.01</v>
      </c>
      <c r="H848" s="6" t="str">
        <f t="shared" si="138"/>
        <v>INSERT INTO public.coupon (plancode, age, "year", couponrate, benefittype, benefitrate, premiumrate) VALUES('EN60', 43, 21, 8, 'A',800, 1.01);</v>
      </c>
      <c r="I848" s="6" t="str">
        <f t="shared" si="139"/>
        <v>{"age":"43", "year":"21", "couponrate":"8", "benefittype":"A", "benefitrate":"800", "premiumrate":"1.01"}</v>
      </c>
      <c r="J848" s="6" t="str">
        <f t="shared" si="140"/>
        <v>,</v>
      </c>
    </row>
    <row r="849" spans="1:10">
      <c r="A849" s="4" t="str">
        <f>'EN60'!A$3</f>
        <v>EN60</v>
      </c>
      <c r="B849" s="4">
        <f t="shared" si="141"/>
        <v>43</v>
      </c>
      <c r="C849" s="4">
        <f t="shared" si="142"/>
        <v>22</v>
      </c>
      <c r="D849" s="4">
        <f t="shared" si="136"/>
        <v>8</v>
      </c>
      <c r="E849" s="4" t="s">
        <v>27</v>
      </c>
      <c r="F849" s="4">
        <f t="shared" si="137"/>
        <v>800</v>
      </c>
      <c r="G849" s="5">
        <f t="shared" si="143"/>
        <v>1.01</v>
      </c>
      <c r="H849" s="6" t="str">
        <f t="shared" si="138"/>
        <v>INSERT INTO public.coupon (plancode, age, "year", couponrate, benefittype, benefitrate, premiumrate) VALUES('EN60', 43, 22, 8, 'A',800, 1.01);</v>
      </c>
      <c r="I849" s="6" t="str">
        <f t="shared" si="139"/>
        <v>{"age":"43", "year":"22", "couponrate":"8", "benefittype":"A", "benefitrate":"800", "premiumrate":"1.01"}</v>
      </c>
      <c r="J849" s="6" t="str">
        <f t="shared" si="140"/>
        <v>,</v>
      </c>
    </row>
    <row r="850" spans="1:10">
      <c r="A850" s="4" t="str">
        <f>'EN60'!A$3</f>
        <v>EN60</v>
      </c>
      <c r="B850" s="4">
        <f t="shared" si="141"/>
        <v>43</v>
      </c>
      <c r="C850" s="4">
        <f t="shared" si="142"/>
        <v>23</v>
      </c>
      <c r="D850" s="4">
        <f t="shared" si="136"/>
        <v>8</v>
      </c>
      <c r="E850" s="4" t="s">
        <v>27</v>
      </c>
      <c r="F850" s="4">
        <f t="shared" si="137"/>
        <v>800</v>
      </c>
      <c r="G850" s="5">
        <f t="shared" si="143"/>
        <v>1.01</v>
      </c>
      <c r="H850" s="6" t="str">
        <f t="shared" si="138"/>
        <v>INSERT INTO public.coupon (plancode, age, "year", couponrate, benefittype, benefitrate, premiumrate) VALUES('EN60', 43, 23, 8, 'A',800, 1.01);</v>
      </c>
      <c r="I850" s="6" t="str">
        <f t="shared" si="139"/>
        <v>{"age":"43", "year":"23", "couponrate":"8", "benefittype":"A", "benefitrate":"800", "premiumrate":"1.01"}</v>
      </c>
      <c r="J850" s="6" t="str">
        <f t="shared" si="140"/>
        <v>,</v>
      </c>
    </row>
    <row r="851" spans="1:10">
      <c r="A851" s="4" t="str">
        <f>'EN60'!A$3</f>
        <v>EN60</v>
      </c>
      <c r="B851" s="4">
        <f t="shared" si="141"/>
        <v>43</v>
      </c>
      <c r="C851" s="4">
        <f t="shared" si="142"/>
        <v>24</v>
      </c>
      <c r="D851" s="4">
        <f t="shared" si="136"/>
        <v>8</v>
      </c>
      <c r="E851" s="4" t="s">
        <v>27</v>
      </c>
      <c r="F851" s="4">
        <f t="shared" si="137"/>
        <v>800</v>
      </c>
      <c r="G851" s="5">
        <f t="shared" si="143"/>
        <v>1.01</v>
      </c>
      <c r="H851" s="6" t="str">
        <f t="shared" si="138"/>
        <v>INSERT INTO public.coupon (plancode, age, "year", couponrate, benefittype, benefitrate, premiumrate) VALUES('EN60', 43, 24, 8, 'A',800, 1.01);</v>
      </c>
      <c r="I851" s="6" t="str">
        <f t="shared" si="139"/>
        <v>{"age":"43", "year":"24", "couponrate":"8", "benefittype":"A", "benefitrate":"800", "premiumrate":"1.01"}</v>
      </c>
      <c r="J851" s="6" t="str">
        <f t="shared" si="140"/>
        <v>,</v>
      </c>
    </row>
    <row r="852" spans="1:10">
      <c r="A852" s="4" t="str">
        <f>'EN60'!A$3</f>
        <v>EN60</v>
      </c>
      <c r="B852" s="4">
        <f t="shared" si="141"/>
        <v>43</v>
      </c>
      <c r="C852" s="4">
        <f t="shared" si="142"/>
        <v>25</v>
      </c>
      <c r="D852" s="4">
        <f t="shared" si="136"/>
        <v>8</v>
      </c>
      <c r="E852" s="4" t="s">
        <v>27</v>
      </c>
      <c r="F852" s="4">
        <f t="shared" si="137"/>
        <v>800</v>
      </c>
      <c r="G852" s="5">
        <f t="shared" si="143"/>
        <v>1.01</v>
      </c>
      <c r="H852" s="6" t="str">
        <f t="shared" si="138"/>
        <v>INSERT INTO public.coupon (plancode, age, "year", couponrate, benefittype, benefitrate, premiumrate) VALUES('EN60', 43, 25, 8, 'A',800, 1.01);</v>
      </c>
      <c r="I852" s="6" t="str">
        <f t="shared" si="139"/>
        <v>{"age":"43", "year":"25", "couponrate":"8", "benefittype":"A", "benefitrate":"800", "premiumrate":"1.01"}</v>
      </c>
      <c r="J852" s="6" t="str">
        <f t="shared" si="140"/>
        <v>,</v>
      </c>
    </row>
    <row r="853" spans="1:10">
      <c r="A853" s="4" t="str">
        <f>'EN60'!A$3</f>
        <v>EN60</v>
      </c>
      <c r="B853" s="4">
        <f t="shared" si="141"/>
        <v>43</v>
      </c>
      <c r="C853" s="4">
        <f t="shared" si="142"/>
        <v>26</v>
      </c>
      <c r="D853" s="4">
        <f t="shared" si="136"/>
        <v>8</v>
      </c>
      <c r="E853" s="4" t="s">
        <v>27</v>
      </c>
      <c r="F853" s="4">
        <f t="shared" si="137"/>
        <v>800</v>
      </c>
      <c r="G853" s="5">
        <f t="shared" si="143"/>
        <v>1.01</v>
      </c>
      <c r="H853" s="6" t="str">
        <f t="shared" si="138"/>
        <v>INSERT INTO public.coupon (plancode, age, "year", couponrate, benefittype, benefitrate, premiumrate) VALUES('EN60', 43, 26, 8, 'A',800, 1.01);</v>
      </c>
      <c r="I853" s="6" t="str">
        <f t="shared" si="139"/>
        <v>{"age":"43", "year":"26", "couponrate":"8", "benefittype":"A", "benefitrate":"800", "premiumrate":"1.01"}</v>
      </c>
      <c r="J853" s="6" t="str">
        <f t="shared" si="140"/>
        <v>,</v>
      </c>
    </row>
    <row r="854" spans="1:10">
      <c r="A854" s="4" t="str">
        <f>'EN60'!A$3</f>
        <v>EN60</v>
      </c>
      <c r="B854" s="4">
        <f t="shared" si="141"/>
        <v>43</v>
      </c>
      <c r="C854" s="4">
        <f t="shared" si="142"/>
        <v>27</v>
      </c>
      <c r="D854" s="4">
        <f t="shared" si="136"/>
        <v>8</v>
      </c>
      <c r="E854" s="4" t="s">
        <v>27</v>
      </c>
      <c r="F854" s="4">
        <f t="shared" si="137"/>
        <v>800</v>
      </c>
      <c r="G854" s="5">
        <f t="shared" si="143"/>
        <v>1.01</v>
      </c>
      <c r="H854" s="6" t="str">
        <f t="shared" si="138"/>
        <v>INSERT INTO public.coupon (plancode, age, "year", couponrate, benefittype, benefitrate, premiumrate) VALUES('EN60', 43, 27, 8, 'A',800, 1.01);</v>
      </c>
      <c r="I854" s="6" t="str">
        <f t="shared" si="139"/>
        <v>{"age":"43", "year":"27", "couponrate":"8", "benefittype":"A", "benefitrate":"800", "premiumrate":"1.01"}</v>
      </c>
      <c r="J854" s="6" t="str">
        <f t="shared" si="140"/>
        <v>,</v>
      </c>
    </row>
    <row r="855" spans="1:10">
      <c r="A855" s="4" t="str">
        <f>'EN60'!A$3</f>
        <v>EN60</v>
      </c>
      <c r="B855" s="4">
        <f t="shared" si="141"/>
        <v>43</v>
      </c>
      <c r="C855" s="4">
        <f t="shared" si="142"/>
        <v>28</v>
      </c>
      <c r="D855" s="4">
        <f t="shared" si="136"/>
        <v>8</v>
      </c>
      <c r="E855" s="4" t="s">
        <v>27</v>
      </c>
      <c r="F855" s="4">
        <f t="shared" si="137"/>
        <v>800</v>
      </c>
      <c r="G855" s="5">
        <f t="shared" si="143"/>
        <v>1.01</v>
      </c>
      <c r="H855" s="6" t="str">
        <f t="shared" si="138"/>
        <v>INSERT INTO public.coupon (plancode, age, "year", couponrate, benefittype, benefitrate, premiumrate) VALUES('EN60', 43, 28, 8, 'A',800, 1.01);</v>
      </c>
      <c r="I855" s="6" t="str">
        <f t="shared" si="139"/>
        <v>{"age":"43", "year":"28", "couponrate":"8", "benefittype":"A", "benefitrate":"800", "premiumrate":"1.01"}</v>
      </c>
      <c r="J855" s="6" t="str">
        <f t="shared" si="140"/>
        <v>,</v>
      </c>
    </row>
    <row r="856" spans="1:10">
      <c r="A856" s="4" t="str">
        <f>'EN60'!A$3</f>
        <v>EN60</v>
      </c>
      <c r="B856" s="4">
        <f t="shared" si="141"/>
        <v>43</v>
      </c>
      <c r="C856" s="4">
        <f t="shared" si="142"/>
        <v>29</v>
      </c>
      <c r="D856" s="4">
        <f t="shared" si="136"/>
        <v>8</v>
      </c>
      <c r="E856" s="4" t="s">
        <v>27</v>
      </c>
      <c r="F856" s="4">
        <f t="shared" si="137"/>
        <v>800</v>
      </c>
      <c r="G856" s="5">
        <f t="shared" si="143"/>
        <v>1.01</v>
      </c>
      <c r="H856" s="6" t="str">
        <f t="shared" si="138"/>
        <v>INSERT INTO public.coupon (plancode, age, "year", couponrate, benefittype, benefitrate, premiumrate) VALUES('EN60', 43, 29, 8, 'A',800, 1.01);</v>
      </c>
      <c r="I856" s="6" t="str">
        <f t="shared" si="139"/>
        <v>{"age":"43", "year":"29", "couponrate":"8", "benefittype":"A", "benefitrate":"800", "premiumrate":"1.01"}</v>
      </c>
      <c r="J856" s="6" t="str">
        <f t="shared" si="140"/>
        <v>,</v>
      </c>
    </row>
    <row r="857" spans="1:10">
      <c r="A857" s="4" t="str">
        <f>'EN60'!A$3</f>
        <v>EN60</v>
      </c>
      <c r="B857" s="4">
        <f t="shared" si="141"/>
        <v>43</v>
      </c>
      <c r="C857" s="4">
        <f t="shared" si="142"/>
        <v>30</v>
      </c>
      <c r="D857" s="4">
        <f t="shared" si="136"/>
        <v>8</v>
      </c>
      <c r="E857" s="4" t="s">
        <v>27</v>
      </c>
      <c r="F857" s="4">
        <f t="shared" si="137"/>
        <v>800</v>
      </c>
      <c r="G857" s="5">
        <f t="shared" si="143"/>
        <v>1.01</v>
      </c>
      <c r="H857" s="6" t="str">
        <f t="shared" si="138"/>
        <v>INSERT INTO public.coupon (plancode, age, "year", couponrate, benefittype, benefitrate, premiumrate) VALUES('EN60', 43, 30, 8, 'A',800, 1.01);</v>
      </c>
      <c r="I857" s="6" t="str">
        <f t="shared" si="139"/>
        <v>{"age":"43", "year":"30", "couponrate":"8", "benefittype":"A", "benefitrate":"800", "premiumrate":"1.01"}</v>
      </c>
      <c r="J857" s="6" t="str">
        <f t="shared" si="140"/>
        <v>,</v>
      </c>
    </row>
    <row r="858" spans="1:10">
      <c r="A858" s="4" t="str">
        <f>'EN60'!A$3</f>
        <v>EN60</v>
      </c>
      <c r="B858" s="4">
        <f t="shared" si="141"/>
        <v>43</v>
      </c>
      <c r="C858" s="4">
        <f t="shared" si="142"/>
        <v>31</v>
      </c>
      <c r="D858" s="4">
        <f t="shared" si="136"/>
        <v>8</v>
      </c>
      <c r="E858" s="4" t="s">
        <v>27</v>
      </c>
      <c r="F858" s="4">
        <f t="shared" si="137"/>
        <v>800</v>
      </c>
      <c r="G858" s="5">
        <f t="shared" si="143"/>
        <v>1.01</v>
      </c>
      <c r="H858" s="6" t="str">
        <f t="shared" si="138"/>
        <v>INSERT INTO public.coupon (plancode, age, "year", couponrate, benefittype, benefitrate, premiumrate) VALUES('EN60', 43, 31, 8, 'A',800, 1.01);</v>
      </c>
      <c r="I858" s="6" t="str">
        <f t="shared" si="139"/>
        <v>{"age":"43", "year":"31", "couponrate":"8", "benefittype":"A", "benefitrate":"800", "premiumrate":"1.01"}</v>
      </c>
      <c r="J858" s="6" t="str">
        <f t="shared" si="140"/>
        <v>,</v>
      </c>
    </row>
    <row r="859" spans="1:10">
      <c r="A859" s="4" t="str">
        <f>'EN60'!A$3</f>
        <v>EN60</v>
      </c>
      <c r="B859" s="4">
        <f t="shared" si="141"/>
        <v>43</v>
      </c>
      <c r="C859" s="4">
        <f t="shared" si="142"/>
        <v>32</v>
      </c>
      <c r="D859" s="4">
        <f t="shared" si="136"/>
        <v>8</v>
      </c>
      <c r="E859" s="4" t="s">
        <v>27</v>
      </c>
      <c r="F859" s="4">
        <f t="shared" si="137"/>
        <v>800</v>
      </c>
      <c r="G859" s="5">
        <f t="shared" si="143"/>
        <v>1.01</v>
      </c>
      <c r="H859" s="6" t="str">
        <f t="shared" si="138"/>
        <v>INSERT INTO public.coupon (plancode, age, "year", couponrate, benefittype, benefitrate, premiumrate) VALUES('EN60', 43, 32, 8, 'A',800, 1.01);</v>
      </c>
      <c r="I859" s="6" t="str">
        <f t="shared" si="139"/>
        <v>{"age":"43", "year":"32", "couponrate":"8", "benefittype":"A", "benefitrate":"800", "premiumrate":"1.01"}</v>
      </c>
      <c r="J859" s="6" t="str">
        <f t="shared" si="140"/>
        <v>,</v>
      </c>
    </row>
    <row r="860" spans="1:10">
      <c r="A860" s="4" t="str">
        <f>'EN60'!A$3</f>
        <v>EN60</v>
      </c>
      <c r="B860" s="4">
        <f t="shared" si="141"/>
        <v>43</v>
      </c>
      <c r="C860" s="4">
        <f t="shared" si="142"/>
        <v>33</v>
      </c>
      <c r="D860" s="4">
        <f t="shared" si="136"/>
        <v>8</v>
      </c>
      <c r="E860" s="4" t="s">
        <v>27</v>
      </c>
      <c r="F860" s="4">
        <f t="shared" si="137"/>
        <v>800</v>
      </c>
      <c r="G860" s="5">
        <f t="shared" si="143"/>
        <v>1.01</v>
      </c>
      <c r="H860" s="6" t="str">
        <f t="shared" si="138"/>
        <v>INSERT INTO public.coupon (plancode, age, "year", couponrate, benefittype, benefitrate, premiumrate) VALUES('EN60', 43, 33, 8, 'A',800, 1.01);</v>
      </c>
      <c r="I860" s="6" t="str">
        <f t="shared" si="139"/>
        <v>{"age":"43", "year":"33", "couponrate":"8", "benefittype":"A", "benefitrate":"800", "premiumrate":"1.01"}</v>
      </c>
      <c r="J860" s="6" t="str">
        <f t="shared" si="140"/>
        <v>,</v>
      </c>
    </row>
    <row r="861" spans="1:10">
      <c r="A861" s="4" t="str">
        <f>'EN60'!A$3</f>
        <v>EN60</v>
      </c>
      <c r="B861" s="4">
        <f t="shared" si="141"/>
        <v>43</v>
      </c>
      <c r="C861" s="4">
        <f t="shared" si="142"/>
        <v>34</v>
      </c>
      <c r="D861" s="4">
        <f t="shared" si="136"/>
        <v>8</v>
      </c>
      <c r="E861" s="4" t="s">
        <v>27</v>
      </c>
      <c r="F861" s="4">
        <f t="shared" si="137"/>
        <v>800</v>
      </c>
      <c r="G861" s="5">
        <f t="shared" si="143"/>
        <v>1.01</v>
      </c>
      <c r="H861" s="6" t="str">
        <f t="shared" si="138"/>
        <v>INSERT INTO public.coupon (plancode, age, "year", couponrate, benefittype, benefitrate, premiumrate) VALUES('EN60', 43, 34, 8, 'A',800, 1.01);</v>
      </c>
      <c r="I861" s="6" t="str">
        <f t="shared" si="139"/>
        <v>{"age":"43", "year":"34", "couponrate":"8", "benefittype":"A", "benefitrate":"800", "premiumrate":"1.01"}</v>
      </c>
      <c r="J861" s="6" t="str">
        <f t="shared" si="140"/>
        <v>,</v>
      </c>
    </row>
    <row r="862" spans="1:10">
      <c r="A862" s="4" t="str">
        <f>'EN60'!A$3</f>
        <v>EN60</v>
      </c>
      <c r="B862" s="4">
        <f t="shared" si="141"/>
        <v>43</v>
      </c>
      <c r="C862" s="4">
        <f t="shared" si="142"/>
        <v>35</v>
      </c>
      <c r="D862" s="4">
        <f t="shared" si="136"/>
        <v>8</v>
      </c>
      <c r="E862" s="4" t="s">
        <v>27</v>
      </c>
      <c r="F862" s="4">
        <f t="shared" si="137"/>
        <v>800</v>
      </c>
      <c r="G862" s="5">
        <f t="shared" si="143"/>
        <v>1.01</v>
      </c>
      <c r="H862" s="6" t="str">
        <f t="shared" si="138"/>
        <v>INSERT INTO public.coupon (plancode, age, "year", couponrate, benefittype, benefitrate, premiumrate) VALUES('EN60', 43, 35, 8, 'A',800, 1.01);</v>
      </c>
      <c r="I862" s="6" t="str">
        <f t="shared" si="139"/>
        <v>{"age":"43", "year":"35", "couponrate":"8", "benefittype":"A", "benefitrate":"800", "premiumrate":"1.01"}</v>
      </c>
      <c r="J862" s="6" t="str">
        <f t="shared" si="140"/>
        <v>,</v>
      </c>
    </row>
    <row r="863" spans="1:10">
      <c r="A863" s="4" t="str">
        <f>'EN60'!A$3</f>
        <v>EN60</v>
      </c>
      <c r="B863" s="4">
        <f t="shared" si="141"/>
        <v>43</v>
      </c>
      <c r="C863" s="4">
        <f t="shared" si="142"/>
        <v>36</v>
      </c>
      <c r="D863" s="4">
        <f t="shared" si="136"/>
        <v>8</v>
      </c>
      <c r="E863" s="4" t="s">
        <v>27</v>
      </c>
      <c r="F863" s="4">
        <f t="shared" si="137"/>
        <v>800</v>
      </c>
      <c r="G863" s="5">
        <f t="shared" si="143"/>
        <v>1.01</v>
      </c>
      <c r="H863" s="6" t="str">
        <f t="shared" si="138"/>
        <v>INSERT INTO public.coupon (plancode, age, "year", couponrate, benefittype, benefitrate, premiumrate) VALUES('EN60', 43, 36, 8, 'A',800, 1.01);</v>
      </c>
      <c r="I863" s="6" t="str">
        <f t="shared" si="139"/>
        <v>{"age":"43", "year":"36", "couponrate":"8", "benefittype":"A", "benefitrate":"800", "premiumrate":"1.01"}</v>
      </c>
      <c r="J863" s="6" t="str">
        <f t="shared" si="140"/>
        <v>,</v>
      </c>
    </row>
    <row r="864" spans="1:10">
      <c r="A864" s="4" t="str">
        <f>'EN60'!A$3</f>
        <v>EN60</v>
      </c>
      <c r="B864" s="4">
        <f t="shared" si="141"/>
        <v>43</v>
      </c>
      <c r="C864" s="4">
        <f t="shared" si="142"/>
        <v>37</v>
      </c>
      <c r="D864" s="4">
        <f t="shared" si="136"/>
        <v>0</v>
      </c>
      <c r="E864" s="4" t="s">
        <v>27</v>
      </c>
      <c r="F864" s="4">
        <f t="shared" si="137"/>
        <v>800</v>
      </c>
      <c r="G864" s="5">
        <f t="shared" si="143"/>
        <v>1.01</v>
      </c>
      <c r="H864" s="6" t="str">
        <f t="shared" si="138"/>
        <v>INSERT INTO public.coupon (plancode, age, "year", couponrate, benefittype, benefitrate, premiumrate) VALUES('EN60', 43, 37, 0, 'A',800, 1.01);</v>
      </c>
      <c r="I864" s="6" t="str">
        <f t="shared" si="139"/>
        <v>{"age":"43", "year":"37", "couponrate":"0", "benefittype":"A", "benefitrate":"800", "premiumrate":"1.01"}</v>
      </c>
    </row>
    <row r="865" spans="1:10">
      <c r="C865" s="6"/>
      <c r="I865" s="6" t="s">
        <v>28</v>
      </c>
    </row>
    <row r="866" spans="1:10">
      <c r="A866" s="3" t="s">
        <v>2</v>
      </c>
      <c r="B866" s="3" t="s">
        <v>23</v>
      </c>
      <c r="C866" s="3" t="s">
        <v>24</v>
      </c>
      <c r="D866" s="3" t="s">
        <v>25</v>
      </c>
      <c r="E866" s="3" t="s">
        <v>8</v>
      </c>
      <c r="F866" s="3" t="s">
        <v>26</v>
      </c>
      <c r="G866" s="3" t="s">
        <v>4</v>
      </c>
      <c r="I866" s="6" t="str">
        <f>"[{""plancode"":"""&amp;A867&amp;""",""returncash"":"""&amp;B$7&amp;""",""ytable"":"""&amp;C$7&amp;""",""maturerate"":"""&amp;B$3&amp;""",""maturepmrate"":"""&amp;C$3&amp;""",""coupon"":["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867" spans="1:10">
      <c r="A867" s="4" t="str">
        <f>'EN60'!A$3</f>
        <v>EN60</v>
      </c>
      <c r="B867" s="8">
        <v>44</v>
      </c>
      <c r="C867" s="4">
        <v>1</v>
      </c>
      <c r="D867" s="4">
        <f t="shared" ref="D867:D902" si="144">IF(C867+B867=80,0,8)</f>
        <v>8</v>
      </c>
      <c r="E867" s="4" t="s">
        <v>27</v>
      </c>
      <c r="F867" s="4">
        <f t="shared" ref="F867:F902" si="145">IF(C867&gt;7, 800, C867*100)</f>
        <v>100</v>
      </c>
      <c r="G867" s="5">
        <f>'EN60'!C$3</f>
        <v>1.01</v>
      </c>
      <c r="H867" s="6" t="str">
        <f t="shared" ref="H867:H902" si="146">"INSERT INTO public.coupon ("&amp;A$11&amp;", "&amp;B$11&amp;", """&amp;C$11&amp;""", "&amp;D$11&amp;", "&amp;E$11&amp;", "&amp;F$11&amp;", "&amp;G$11&amp;") VALUES('"&amp;A867&amp;"', "&amp;B867&amp;", "&amp;C867&amp;", "&amp;D867&amp;", '"&amp;E867&amp;"',"&amp;F867&amp;", "&amp;G867&amp;");"</f>
        <v>INSERT INTO public.coupon (plancode, age, "year", couponrate, benefittype, benefitrate, premiumrate) VALUES('EN60', 44, 1, 8, 'A',100, 1.01);</v>
      </c>
      <c r="I867" s="6" t="str">
        <f t="shared" ref="I867:I902" si="147">"{""age"":"""&amp;B867&amp;""", ""year"":"""&amp;C867&amp;""", ""couponrate"":"""&amp;D867&amp;""", ""benefittype"":"""&amp;E867&amp;""", ""benefitrate"":"""&amp;F867&amp;""", """&amp;G$11&amp;""":"""&amp;G867&amp;"""}"</f>
        <v>{"age":"44", "year":"1", "couponrate":"8", "benefittype":"A", "benefitrate":"100", "premiumrate":"1.01"}</v>
      </c>
      <c r="J867" s="6" t="str">
        <f t="shared" ref="J867:J901" si="148">IF(OR(I868="]", I867="[", I867="]"), "", ",")</f>
        <v>,</v>
      </c>
    </row>
    <row r="868" spans="1:10">
      <c r="A868" s="4" t="str">
        <f>'EN60'!A$3</f>
        <v>EN60</v>
      </c>
      <c r="B868" s="4">
        <f t="shared" ref="B868:B902" si="149">B867</f>
        <v>44</v>
      </c>
      <c r="C868" s="4">
        <f t="shared" ref="C868:C902" si="150">IF(B868+C867+1&gt;80,"",C867+1)</f>
        <v>2</v>
      </c>
      <c r="D868" s="4">
        <f t="shared" si="144"/>
        <v>8</v>
      </c>
      <c r="E868" s="4" t="s">
        <v>27</v>
      </c>
      <c r="F868" s="4">
        <f t="shared" si="145"/>
        <v>200</v>
      </c>
      <c r="G868" s="5">
        <f t="shared" ref="G868:G902" si="151">G867</f>
        <v>1.01</v>
      </c>
      <c r="H868" s="6" t="str">
        <f t="shared" si="146"/>
        <v>INSERT INTO public.coupon (plancode, age, "year", couponrate, benefittype, benefitrate, premiumrate) VALUES('EN60', 44, 2, 8, 'A',200, 1.01);</v>
      </c>
      <c r="I868" s="6" t="str">
        <f t="shared" si="147"/>
        <v>{"age":"44", "year":"2", "couponrate":"8", "benefittype":"A", "benefitrate":"200", "premiumrate":"1.01"}</v>
      </c>
      <c r="J868" s="6" t="str">
        <f t="shared" si="148"/>
        <v>,</v>
      </c>
    </row>
    <row r="869" spans="1:10">
      <c r="A869" s="4" t="str">
        <f>'EN60'!A$3</f>
        <v>EN60</v>
      </c>
      <c r="B869" s="4">
        <f t="shared" si="149"/>
        <v>44</v>
      </c>
      <c r="C869" s="4">
        <f t="shared" si="150"/>
        <v>3</v>
      </c>
      <c r="D869" s="4">
        <f t="shared" si="144"/>
        <v>8</v>
      </c>
      <c r="E869" s="4" t="s">
        <v>27</v>
      </c>
      <c r="F869" s="4">
        <f t="shared" si="145"/>
        <v>300</v>
      </c>
      <c r="G869" s="5">
        <f t="shared" si="151"/>
        <v>1.01</v>
      </c>
      <c r="H869" s="6" t="str">
        <f t="shared" si="146"/>
        <v>INSERT INTO public.coupon (plancode, age, "year", couponrate, benefittype, benefitrate, premiumrate) VALUES('EN60', 44, 3, 8, 'A',300, 1.01);</v>
      </c>
      <c r="I869" s="6" t="str">
        <f t="shared" si="147"/>
        <v>{"age":"44", "year":"3", "couponrate":"8", "benefittype":"A", "benefitrate":"300", "premiumrate":"1.01"}</v>
      </c>
      <c r="J869" s="6" t="str">
        <f t="shared" si="148"/>
        <v>,</v>
      </c>
    </row>
    <row r="870" spans="1:10">
      <c r="A870" s="4" t="str">
        <f>'EN60'!A$3</f>
        <v>EN60</v>
      </c>
      <c r="B870" s="4">
        <f t="shared" si="149"/>
        <v>44</v>
      </c>
      <c r="C870" s="4">
        <f t="shared" si="150"/>
        <v>4</v>
      </c>
      <c r="D870" s="4">
        <f t="shared" si="144"/>
        <v>8</v>
      </c>
      <c r="E870" s="4" t="s">
        <v>27</v>
      </c>
      <c r="F870" s="4">
        <f t="shared" si="145"/>
        <v>400</v>
      </c>
      <c r="G870" s="5">
        <f t="shared" si="151"/>
        <v>1.01</v>
      </c>
      <c r="H870" s="6" t="str">
        <f t="shared" si="146"/>
        <v>INSERT INTO public.coupon (plancode, age, "year", couponrate, benefittype, benefitrate, premiumrate) VALUES('EN60', 44, 4, 8, 'A',400, 1.01);</v>
      </c>
      <c r="I870" s="6" t="str">
        <f t="shared" si="147"/>
        <v>{"age":"44", "year":"4", "couponrate":"8", "benefittype":"A", "benefitrate":"400", "premiumrate":"1.01"}</v>
      </c>
      <c r="J870" s="6" t="str">
        <f t="shared" si="148"/>
        <v>,</v>
      </c>
    </row>
    <row r="871" spans="1:10">
      <c r="A871" s="4" t="str">
        <f>'EN60'!A$3</f>
        <v>EN60</v>
      </c>
      <c r="B871" s="4">
        <f t="shared" si="149"/>
        <v>44</v>
      </c>
      <c r="C871" s="4">
        <f t="shared" si="150"/>
        <v>5</v>
      </c>
      <c r="D871" s="4">
        <f t="shared" si="144"/>
        <v>8</v>
      </c>
      <c r="E871" s="4" t="s">
        <v>27</v>
      </c>
      <c r="F871" s="4">
        <f t="shared" si="145"/>
        <v>500</v>
      </c>
      <c r="G871" s="5">
        <f t="shared" si="151"/>
        <v>1.01</v>
      </c>
      <c r="H871" s="6" t="str">
        <f t="shared" si="146"/>
        <v>INSERT INTO public.coupon (plancode, age, "year", couponrate, benefittype, benefitrate, premiumrate) VALUES('EN60', 44, 5, 8, 'A',500, 1.01);</v>
      </c>
      <c r="I871" s="6" t="str">
        <f t="shared" si="147"/>
        <v>{"age":"44", "year":"5", "couponrate":"8", "benefittype":"A", "benefitrate":"500", "premiumrate":"1.01"}</v>
      </c>
      <c r="J871" s="6" t="str">
        <f t="shared" si="148"/>
        <v>,</v>
      </c>
    </row>
    <row r="872" spans="1:10">
      <c r="A872" s="4" t="str">
        <f>'EN60'!A$3</f>
        <v>EN60</v>
      </c>
      <c r="B872" s="4">
        <f t="shared" si="149"/>
        <v>44</v>
      </c>
      <c r="C872" s="4">
        <f t="shared" si="150"/>
        <v>6</v>
      </c>
      <c r="D872" s="4">
        <f t="shared" si="144"/>
        <v>8</v>
      </c>
      <c r="E872" s="4" t="s">
        <v>27</v>
      </c>
      <c r="F872" s="4">
        <f t="shared" si="145"/>
        <v>600</v>
      </c>
      <c r="G872" s="5">
        <f t="shared" si="151"/>
        <v>1.01</v>
      </c>
      <c r="H872" s="6" t="str">
        <f t="shared" si="146"/>
        <v>INSERT INTO public.coupon (plancode, age, "year", couponrate, benefittype, benefitrate, premiumrate) VALUES('EN60', 44, 6, 8, 'A',600, 1.01);</v>
      </c>
      <c r="I872" s="6" t="str">
        <f t="shared" si="147"/>
        <v>{"age":"44", "year":"6", "couponrate":"8", "benefittype":"A", "benefitrate":"600", "premiumrate":"1.01"}</v>
      </c>
      <c r="J872" s="6" t="str">
        <f t="shared" si="148"/>
        <v>,</v>
      </c>
    </row>
    <row r="873" spans="1:10">
      <c r="A873" s="4" t="str">
        <f>'EN60'!A$3</f>
        <v>EN60</v>
      </c>
      <c r="B873" s="4">
        <f t="shared" si="149"/>
        <v>44</v>
      </c>
      <c r="C873" s="4">
        <f t="shared" si="150"/>
        <v>7</v>
      </c>
      <c r="D873" s="4">
        <f t="shared" si="144"/>
        <v>8</v>
      </c>
      <c r="E873" s="4" t="s">
        <v>27</v>
      </c>
      <c r="F873" s="4">
        <f t="shared" si="145"/>
        <v>700</v>
      </c>
      <c r="G873" s="5">
        <f t="shared" si="151"/>
        <v>1.01</v>
      </c>
      <c r="H873" s="6" t="str">
        <f t="shared" si="146"/>
        <v>INSERT INTO public.coupon (plancode, age, "year", couponrate, benefittype, benefitrate, premiumrate) VALUES('EN60', 44, 7, 8, 'A',700, 1.01);</v>
      </c>
      <c r="I873" s="6" t="str">
        <f t="shared" si="147"/>
        <v>{"age":"44", "year":"7", "couponrate":"8", "benefittype":"A", "benefitrate":"700", "premiumrate":"1.01"}</v>
      </c>
      <c r="J873" s="6" t="str">
        <f t="shared" si="148"/>
        <v>,</v>
      </c>
    </row>
    <row r="874" spans="1:10">
      <c r="A874" s="4" t="str">
        <f>'EN60'!A$3</f>
        <v>EN60</v>
      </c>
      <c r="B874" s="4">
        <f t="shared" si="149"/>
        <v>44</v>
      </c>
      <c r="C874" s="4">
        <f t="shared" si="150"/>
        <v>8</v>
      </c>
      <c r="D874" s="4">
        <f t="shared" si="144"/>
        <v>8</v>
      </c>
      <c r="E874" s="4" t="s">
        <v>27</v>
      </c>
      <c r="F874" s="4">
        <f t="shared" si="145"/>
        <v>800</v>
      </c>
      <c r="G874" s="5">
        <f t="shared" si="151"/>
        <v>1.01</v>
      </c>
      <c r="H874" s="6" t="str">
        <f t="shared" si="146"/>
        <v>INSERT INTO public.coupon (plancode, age, "year", couponrate, benefittype, benefitrate, premiumrate) VALUES('EN60', 44, 8, 8, 'A',800, 1.01);</v>
      </c>
      <c r="I874" s="6" t="str">
        <f t="shared" si="147"/>
        <v>{"age":"44", "year":"8", "couponrate":"8", "benefittype":"A", "benefitrate":"800", "premiumrate":"1.01"}</v>
      </c>
      <c r="J874" s="6" t="str">
        <f t="shared" si="148"/>
        <v>,</v>
      </c>
    </row>
    <row r="875" spans="1:10">
      <c r="A875" s="4" t="str">
        <f>'EN60'!A$3</f>
        <v>EN60</v>
      </c>
      <c r="B875" s="4">
        <f t="shared" si="149"/>
        <v>44</v>
      </c>
      <c r="C875" s="4">
        <f t="shared" si="150"/>
        <v>9</v>
      </c>
      <c r="D875" s="4">
        <f t="shared" si="144"/>
        <v>8</v>
      </c>
      <c r="E875" s="4" t="s">
        <v>27</v>
      </c>
      <c r="F875" s="4">
        <f t="shared" si="145"/>
        <v>800</v>
      </c>
      <c r="G875" s="5">
        <f t="shared" si="151"/>
        <v>1.01</v>
      </c>
      <c r="H875" s="6" t="str">
        <f t="shared" si="146"/>
        <v>INSERT INTO public.coupon (plancode, age, "year", couponrate, benefittype, benefitrate, premiumrate) VALUES('EN60', 44, 9, 8, 'A',800, 1.01);</v>
      </c>
      <c r="I875" s="6" t="str">
        <f t="shared" si="147"/>
        <v>{"age":"44", "year":"9", "couponrate":"8", "benefittype":"A", "benefitrate":"800", "premiumrate":"1.01"}</v>
      </c>
      <c r="J875" s="6" t="str">
        <f t="shared" si="148"/>
        <v>,</v>
      </c>
    </row>
    <row r="876" spans="1:10">
      <c r="A876" s="4" t="str">
        <f>'EN60'!A$3</f>
        <v>EN60</v>
      </c>
      <c r="B876" s="4">
        <f t="shared" si="149"/>
        <v>44</v>
      </c>
      <c r="C876" s="4">
        <f t="shared" si="150"/>
        <v>10</v>
      </c>
      <c r="D876" s="4">
        <f t="shared" si="144"/>
        <v>8</v>
      </c>
      <c r="E876" s="4" t="s">
        <v>27</v>
      </c>
      <c r="F876" s="4">
        <f t="shared" si="145"/>
        <v>800</v>
      </c>
      <c r="G876" s="5">
        <f t="shared" si="151"/>
        <v>1.01</v>
      </c>
      <c r="H876" s="6" t="str">
        <f t="shared" si="146"/>
        <v>INSERT INTO public.coupon (plancode, age, "year", couponrate, benefittype, benefitrate, premiumrate) VALUES('EN60', 44, 10, 8, 'A',800, 1.01);</v>
      </c>
      <c r="I876" s="6" t="str">
        <f t="shared" si="147"/>
        <v>{"age":"44", "year":"10", "couponrate":"8", "benefittype":"A", "benefitrate":"800", "premiumrate":"1.01"}</v>
      </c>
      <c r="J876" s="6" t="str">
        <f t="shared" si="148"/>
        <v>,</v>
      </c>
    </row>
    <row r="877" spans="1:10">
      <c r="A877" s="4" t="str">
        <f>'EN60'!A$3</f>
        <v>EN60</v>
      </c>
      <c r="B877" s="4">
        <f t="shared" si="149"/>
        <v>44</v>
      </c>
      <c r="C877" s="4">
        <f t="shared" si="150"/>
        <v>11</v>
      </c>
      <c r="D877" s="4">
        <f t="shared" si="144"/>
        <v>8</v>
      </c>
      <c r="E877" s="4" t="s">
        <v>27</v>
      </c>
      <c r="F877" s="4">
        <f t="shared" si="145"/>
        <v>800</v>
      </c>
      <c r="G877" s="5">
        <f t="shared" si="151"/>
        <v>1.01</v>
      </c>
      <c r="H877" s="6" t="str">
        <f t="shared" si="146"/>
        <v>INSERT INTO public.coupon (plancode, age, "year", couponrate, benefittype, benefitrate, premiumrate) VALUES('EN60', 44, 11, 8, 'A',800, 1.01);</v>
      </c>
      <c r="I877" s="6" t="str">
        <f t="shared" si="147"/>
        <v>{"age":"44", "year":"11", "couponrate":"8", "benefittype":"A", "benefitrate":"800", "premiumrate":"1.01"}</v>
      </c>
      <c r="J877" s="6" t="str">
        <f t="shared" si="148"/>
        <v>,</v>
      </c>
    </row>
    <row r="878" spans="1:10">
      <c r="A878" s="4" t="str">
        <f>'EN60'!A$3</f>
        <v>EN60</v>
      </c>
      <c r="B878" s="4">
        <f t="shared" si="149"/>
        <v>44</v>
      </c>
      <c r="C878" s="4">
        <f t="shared" si="150"/>
        <v>12</v>
      </c>
      <c r="D878" s="4">
        <f t="shared" si="144"/>
        <v>8</v>
      </c>
      <c r="E878" s="4" t="s">
        <v>27</v>
      </c>
      <c r="F878" s="4">
        <f t="shared" si="145"/>
        <v>800</v>
      </c>
      <c r="G878" s="5">
        <f t="shared" si="151"/>
        <v>1.01</v>
      </c>
      <c r="H878" s="6" t="str">
        <f t="shared" si="146"/>
        <v>INSERT INTO public.coupon (plancode, age, "year", couponrate, benefittype, benefitrate, premiumrate) VALUES('EN60', 44, 12, 8, 'A',800, 1.01);</v>
      </c>
      <c r="I878" s="6" t="str">
        <f t="shared" si="147"/>
        <v>{"age":"44", "year":"12", "couponrate":"8", "benefittype":"A", "benefitrate":"800", "premiumrate":"1.01"}</v>
      </c>
      <c r="J878" s="6" t="str">
        <f t="shared" si="148"/>
        <v>,</v>
      </c>
    </row>
    <row r="879" spans="1:10">
      <c r="A879" s="4" t="str">
        <f>'EN60'!A$3</f>
        <v>EN60</v>
      </c>
      <c r="B879" s="4">
        <f t="shared" si="149"/>
        <v>44</v>
      </c>
      <c r="C879" s="4">
        <f t="shared" si="150"/>
        <v>13</v>
      </c>
      <c r="D879" s="4">
        <f t="shared" si="144"/>
        <v>8</v>
      </c>
      <c r="E879" s="4" t="s">
        <v>27</v>
      </c>
      <c r="F879" s="4">
        <f t="shared" si="145"/>
        <v>800</v>
      </c>
      <c r="G879" s="5">
        <f t="shared" si="151"/>
        <v>1.01</v>
      </c>
      <c r="H879" s="6" t="str">
        <f t="shared" si="146"/>
        <v>INSERT INTO public.coupon (plancode, age, "year", couponrate, benefittype, benefitrate, premiumrate) VALUES('EN60', 44, 13, 8, 'A',800, 1.01);</v>
      </c>
      <c r="I879" s="6" t="str">
        <f t="shared" si="147"/>
        <v>{"age":"44", "year":"13", "couponrate":"8", "benefittype":"A", "benefitrate":"800", "premiumrate":"1.01"}</v>
      </c>
      <c r="J879" s="6" t="str">
        <f t="shared" si="148"/>
        <v>,</v>
      </c>
    </row>
    <row r="880" spans="1:10">
      <c r="A880" s="4" t="str">
        <f>'EN60'!A$3</f>
        <v>EN60</v>
      </c>
      <c r="B880" s="4">
        <f t="shared" si="149"/>
        <v>44</v>
      </c>
      <c r="C880" s="4">
        <f t="shared" si="150"/>
        <v>14</v>
      </c>
      <c r="D880" s="4">
        <f t="shared" si="144"/>
        <v>8</v>
      </c>
      <c r="E880" s="4" t="s">
        <v>27</v>
      </c>
      <c r="F880" s="4">
        <f t="shared" si="145"/>
        <v>800</v>
      </c>
      <c r="G880" s="5">
        <f t="shared" si="151"/>
        <v>1.01</v>
      </c>
      <c r="H880" s="6" t="str">
        <f t="shared" si="146"/>
        <v>INSERT INTO public.coupon (plancode, age, "year", couponrate, benefittype, benefitrate, premiumrate) VALUES('EN60', 44, 14, 8, 'A',800, 1.01);</v>
      </c>
      <c r="I880" s="6" t="str">
        <f t="shared" si="147"/>
        <v>{"age":"44", "year":"14", "couponrate":"8", "benefittype":"A", "benefitrate":"800", "premiumrate":"1.01"}</v>
      </c>
      <c r="J880" s="6" t="str">
        <f t="shared" si="148"/>
        <v>,</v>
      </c>
    </row>
    <row r="881" spans="1:10">
      <c r="A881" s="4" t="str">
        <f>'EN60'!A$3</f>
        <v>EN60</v>
      </c>
      <c r="B881" s="4">
        <f t="shared" si="149"/>
        <v>44</v>
      </c>
      <c r="C881" s="4">
        <f t="shared" si="150"/>
        <v>15</v>
      </c>
      <c r="D881" s="4">
        <f t="shared" si="144"/>
        <v>8</v>
      </c>
      <c r="E881" s="4" t="s">
        <v>27</v>
      </c>
      <c r="F881" s="4">
        <f t="shared" si="145"/>
        <v>800</v>
      </c>
      <c r="G881" s="5">
        <f t="shared" si="151"/>
        <v>1.01</v>
      </c>
      <c r="H881" s="6" t="str">
        <f t="shared" si="146"/>
        <v>INSERT INTO public.coupon (plancode, age, "year", couponrate, benefittype, benefitrate, premiumrate) VALUES('EN60', 44, 15, 8, 'A',800, 1.01);</v>
      </c>
      <c r="I881" s="6" t="str">
        <f t="shared" si="147"/>
        <v>{"age":"44", "year":"15", "couponrate":"8", "benefittype":"A", "benefitrate":"800", "premiumrate":"1.01"}</v>
      </c>
      <c r="J881" s="6" t="str">
        <f t="shared" si="148"/>
        <v>,</v>
      </c>
    </row>
    <row r="882" spans="1:10">
      <c r="A882" s="4" t="str">
        <f>'EN60'!A$3</f>
        <v>EN60</v>
      </c>
      <c r="B882" s="4">
        <f t="shared" si="149"/>
        <v>44</v>
      </c>
      <c r="C882" s="4">
        <f t="shared" si="150"/>
        <v>16</v>
      </c>
      <c r="D882" s="4">
        <f t="shared" si="144"/>
        <v>8</v>
      </c>
      <c r="E882" s="4" t="s">
        <v>27</v>
      </c>
      <c r="F882" s="4">
        <f t="shared" si="145"/>
        <v>800</v>
      </c>
      <c r="G882" s="5">
        <f t="shared" si="151"/>
        <v>1.01</v>
      </c>
      <c r="H882" s="6" t="str">
        <f t="shared" si="146"/>
        <v>INSERT INTO public.coupon (plancode, age, "year", couponrate, benefittype, benefitrate, premiumrate) VALUES('EN60', 44, 16, 8, 'A',800, 1.01);</v>
      </c>
      <c r="I882" s="6" t="str">
        <f t="shared" si="147"/>
        <v>{"age":"44", "year":"16", "couponrate":"8", "benefittype":"A", "benefitrate":"800", "premiumrate":"1.01"}</v>
      </c>
      <c r="J882" s="6" t="str">
        <f t="shared" si="148"/>
        <v>,</v>
      </c>
    </row>
    <row r="883" spans="1:10">
      <c r="A883" s="4" t="str">
        <f>'EN60'!A$3</f>
        <v>EN60</v>
      </c>
      <c r="B883" s="4">
        <f t="shared" si="149"/>
        <v>44</v>
      </c>
      <c r="C883" s="4">
        <f t="shared" si="150"/>
        <v>17</v>
      </c>
      <c r="D883" s="4">
        <f t="shared" si="144"/>
        <v>8</v>
      </c>
      <c r="E883" s="4" t="s">
        <v>27</v>
      </c>
      <c r="F883" s="4">
        <f t="shared" si="145"/>
        <v>800</v>
      </c>
      <c r="G883" s="5">
        <f t="shared" si="151"/>
        <v>1.01</v>
      </c>
      <c r="H883" s="6" t="str">
        <f t="shared" si="146"/>
        <v>INSERT INTO public.coupon (plancode, age, "year", couponrate, benefittype, benefitrate, premiumrate) VALUES('EN60', 44, 17, 8, 'A',800, 1.01);</v>
      </c>
      <c r="I883" s="6" t="str">
        <f t="shared" si="147"/>
        <v>{"age":"44", "year":"17", "couponrate":"8", "benefittype":"A", "benefitrate":"800", "premiumrate":"1.01"}</v>
      </c>
      <c r="J883" s="6" t="str">
        <f t="shared" si="148"/>
        <v>,</v>
      </c>
    </row>
    <row r="884" spans="1:10">
      <c r="A884" s="4" t="str">
        <f>'EN60'!A$3</f>
        <v>EN60</v>
      </c>
      <c r="B884" s="4">
        <f t="shared" si="149"/>
        <v>44</v>
      </c>
      <c r="C884" s="4">
        <f t="shared" si="150"/>
        <v>18</v>
      </c>
      <c r="D884" s="4">
        <f t="shared" si="144"/>
        <v>8</v>
      </c>
      <c r="E884" s="4" t="s">
        <v>27</v>
      </c>
      <c r="F884" s="4">
        <f t="shared" si="145"/>
        <v>800</v>
      </c>
      <c r="G884" s="5">
        <f t="shared" si="151"/>
        <v>1.01</v>
      </c>
      <c r="H884" s="6" t="str">
        <f t="shared" si="146"/>
        <v>INSERT INTO public.coupon (plancode, age, "year", couponrate, benefittype, benefitrate, premiumrate) VALUES('EN60', 44, 18, 8, 'A',800, 1.01);</v>
      </c>
      <c r="I884" s="6" t="str">
        <f t="shared" si="147"/>
        <v>{"age":"44", "year":"18", "couponrate":"8", "benefittype":"A", "benefitrate":"800", "premiumrate":"1.01"}</v>
      </c>
      <c r="J884" s="6" t="str">
        <f t="shared" si="148"/>
        <v>,</v>
      </c>
    </row>
    <row r="885" spans="1:10">
      <c r="A885" s="4" t="str">
        <f>'EN60'!A$3</f>
        <v>EN60</v>
      </c>
      <c r="B885" s="4">
        <f t="shared" si="149"/>
        <v>44</v>
      </c>
      <c r="C885" s="4">
        <f t="shared" si="150"/>
        <v>19</v>
      </c>
      <c r="D885" s="4">
        <f t="shared" si="144"/>
        <v>8</v>
      </c>
      <c r="E885" s="4" t="s">
        <v>27</v>
      </c>
      <c r="F885" s="4">
        <f t="shared" si="145"/>
        <v>800</v>
      </c>
      <c r="G885" s="5">
        <f t="shared" si="151"/>
        <v>1.01</v>
      </c>
      <c r="H885" s="6" t="str">
        <f t="shared" si="146"/>
        <v>INSERT INTO public.coupon (plancode, age, "year", couponrate, benefittype, benefitrate, premiumrate) VALUES('EN60', 44, 19, 8, 'A',800, 1.01);</v>
      </c>
      <c r="I885" s="6" t="str">
        <f t="shared" si="147"/>
        <v>{"age":"44", "year":"19", "couponrate":"8", "benefittype":"A", "benefitrate":"800", "premiumrate":"1.01"}</v>
      </c>
      <c r="J885" s="6" t="str">
        <f t="shared" si="148"/>
        <v>,</v>
      </c>
    </row>
    <row r="886" spans="1:10">
      <c r="A886" s="4" t="str">
        <f>'EN60'!A$3</f>
        <v>EN60</v>
      </c>
      <c r="B886" s="4">
        <f t="shared" si="149"/>
        <v>44</v>
      </c>
      <c r="C886" s="4">
        <f t="shared" si="150"/>
        <v>20</v>
      </c>
      <c r="D886" s="4">
        <f t="shared" si="144"/>
        <v>8</v>
      </c>
      <c r="E886" s="4" t="s">
        <v>27</v>
      </c>
      <c r="F886" s="4">
        <f t="shared" si="145"/>
        <v>800</v>
      </c>
      <c r="G886" s="5">
        <f t="shared" si="151"/>
        <v>1.01</v>
      </c>
      <c r="H886" s="6" t="str">
        <f t="shared" si="146"/>
        <v>INSERT INTO public.coupon (plancode, age, "year", couponrate, benefittype, benefitrate, premiumrate) VALUES('EN60', 44, 20, 8, 'A',800, 1.01);</v>
      </c>
      <c r="I886" s="6" t="str">
        <f t="shared" si="147"/>
        <v>{"age":"44", "year":"20", "couponrate":"8", "benefittype":"A", "benefitrate":"800", "premiumrate":"1.01"}</v>
      </c>
      <c r="J886" s="6" t="str">
        <f t="shared" si="148"/>
        <v>,</v>
      </c>
    </row>
    <row r="887" spans="1:10">
      <c r="A887" s="4" t="str">
        <f>'EN60'!A$3</f>
        <v>EN60</v>
      </c>
      <c r="B887" s="4">
        <f t="shared" si="149"/>
        <v>44</v>
      </c>
      <c r="C887" s="4">
        <f t="shared" si="150"/>
        <v>21</v>
      </c>
      <c r="D887" s="4">
        <f t="shared" si="144"/>
        <v>8</v>
      </c>
      <c r="E887" s="4" t="s">
        <v>27</v>
      </c>
      <c r="F887" s="4">
        <f t="shared" si="145"/>
        <v>800</v>
      </c>
      <c r="G887" s="5">
        <f t="shared" si="151"/>
        <v>1.01</v>
      </c>
      <c r="H887" s="6" t="str">
        <f t="shared" si="146"/>
        <v>INSERT INTO public.coupon (plancode, age, "year", couponrate, benefittype, benefitrate, premiumrate) VALUES('EN60', 44, 21, 8, 'A',800, 1.01);</v>
      </c>
      <c r="I887" s="6" t="str">
        <f t="shared" si="147"/>
        <v>{"age":"44", "year":"21", "couponrate":"8", "benefittype":"A", "benefitrate":"800", "premiumrate":"1.01"}</v>
      </c>
      <c r="J887" s="6" t="str">
        <f t="shared" si="148"/>
        <v>,</v>
      </c>
    </row>
    <row r="888" spans="1:10">
      <c r="A888" s="4" t="str">
        <f>'EN60'!A$3</f>
        <v>EN60</v>
      </c>
      <c r="B888" s="4">
        <f t="shared" si="149"/>
        <v>44</v>
      </c>
      <c r="C888" s="4">
        <f t="shared" si="150"/>
        <v>22</v>
      </c>
      <c r="D888" s="4">
        <f t="shared" si="144"/>
        <v>8</v>
      </c>
      <c r="E888" s="4" t="s">
        <v>27</v>
      </c>
      <c r="F888" s="4">
        <f t="shared" si="145"/>
        <v>800</v>
      </c>
      <c r="G888" s="5">
        <f t="shared" si="151"/>
        <v>1.01</v>
      </c>
      <c r="H888" s="6" t="str">
        <f t="shared" si="146"/>
        <v>INSERT INTO public.coupon (plancode, age, "year", couponrate, benefittype, benefitrate, premiumrate) VALUES('EN60', 44, 22, 8, 'A',800, 1.01);</v>
      </c>
      <c r="I888" s="6" t="str">
        <f t="shared" si="147"/>
        <v>{"age":"44", "year":"22", "couponrate":"8", "benefittype":"A", "benefitrate":"800", "premiumrate":"1.01"}</v>
      </c>
      <c r="J888" s="6" t="str">
        <f t="shared" si="148"/>
        <v>,</v>
      </c>
    </row>
    <row r="889" spans="1:10">
      <c r="A889" s="4" t="str">
        <f>'EN60'!A$3</f>
        <v>EN60</v>
      </c>
      <c r="B889" s="4">
        <f t="shared" si="149"/>
        <v>44</v>
      </c>
      <c r="C889" s="4">
        <f t="shared" si="150"/>
        <v>23</v>
      </c>
      <c r="D889" s="4">
        <f t="shared" si="144"/>
        <v>8</v>
      </c>
      <c r="E889" s="4" t="s">
        <v>27</v>
      </c>
      <c r="F889" s="4">
        <f t="shared" si="145"/>
        <v>800</v>
      </c>
      <c r="G889" s="5">
        <f t="shared" si="151"/>
        <v>1.01</v>
      </c>
      <c r="H889" s="6" t="str">
        <f t="shared" si="146"/>
        <v>INSERT INTO public.coupon (plancode, age, "year", couponrate, benefittype, benefitrate, premiumrate) VALUES('EN60', 44, 23, 8, 'A',800, 1.01);</v>
      </c>
      <c r="I889" s="6" t="str">
        <f t="shared" si="147"/>
        <v>{"age":"44", "year":"23", "couponrate":"8", "benefittype":"A", "benefitrate":"800", "premiumrate":"1.01"}</v>
      </c>
      <c r="J889" s="6" t="str">
        <f t="shared" si="148"/>
        <v>,</v>
      </c>
    </row>
    <row r="890" spans="1:10">
      <c r="A890" s="4" t="str">
        <f>'EN60'!A$3</f>
        <v>EN60</v>
      </c>
      <c r="B890" s="4">
        <f t="shared" si="149"/>
        <v>44</v>
      </c>
      <c r="C890" s="4">
        <f t="shared" si="150"/>
        <v>24</v>
      </c>
      <c r="D890" s="4">
        <f t="shared" si="144"/>
        <v>8</v>
      </c>
      <c r="E890" s="4" t="s">
        <v>27</v>
      </c>
      <c r="F890" s="4">
        <f t="shared" si="145"/>
        <v>800</v>
      </c>
      <c r="G890" s="5">
        <f t="shared" si="151"/>
        <v>1.01</v>
      </c>
      <c r="H890" s="6" t="str">
        <f t="shared" si="146"/>
        <v>INSERT INTO public.coupon (plancode, age, "year", couponrate, benefittype, benefitrate, premiumrate) VALUES('EN60', 44, 24, 8, 'A',800, 1.01);</v>
      </c>
      <c r="I890" s="6" t="str">
        <f t="shared" si="147"/>
        <v>{"age":"44", "year":"24", "couponrate":"8", "benefittype":"A", "benefitrate":"800", "premiumrate":"1.01"}</v>
      </c>
      <c r="J890" s="6" t="str">
        <f t="shared" si="148"/>
        <v>,</v>
      </c>
    </row>
    <row r="891" spans="1:10">
      <c r="A891" s="4" t="str">
        <f>'EN60'!A$3</f>
        <v>EN60</v>
      </c>
      <c r="B891" s="4">
        <f t="shared" si="149"/>
        <v>44</v>
      </c>
      <c r="C891" s="4">
        <f t="shared" si="150"/>
        <v>25</v>
      </c>
      <c r="D891" s="4">
        <f t="shared" si="144"/>
        <v>8</v>
      </c>
      <c r="E891" s="4" t="s">
        <v>27</v>
      </c>
      <c r="F891" s="4">
        <f t="shared" si="145"/>
        <v>800</v>
      </c>
      <c r="G891" s="5">
        <f t="shared" si="151"/>
        <v>1.01</v>
      </c>
      <c r="H891" s="6" t="str">
        <f t="shared" si="146"/>
        <v>INSERT INTO public.coupon (plancode, age, "year", couponrate, benefittype, benefitrate, premiumrate) VALUES('EN60', 44, 25, 8, 'A',800, 1.01);</v>
      </c>
      <c r="I891" s="6" t="str">
        <f t="shared" si="147"/>
        <v>{"age":"44", "year":"25", "couponrate":"8", "benefittype":"A", "benefitrate":"800", "premiumrate":"1.01"}</v>
      </c>
      <c r="J891" s="6" t="str">
        <f t="shared" si="148"/>
        <v>,</v>
      </c>
    </row>
    <row r="892" spans="1:10">
      <c r="A892" s="4" t="str">
        <f>'EN60'!A$3</f>
        <v>EN60</v>
      </c>
      <c r="B892" s="4">
        <f t="shared" si="149"/>
        <v>44</v>
      </c>
      <c r="C892" s="4">
        <f t="shared" si="150"/>
        <v>26</v>
      </c>
      <c r="D892" s="4">
        <f t="shared" si="144"/>
        <v>8</v>
      </c>
      <c r="E892" s="4" t="s">
        <v>27</v>
      </c>
      <c r="F892" s="4">
        <f t="shared" si="145"/>
        <v>800</v>
      </c>
      <c r="G892" s="5">
        <f t="shared" si="151"/>
        <v>1.01</v>
      </c>
      <c r="H892" s="6" t="str">
        <f t="shared" si="146"/>
        <v>INSERT INTO public.coupon (plancode, age, "year", couponrate, benefittype, benefitrate, premiumrate) VALUES('EN60', 44, 26, 8, 'A',800, 1.01);</v>
      </c>
      <c r="I892" s="6" t="str">
        <f t="shared" si="147"/>
        <v>{"age":"44", "year":"26", "couponrate":"8", "benefittype":"A", "benefitrate":"800", "premiumrate":"1.01"}</v>
      </c>
      <c r="J892" s="6" t="str">
        <f t="shared" si="148"/>
        <v>,</v>
      </c>
    </row>
    <row r="893" spans="1:10">
      <c r="A893" s="4" t="str">
        <f>'EN60'!A$3</f>
        <v>EN60</v>
      </c>
      <c r="B893" s="4">
        <f t="shared" si="149"/>
        <v>44</v>
      </c>
      <c r="C893" s="4">
        <f t="shared" si="150"/>
        <v>27</v>
      </c>
      <c r="D893" s="4">
        <f t="shared" si="144"/>
        <v>8</v>
      </c>
      <c r="E893" s="4" t="s">
        <v>27</v>
      </c>
      <c r="F893" s="4">
        <f t="shared" si="145"/>
        <v>800</v>
      </c>
      <c r="G893" s="5">
        <f t="shared" si="151"/>
        <v>1.01</v>
      </c>
      <c r="H893" s="6" t="str">
        <f t="shared" si="146"/>
        <v>INSERT INTO public.coupon (plancode, age, "year", couponrate, benefittype, benefitrate, premiumrate) VALUES('EN60', 44, 27, 8, 'A',800, 1.01);</v>
      </c>
      <c r="I893" s="6" t="str">
        <f t="shared" si="147"/>
        <v>{"age":"44", "year":"27", "couponrate":"8", "benefittype":"A", "benefitrate":"800", "premiumrate":"1.01"}</v>
      </c>
      <c r="J893" s="6" t="str">
        <f t="shared" si="148"/>
        <v>,</v>
      </c>
    </row>
    <row r="894" spans="1:10">
      <c r="A894" s="4" t="str">
        <f>'EN60'!A$3</f>
        <v>EN60</v>
      </c>
      <c r="B894" s="4">
        <f t="shared" si="149"/>
        <v>44</v>
      </c>
      <c r="C894" s="4">
        <f t="shared" si="150"/>
        <v>28</v>
      </c>
      <c r="D894" s="4">
        <f t="shared" si="144"/>
        <v>8</v>
      </c>
      <c r="E894" s="4" t="s">
        <v>27</v>
      </c>
      <c r="F894" s="4">
        <f t="shared" si="145"/>
        <v>800</v>
      </c>
      <c r="G894" s="5">
        <f t="shared" si="151"/>
        <v>1.01</v>
      </c>
      <c r="H894" s="6" t="str">
        <f t="shared" si="146"/>
        <v>INSERT INTO public.coupon (plancode, age, "year", couponrate, benefittype, benefitrate, premiumrate) VALUES('EN60', 44, 28, 8, 'A',800, 1.01);</v>
      </c>
      <c r="I894" s="6" t="str">
        <f t="shared" si="147"/>
        <v>{"age":"44", "year":"28", "couponrate":"8", "benefittype":"A", "benefitrate":"800", "premiumrate":"1.01"}</v>
      </c>
      <c r="J894" s="6" t="str">
        <f t="shared" si="148"/>
        <v>,</v>
      </c>
    </row>
    <row r="895" spans="1:10">
      <c r="A895" s="4" t="str">
        <f>'EN60'!A$3</f>
        <v>EN60</v>
      </c>
      <c r="B895" s="4">
        <f t="shared" si="149"/>
        <v>44</v>
      </c>
      <c r="C895" s="4">
        <f t="shared" si="150"/>
        <v>29</v>
      </c>
      <c r="D895" s="4">
        <f t="shared" si="144"/>
        <v>8</v>
      </c>
      <c r="E895" s="4" t="s">
        <v>27</v>
      </c>
      <c r="F895" s="4">
        <f t="shared" si="145"/>
        <v>800</v>
      </c>
      <c r="G895" s="5">
        <f t="shared" si="151"/>
        <v>1.01</v>
      </c>
      <c r="H895" s="6" t="str">
        <f t="shared" si="146"/>
        <v>INSERT INTO public.coupon (plancode, age, "year", couponrate, benefittype, benefitrate, premiumrate) VALUES('EN60', 44, 29, 8, 'A',800, 1.01);</v>
      </c>
      <c r="I895" s="6" t="str">
        <f t="shared" si="147"/>
        <v>{"age":"44", "year":"29", "couponrate":"8", "benefittype":"A", "benefitrate":"800", "premiumrate":"1.01"}</v>
      </c>
      <c r="J895" s="6" t="str">
        <f t="shared" si="148"/>
        <v>,</v>
      </c>
    </row>
    <row r="896" spans="1:10">
      <c r="A896" s="4" t="str">
        <f>'EN60'!A$3</f>
        <v>EN60</v>
      </c>
      <c r="B896" s="4">
        <f t="shared" si="149"/>
        <v>44</v>
      </c>
      <c r="C896" s="4">
        <f t="shared" si="150"/>
        <v>30</v>
      </c>
      <c r="D896" s="4">
        <f t="shared" si="144"/>
        <v>8</v>
      </c>
      <c r="E896" s="4" t="s">
        <v>27</v>
      </c>
      <c r="F896" s="4">
        <f t="shared" si="145"/>
        <v>800</v>
      </c>
      <c r="G896" s="5">
        <f t="shared" si="151"/>
        <v>1.01</v>
      </c>
      <c r="H896" s="6" t="str">
        <f t="shared" si="146"/>
        <v>INSERT INTO public.coupon (plancode, age, "year", couponrate, benefittype, benefitrate, premiumrate) VALUES('EN60', 44, 30, 8, 'A',800, 1.01);</v>
      </c>
      <c r="I896" s="6" t="str">
        <f t="shared" si="147"/>
        <v>{"age":"44", "year":"30", "couponrate":"8", "benefittype":"A", "benefitrate":"800", "premiumrate":"1.01"}</v>
      </c>
      <c r="J896" s="6" t="str">
        <f t="shared" si="148"/>
        <v>,</v>
      </c>
    </row>
    <row r="897" spans="1:10">
      <c r="A897" s="4" t="str">
        <f>'EN60'!A$3</f>
        <v>EN60</v>
      </c>
      <c r="B897" s="4">
        <f t="shared" si="149"/>
        <v>44</v>
      </c>
      <c r="C897" s="4">
        <f t="shared" si="150"/>
        <v>31</v>
      </c>
      <c r="D897" s="4">
        <f t="shared" si="144"/>
        <v>8</v>
      </c>
      <c r="E897" s="4" t="s">
        <v>27</v>
      </c>
      <c r="F897" s="4">
        <f t="shared" si="145"/>
        <v>800</v>
      </c>
      <c r="G897" s="5">
        <f t="shared" si="151"/>
        <v>1.01</v>
      </c>
      <c r="H897" s="6" t="str">
        <f t="shared" si="146"/>
        <v>INSERT INTO public.coupon (plancode, age, "year", couponrate, benefittype, benefitrate, premiumrate) VALUES('EN60', 44, 31, 8, 'A',800, 1.01);</v>
      </c>
      <c r="I897" s="6" t="str">
        <f t="shared" si="147"/>
        <v>{"age":"44", "year":"31", "couponrate":"8", "benefittype":"A", "benefitrate":"800", "premiumrate":"1.01"}</v>
      </c>
      <c r="J897" s="6" t="str">
        <f t="shared" si="148"/>
        <v>,</v>
      </c>
    </row>
    <row r="898" spans="1:10">
      <c r="A898" s="4" t="str">
        <f>'EN60'!A$3</f>
        <v>EN60</v>
      </c>
      <c r="B898" s="4">
        <f t="shared" si="149"/>
        <v>44</v>
      </c>
      <c r="C898" s="4">
        <f t="shared" si="150"/>
        <v>32</v>
      </c>
      <c r="D898" s="4">
        <f t="shared" si="144"/>
        <v>8</v>
      </c>
      <c r="E898" s="4" t="s">
        <v>27</v>
      </c>
      <c r="F898" s="4">
        <f t="shared" si="145"/>
        <v>800</v>
      </c>
      <c r="G898" s="5">
        <f t="shared" si="151"/>
        <v>1.01</v>
      </c>
      <c r="H898" s="6" t="str">
        <f t="shared" si="146"/>
        <v>INSERT INTO public.coupon (plancode, age, "year", couponrate, benefittype, benefitrate, premiumrate) VALUES('EN60', 44, 32, 8, 'A',800, 1.01);</v>
      </c>
      <c r="I898" s="6" t="str">
        <f t="shared" si="147"/>
        <v>{"age":"44", "year":"32", "couponrate":"8", "benefittype":"A", "benefitrate":"800", "premiumrate":"1.01"}</v>
      </c>
      <c r="J898" s="6" t="str">
        <f t="shared" si="148"/>
        <v>,</v>
      </c>
    </row>
    <row r="899" spans="1:10">
      <c r="A899" s="4" t="str">
        <f>'EN60'!A$3</f>
        <v>EN60</v>
      </c>
      <c r="B899" s="4">
        <f t="shared" si="149"/>
        <v>44</v>
      </c>
      <c r="C899" s="4">
        <f t="shared" si="150"/>
        <v>33</v>
      </c>
      <c r="D899" s="4">
        <f t="shared" si="144"/>
        <v>8</v>
      </c>
      <c r="E899" s="4" t="s">
        <v>27</v>
      </c>
      <c r="F899" s="4">
        <f t="shared" si="145"/>
        <v>800</v>
      </c>
      <c r="G899" s="5">
        <f t="shared" si="151"/>
        <v>1.01</v>
      </c>
      <c r="H899" s="6" t="str">
        <f t="shared" si="146"/>
        <v>INSERT INTO public.coupon (plancode, age, "year", couponrate, benefittype, benefitrate, premiumrate) VALUES('EN60', 44, 33, 8, 'A',800, 1.01);</v>
      </c>
      <c r="I899" s="6" t="str">
        <f t="shared" si="147"/>
        <v>{"age":"44", "year":"33", "couponrate":"8", "benefittype":"A", "benefitrate":"800", "premiumrate":"1.01"}</v>
      </c>
      <c r="J899" s="6" t="str">
        <f t="shared" si="148"/>
        <v>,</v>
      </c>
    </row>
    <row r="900" spans="1:10">
      <c r="A900" s="4" t="str">
        <f>'EN60'!A$3</f>
        <v>EN60</v>
      </c>
      <c r="B900" s="4">
        <f t="shared" si="149"/>
        <v>44</v>
      </c>
      <c r="C900" s="4">
        <f t="shared" si="150"/>
        <v>34</v>
      </c>
      <c r="D900" s="4">
        <f t="shared" si="144"/>
        <v>8</v>
      </c>
      <c r="E900" s="4" t="s">
        <v>27</v>
      </c>
      <c r="F900" s="4">
        <f t="shared" si="145"/>
        <v>800</v>
      </c>
      <c r="G900" s="5">
        <f t="shared" si="151"/>
        <v>1.01</v>
      </c>
      <c r="H900" s="6" t="str">
        <f t="shared" si="146"/>
        <v>INSERT INTO public.coupon (plancode, age, "year", couponrate, benefittype, benefitrate, premiumrate) VALUES('EN60', 44, 34, 8, 'A',800, 1.01);</v>
      </c>
      <c r="I900" s="6" t="str">
        <f t="shared" si="147"/>
        <v>{"age":"44", "year":"34", "couponrate":"8", "benefittype":"A", "benefitrate":"800", "premiumrate":"1.01"}</v>
      </c>
      <c r="J900" s="6" t="str">
        <f t="shared" si="148"/>
        <v>,</v>
      </c>
    </row>
    <row r="901" spans="1:10">
      <c r="A901" s="4" t="str">
        <f>'EN60'!A$3</f>
        <v>EN60</v>
      </c>
      <c r="B901" s="4">
        <f t="shared" si="149"/>
        <v>44</v>
      </c>
      <c r="C901" s="4">
        <f t="shared" si="150"/>
        <v>35</v>
      </c>
      <c r="D901" s="4">
        <f t="shared" si="144"/>
        <v>8</v>
      </c>
      <c r="E901" s="4" t="s">
        <v>27</v>
      </c>
      <c r="F901" s="4">
        <f t="shared" si="145"/>
        <v>800</v>
      </c>
      <c r="G901" s="5">
        <f t="shared" si="151"/>
        <v>1.01</v>
      </c>
      <c r="H901" s="6" t="str">
        <f t="shared" si="146"/>
        <v>INSERT INTO public.coupon (plancode, age, "year", couponrate, benefittype, benefitrate, premiumrate) VALUES('EN60', 44, 35, 8, 'A',800, 1.01);</v>
      </c>
      <c r="I901" s="6" t="str">
        <f t="shared" si="147"/>
        <v>{"age":"44", "year":"35", "couponrate":"8", "benefittype":"A", "benefitrate":"800", "premiumrate":"1.01"}</v>
      </c>
      <c r="J901" s="6" t="str">
        <f t="shared" si="148"/>
        <v>,</v>
      </c>
    </row>
    <row r="902" spans="1:10">
      <c r="A902" s="4" t="str">
        <f>'EN60'!A$3</f>
        <v>EN60</v>
      </c>
      <c r="B902" s="4">
        <f t="shared" si="149"/>
        <v>44</v>
      </c>
      <c r="C902" s="4">
        <f t="shared" si="150"/>
        <v>36</v>
      </c>
      <c r="D902" s="4">
        <f t="shared" si="144"/>
        <v>0</v>
      </c>
      <c r="E902" s="4" t="s">
        <v>27</v>
      </c>
      <c r="F902" s="4">
        <f t="shared" si="145"/>
        <v>800</v>
      </c>
      <c r="G902" s="5">
        <f t="shared" si="151"/>
        <v>1.01</v>
      </c>
      <c r="H902" s="6" t="str">
        <f t="shared" si="146"/>
        <v>INSERT INTO public.coupon (plancode, age, "year", couponrate, benefittype, benefitrate, premiumrate) VALUES('EN60', 44, 36, 0, 'A',800, 1.01);</v>
      </c>
      <c r="I902" s="6" t="str">
        <f t="shared" si="147"/>
        <v>{"age":"44", "year":"36", "couponrate":"0", "benefittype":"A", "benefitrate":"800", "premiumrate":"1.01"}</v>
      </c>
    </row>
    <row r="903" spans="1:10">
      <c r="C903" s="6"/>
      <c r="I903" s="6" t="s">
        <v>28</v>
      </c>
    </row>
    <row r="904" spans="1:10">
      <c r="A904" s="3" t="s">
        <v>2</v>
      </c>
      <c r="B904" s="3" t="s">
        <v>23</v>
      </c>
      <c r="C904" s="3" t="s">
        <v>24</v>
      </c>
      <c r="D904" s="3" t="s">
        <v>25</v>
      </c>
      <c r="E904" s="3" t="s">
        <v>8</v>
      </c>
      <c r="F904" s="3" t="s">
        <v>26</v>
      </c>
      <c r="G904" s="3" t="s">
        <v>4</v>
      </c>
      <c r="I904" s="6" t="str">
        <f>"[{""plancode"":"""&amp;A905&amp;""",""returncash"":"""&amp;B$7&amp;""",""ytable"":"""&amp;C$7&amp;""",""maturerate"":"""&amp;B$3&amp;""",""maturepmrate"":"""&amp;C$3&amp;""",""coupon"":["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905" spans="1:10">
      <c r="A905" s="4" t="str">
        <f>'EN60'!A$3</f>
        <v>EN60</v>
      </c>
      <c r="B905" s="8">
        <v>45</v>
      </c>
      <c r="C905" s="4">
        <v>1</v>
      </c>
      <c r="D905" s="4">
        <f t="shared" ref="D905:D939" si="152">IF(C905+B905=80,0,8)</f>
        <v>8</v>
      </c>
      <c r="E905" s="4" t="s">
        <v>27</v>
      </c>
      <c r="F905" s="4">
        <f t="shared" ref="F905:F939" si="153">IF(C905&gt;7, 800, C905*100)</f>
        <v>100</v>
      </c>
      <c r="G905" s="5">
        <f>'EN60'!C$3</f>
        <v>1.01</v>
      </c>
      <c r="H905" s="6" t="str">
        <f t="shared" ref="H905:H939" si="154">"INSERT INTO public.coupon ("&amp;A$11&amp;", "&amp;B$11&amp;", """&amp;C$11&amp;""", "&amp;D$11&amp;", "&amp;E$11&amp;", "&amp;F$11&amp;", "&amp;G$11&amp;") VALUES('"&amp;A905&amp;"', "&amp;B905&amp;", "&amp;C905&amp;", "&amp;D905&amp;", '"&amp;E905&amp;"',"&amp;F905&amp;", "&amp;G905&amp;");"</f>
        <v>INSERT INTO public.coupon (plancode, age, "year", couponrate, benefittype, benefitrate, premiumrate) VALUES('EN60', 45, 1, 8, 'A',100, 1.01);</v>
      </c>
      <c r="I905" s="6" t="str">
        <f t="shared" ref="I905:I939" si="155">"{""age"":"""&amp;B905&amp;""", ""year"":"""&amp;C905&amp;""", ""couponrate"":"""&amp;D905&amp;""", ""benefittype"":"""&amp;E905&amp;""", ""benefitrate"":"""&amp;F905&amp;""", """&amp;G$11&amp;""":"""&amp;G905&amp;"""}"</f>
        <v>{"age":"45", "year":"1", "couponrate":"8", "benefittype":"A", "benefitrate":"100", "premiumrate":"1.01"}</v>
      </c>
      <c r="J905" s="6" t="str">
        <f t="shared" ref="J905:J938" si="156">IF(OR(I906="]", I905="[", I905="]"), "", ",")</f>
        <v>,</v>
      </c>
    </row>
    <row r="906" spans="1:10">
      <c r="A906" s="4" t="str">
        <f>'EN60'!A$3</f>
        <v>EN60</v>
      </c>
      <c r="B906" s="4">
        <f t="shared" ref="B906:B939" si="157">B905</f>
        <v>45</v>
      </c>
      <c r="C906" s="4">
        <f t="shared" ref="C906:C939" si="158">IF(B906+C905+1&gt;80,"",C905+1)</f>
        <v>2</v>
      </c>
      <c r="D906" s="4">
        <f t="shared" si="152"/>
        <v>8</v>
      </c>
      <c r="E906" s="4" t="s">
        <v>27</v>
      </c>
      <c r="F906" s="4">
        <f t="shared" si="153"/>
        <v>200</v>
      </c>
      <c r="G906" s="5">
        <f t="shared" ref="G906:G939" si="159">G905</f>
        <v>1.01</v>
      </c>
      <c r="H906" s="6" t="str">
        <f t="shared" si="154"/>
        <v>INSERT INTO public.coupon (plancode, age, "year", couponrate, benefittype, benefitrate, premiumrate) VALUES('EN60', 45, 2, 8, 'A',200, 1.01);</v>
      </c>
      <c r="I906" s="6" t="str">
        <f t="shared" si="155"/>
        <v>{"age":"45", "year":"2", "couponrate":"8", "benefittype":"A", "benefitrate":"200", "premiumrate":"1.01"}</v>
      </c>
      <c r="J906" s="6" t="str">
        <f t="shared" si="156"/>
        <v>,</v>
      </c>
    </row>
    <row r="907" spans="1:10">
      <c r="A907" s="4" t="str">
        <f>'EN60'!A$3</f>
        <v>EN60</v>
      </c>
      <c r="B907" s="4">
        <f t="shared" si="157"/>
        <v>45</v>
      </c>
      <c r="C907" s="4">
        <f t="shared" si="158"/>
        <v>3</v>
      </c>
      <c r="D907" s="4">
        <f t="shared" si="152"/>
        <v>8</v>
      </c>
      <c r="E907" s="4" t="s">
        <v>27</v>
      </c>
      <c r="F907" s="4">
        <f t="shared" si="153"/>
        <v>300</v>
      </c>
      <c r="G907" s="5">
        <f t="shared" si="159"/>
        <v>1.01</v>
      </c>
      <c r="H907" s="6" t="str">
        <f t="shared" si="154"/>
        <v>INSERT INTO public.coupon (plancode, age, "year", couponrate, benefittype, benefitrate, premiumrate) VALUES('EN60', 45, 3, 8, 'A',300, 1.01);</v>
      </c>
      <c r="I907" s="6" t="str">
        <f t="shared" si="155"/>
        <v>{"age":"45", "year":"3", "couponrate":"8", "benefittype":"A", "benefitrate":"300", "premiumrate":"1.01"}</v>
      </c>
      <c r="J907" s="6" t="str">
        <f t="shared" si="156"/>
        <v>,</v>
      </c>
    </row>
    <row r="908" spans="1:10">
      <c r="A908" s="4" t="str">
        <f>'EN60'!A$3</f>
        <v>EN60</v>
      </c>
      <c r="B908" s="4">
        <f t="shared" si="157"/>
        <v>45</v>
      </c>
      <c r="C908" s="4">
        <f t="shared" si="158"/>
        <v>4</v>
      </c>
      <c r="D908" s="4">
        <f t="shared" si="152"/>
        <v>8</v>
      </c>
      <c r="E908" s="4" t="s">
        <v>27</v>
      </c>
      <c r="F908" s="4">
        <f t="shared" si="153"/>
        <v>400</v>
      </c>
      <c r="G908" s="5">
        <f t="shared" si="159"/>
        <v>1.01</v>
      </c>
      <c r="H908" s="6" t="str">
        <f t="shared" si="154"/>
        <v>INSERT INTO public.coupon (plancode, age, "year", couponrate, benefittype, benefitrate, premiumrate) VALUES('EN60', 45, 4, 8, 'A',400, 1.01);</v>
      </c>
      <c r="I908" s="6" t="str">
        <f t="shared" si="155"/>
        <v>{"age":"45", "year":"4", "couponrate":"8", "benefittype":"A", "benefitrate":"400", "premiumrate":"1.01"}</v>
      </c>
      <c r="J908" s="6" t="str">
        <f t="shared" si="156"/>
        <v>,</v>
      </c>
    </row>
    <row r="909" spans="1:10">
      <c r="A909" s="4" t="str">
        <f>'EN60'!A$3</f>
        <v>EN60</v>
      </c>
      <c r="B909" s="4">
        <f t="shared" si="157"/>
        <v>45</v>
      </c>
      <c r="C909" s="4">
        <f t="shared" si="158"/>
        <v>5</v>
      </c>
      <c r="D909" s="4">
        <f t="shared" si="152"/>
        <v>8</v>
      </c>
      <c r="E909" s="4" t="s">
        <v>27</v>
      </c>
      <c r="F909" s="4">
        <f t="shared" si="153"/>
        <v>500</v>
      </c>
      <c r="G909" s="5">
        <f t="shared" si="159"/>
        <v>1.01</v>
      </c>
      <c r="H909" s="6" t="str">
        <f t="shared" si="154"/>
        <v>INSERT INTO public.coupon (plancode, age, "year", couponrate, benefittype, benefitrate, premiumrate) VALUES('EN60', 45, 5, 8, 'A',500, 1.01);</v>
      </c>
      <c r="I909" s="6" t="str">
        <f t="shared" si="155"/>
        <v>{"age":"45", "year":"5", "couponrate":"8", "benefittype":"A", "benefitrate":"500", "premiumrate":"1.01"}</v>
      </c>
      <c r="J909" s="6" t="str">
        <f t="shared" si="156"/>
        <v>,</v>
      </c>
    </row>
    <row r="910" spans="1:10">
      <c r="A910" s="4" t="str">
        <f>'EN60'!A$3</f>
        <v>EN60</v>
      </c>
      <c r="B910" s="4">
        <f t="shared" si="157"/>
        <v>45</v>
      </c>
      <c r="C910" s="4">
        <f t="shared" si="158"/>
        <v>6</v>
      </c>
      <c r="D910" s="4">
        <f t="shared" si="152"/>
        <v>8</v>
      </c>
      <c r="E910" s="4" t="s">
        <v>27</v>
      </c>
      <c r="F910" s="4">
        <f t="shared" si="153"/>
        <v>600</v>
      </c>
      <c r="G910" s="5">
        <f t="shared" si="159"/>
        <v>1.01</v>
      </c>
      <c r="H910" s="6" t="str">
        <f t="shared" si="154"/>
        <v>INSERT INTO public.coupon (plancode, age, "year", couponrate, benefittype, benefitrate, premiumrate) VALUES('EN60', 45, 6, 8, 'A',600, 1.01);</v>
      </c>
      <c r="I910" s="6" t="str">
        <f t="shared" si="155"/>
        <v>{"age":"45", "year":"6", "couponrate":"8", "benefittype":"A", "benefitrate":"600", "premiumrate":"1.01"}</v>
      </c>
      <c r="J910" s="6" t="str">
        <f t="shared" si="156"/>
        <v>,</v>
      </c>
    </row>
    <row r="911" spans="1:10">
      <c r="A911" s="4" t="str">
        <f>'EN60'!A$3</f>
        <v>EN60</v>
      </c>
      <c r="B911" s="4">
        <f t="shared" si="157"/>
        <v>45</v>
      </c>
      <c r="C911" s="4">
        <f t="shared" si="158"/>
        <v>7</v>
      </c>
      <c r="D911" s="4">
        <f t="shared" si="152"/>
        <v>8</v>
      </c>
      <c r="E911" s="4" t="s">
        <v>27</v>
      </c>
      <c r="F911" s="4">
        <f t="shared" si="153"/>
        <v>700</v>
      </c>
      <c r="G911" s="5">
        <f t="shared" si="159"/>
        <v>1.01</v>
      </c>
      <c r="H911" s="6" t="str">
        <f t="shared" si="154"/>
        <v>INSERT INTO public.coupon (plancode, age, "year", couponrate, benefittype, benefitrate, premiumrate) VALUES('EN60', 45, 7, 8, 'A',700, 1.01);</v>
      </c>
      <c r="I911" s="6" t="str">
        <f t="shared" si="155"/>
        <v>{"age":"45", "year":"7", "couponrate":"8", "benefittype":"A", "benefitrate":"700", "premiumrate":"1.01"}</v>
      </c>
      <c r="J911" s="6" t="str">
        <f t="shared" si="156"/>
        <v>,</v>
      </c>
    </row>
    <row r="912" spans="1:10">
      <c r="A912" s="4" t="str">
        <f>'EN60'!A$3</f>
        <v>EN60</v>
      </c>
      <c r="B912" s="4">
        <f t="shared" si="157"/>
        <v>45</v>
      </c>
      <c r="C912" s="4">
        <f t="shared" si="158"/>
        <v>8</v>
      </c>
      <c r="D912" s="4">
        <f t="shared" si="152"/>
        <v>8</v>
      </c>
      <c r="E912" s="4" t="s">
        <v>27</v>
      </c>
      <c r="F912" s="4">
        <f t="shared" si="153"/>
        <v>800</v>
      </c>
      <c r="G912" s="5">
        <f t="shared" si="159"/>
        <v>1.01</v>
      </c>
      <c r="H912" s="6" t="str">
        <f t="shared" si="154"/>
        <v>INSERT INTO public.coupon (plancode, age, "year", couponrate, benefittype, benefitrate, premiumrate) VALUES('EN60', 45, 8, 8, 'A',800, 1.01);</v>
      </c>
      <c r="I912" s="6" t="str">
        <f t="shared" si="155"/>
        <v>{"age":"45", "year":"8", "couponrate":"8", "benefittype":"A", "benefitrate":"800", "premiumrate":"1.01"}</v>
      </c>
      <c r="J912" s="6" t="str">
        <f t="shared" si="156"/>
        <v>,</v>
      </c>
    </row>
    <row r="913" spans="1:10">
      <c r="A913" s="4" t="str">
        <f>'EN60'!A$3</f>
        <v>EN60</v>
      </c>
      <c r="B913" s="4">
        <f t="shared" si="157"/>
        <v>45</v>
      </c>
      <c r="C913" s="4">
        <f t="shared" si="158"/>
        <v>9</v>
      </c>
      <c r="D913" s="4">
        <f t="shared" si="152"/>
        <v>8</v>
      </c>
      <c r="E913" s="4" t="s">
        <v>27</v>
      </c>
      <c r="F913" s="4">
        <f t="shared" si="153"/>
        <v>800</v>
      </c>
      <c r="G913" s="5">
        <f t="shared" si="159"/>
        <v>1.01</v>
      </c>
      <c r="H913" s="6" t="str">
        <f t="shared" si="154"/>
        <v>INSERT INTO public.coupon (plancode, age, "year", couponrate, benefittype, benefitrate, premiumrate) VALUES('EN60', 45, 9, 8, 'A',800, 1.01);</v>
      </c>
      <c r="I913" s="6" t="str">
        <f t="shared" si="155"/>
        <v>{"age":"45", "year":"9", "couponrate":"8", "benefittype":"A", "benefitrate":"800", "premiumrate":"1.01"}</v>
      </c>
      <c r="J913" s="6" t="str">
        <f t="shared" si="156"/>
        <v>,</v>
      </c>
    </row>
    <row r="914" spans="1:10">
      <c r="A914" s="4" t="str">
        <f>'EN60'!A$3</f>
        <v>EN60</v>
      </c>
      <c r="B914" s="4">
        <f t="shared" si="157"/>
        <v>45</v>
      </c>
      <c r="C914" s="4">
        <f t="shared" si="158"/>
        <v>10</v>
      </c>
      <c r="D914" s="4">
        <f t="shared" si="152"/>
        <v>8</v>
      </c>
      <c r="E914" s="4" t="s">
        <v>27</v>
      </c>
      <c r="F914" s="4">
        <f t="shared" si="153"/>
        <v>800</v>
      </c>
      <c r="G914" s="5">
        <f t="shared" si="159"/>
        <v>1.01</v>
      </c>
      <c r="H914" s="6" t="str">
        <f t="shared" si="154"/>
        <v>INSERT INTO public.coupon (plancode, age, "year", couponrate, benefittype, benefitrate, premiumrate) VALUES('EN60', 45, 10, 8, 'A',800, 1.01);</v>
      </c>
      <c r="I914" s="6" t="str">
        <f t="shared" si="155"/>
        <v>{"age":"45", "year":"10", "couponrate":"8", "benefittype":"A", "benefitrate":"800", "premiumrate":"1.01"}</v>
      </c>
      <c r="J914" s="6" t="str">
        <f t="shared" si="156"/>
        <v>,</v>
      </c>
    </row>
    <row r="915" spans="1:10">
      <c r="A915" s="4" t="str">
        <f>'EN60'!A$3</f>
        <v>EN60</v>
      </c>
      <c r="B915" s="4">
        <f t="shared" si="157"/>
        <v>45</v>
      </c>
      <c r="C915" s="4">
        <f t="shared" si="158"/>
        <v>11</v>
      </c>
      <c r="D915" s="4">
        <f t="shared" si="152"/>
        <v>8</v>
      </c>
      <c r="E915" s="4" t="s">
        <v>27</v>
      </c>
      <c r="F915" s="4">
        <f t="shared" si="153"/>
        <v>800</v>
      </c>
      <c r="G915" s="5">
        <f t="shared" si="159"/>
        <v>1.01</v>
      </c>
      <c r="H915" s="6" t="str">
        <f t="shared" si="154"/>
        <v>INSERT INTO public.coupon (plancode, age, "year", couponrate, benefittype, benefitrate, premiumrate) VALUES('EN60', 45, 11, 8, 'A',800, 1.01);</v>
      </c>
      <c r="I915" s="6" t="str">
        <f t="shared" si="155"/>
        <v>{"age":"45", "year":"11", "couponrate":"8", "benefittype":"A", "benefitrate":"800", "premiumrate":"1.01"}</v>
      </c>
      <c r="J915" s="6" t="str">
        <f t="shared" si="156"/>
        <v>,</v>
      </c>
    </row>
    <row r="916" spans="1:10">
      <c r="A916" s="4" t="str">
        <f>'EN60'!A$3</f>
        <v>EN60</v>
      </c>
      <c r="B916" s="4">
        <f t="shared" si="157"/>
        <v>45</v>
      </c>
      <c r="C916" s="4">
        <f t="shared" si="158"/>
        <v>12</v>
      </c>
      <c r="D916" s="4">
        <f t="shared" si="152"/>
        <v>8</v>
      </c>
      <c r="E916" s="4" t="s">
        <v>27</v>
      </c>
      <c r="F916" s="4">
        <f t="shared" si="153"/>
        <v>800</v>
      </c>
      <c r="G916" s="5">
        <f t="shared" si="159"/>
        <v>1.01</v>
      </c>
      <c r="H916" s="6" t="str">
        <f t="shared" si="154"/>
        <v>INSERT INTO public.coupon (plancode, age, "year", couponrate, benefittype, benefitrate, premiumrate) VALUES('EN60', 45, 12, 8, 'A',800, 1.01);</v>
      </c>
      <c r="I916" s="6" t="str">
        <f t="shared" si="155"/>
        <v>{"age":"45", "year":"12", "couponrate":"8", "benefittype":"A", "benefitrate":"800", "premiumrate":"1.01"}</v>
      </c>
      <c r="J916" s="6" t="str">
        <f t="shared" si="156"/>
        <v>,</v>
      </c>
    </row>
    <row r="917" spans="1:10">
      <c r="A917" s="4" t="str">
        <f>'EN60'!A$3</f>
        <v>EN60</v>
      </c>
      <c r="B917" s="4">
        <f t="shared" si="157"/>
        <v>45</v>
      </c>
      <c r="C917" s="4">
        <f t="shared" si="158"/>
        <v>13</v>
      </c>
      <c r="D917" s="4">
        <f t="shared" si="152"/>
        <v>8</v>
      </c>
      <c r="E917" s="4" t="s">
        <v>27</v>
      </c>
      <c r="F917" s="4">
        <f t="shared" si="153"/>
        <v>800</v>
      </c>
      <c r="G917" s="5">
        <f t="shared" si="159"/>
        <v>1.01</v>
      </c>
      <c r="H917" s="6" t="str">
        <f t="shared" si="154"/>
        <v>INSERT INTO public.coupon (plancode, age, "year", couponrate, benefittype, benefitrate, premiumrate) VALUES('EN60', 45, 13, 8, 'A',800, 1.01);</v>
      </c>
      <c r="I917" s="6" t="str">
        <f t="shared" si="155"/>
        <v>{"age":"45", "year":"13", "couponrate":"8", "benefittype":"A", "benefitrate":"800", "premiumrate":"1.01"}</v>
      </c>
      <c r="J917" s="6" t="str">
        <f t="shared" si="156"/>
        <v>,</v>
      </c>
    </row>
    <row r="918" spans="1:10">
      <c r="A918" s="4" t="str">
        <f>'EN60'!A$3</f>
        <v>EN60</v>
      </c>
      <c r="B918" s="4">
        <f t="shared" si="157"/>
        <v>45</v>
      </c>
      <c r="C918" s="4">
        <f t="shared" si="158"/>
        <v>14</v>
      </c>
      <c r="D918" s="4">
        <f t="shared" si="152"/>
        <v>8</v>
      </c>
      <c r="E918" s="4" t="s">
        <v>27</v>
      </c>
      <c r="F918" s="4">
        <f t="shared" si="153"/>
        <v>800</v>
      </c>
      <c r="G918" s="5">
        <f t="shared" si="159"/>
        <v>1.01</v>
      </c>
      <c r="H918" s="6" t="str">
        <f t="shared" si="154"/>
        <v>INSERT INTO public.coupon (plancode, age, "year", couponrate, benefittype, benefitrate, premiumrate) VALUES('EN60', 45, 14, 8, 'A',800, 1.01);</v>
      </c>
      <c r="I918" s="6" t="str">
        <f t="shared" si="155"/>
        <v>{"age":"45", "year":"14", "couponrate":"8", "benefittype":"A", "benefitrate":"800", "premiumrate":"1.01"}</v>
      </c>
      <c r="J918" s="6" t="str">
        <f t="shared" si="156"/>
        <v>,</v>
      </c>
    </row>
    <row r="919" spans="1:10">
      <c r="A919" s="4" t="str">
        <f>'EN60'!A$3</f>
        <v>EN60</v>
      </c>
      <c r="B919" s="4">
        <f t="shared" si="157"/>
        <v>45</v>
      </c>
      <c r="C919" s="4">
        <f t="shared" si="158"/>
        <v>15</v>
      </c>
      <c r="D919" s="4">
        <f t="shared" si="152"/>
        <v>8</v>
      </c>
      <c r="E919" s="4" t="s">
        <v>27</v>
      </c>
      <c r="F919" s="4">
        <f t="shared" si="153"/>
        <v>800</v>
      </c>
      <c r="G919" s="5">
        <f t="shared" si="159"/>
        <v>1.01</v>
      </c>
      <c r="H919" s="6" t="str">
        <f t="shared" si="154"/>
        <v>INSERT INTO public.coupon (plancode, age, "year", couponrate, benefittype, benefitrate, premiumrate) VALUES('EN60', 45, 15, 8, 'A',800, 1.01);</v>
      </c>
      <c r="I919" s="6" t="str">
        <f t="shared" si="155"/>
        <v>{"age":"45", "year":"15", "couponrate":"8", "benefittype":"A", "benefitrate":"800", "premiumrate":"1.01"}</v>
      </c>
      <c r="J919" s="6" t="str">
        <f t="shared" si="156"/>
        <v>,</v>
      </c>
    </row>
    <row r="920" spans="1:10">
      <c r="A920" s="4" t="str">
        <f>'EN60'!A$3</f>
        <v>EN60</v>
      </c>
      <c r="B920" s="4">
        <f t="shared" si="157"/>
        <v>45</v>
      </c>
      <c r="C920" s="4">
        <f t="shared" si="158"/>
        <v>16</v>
      </c>
      <c r="D920" s="4">
        <f t="shared" si="152"/>
        <v>8</v>
      </c>
      <c r="E920" s="4" t="s">
        <v>27</v>
      </c>
      <c r="F920" s="4">
        <f t="shared" si="153"/>
        <v>800</v>
      </c>
      <c r="G920" s="5">
        <f t="shared" si="159"/>
        <v>1.01</v>
      </c>
      <c r="H920" s="6" t="str">
        <f t="shared" si="154"/>
        <v>INSERT INTO public.coupon (plancode, age, "year", couponrate, benefittype, benefitrate, premiumrate) VALUES('EN60', 45, 16, 8, 'A',800, 1.01);</v>
      </c>
      <c r="I920" s="6" t="str">
        <f t="shared" si="155"/>
        <v>{"age":"45", "year":"16", "couponrate":"8", "benefittype":"A", "benefitrate":"800", "premiumrate":"1.01"}</v>
      </c>
      <c r="J920" s="6" t="str">
        <f t="shared" si="156"/>
        <v>,</v>
      </c>
    </row>
    <row r="921" spans="1:10">
      <c r="A921" s="4" t="str">
        <f>'EN60'!A$3</f>
        <v>EN60</v>
      </c>
      <c r="B921" s="4">
        <f t="shared" si="157"/>
        <v>45</v>
      </c>
      <c r="C921" s="4">
        <f t="shared" si="158"/>
        <v>17</v>
      </c>
      <c r="D921" s="4">
        <f t="shared" si="152"/>
        <v>8</v>
      </c>
      <c r="E921" s="4" t="s">
        <v>27</v>
      </c>
      <c r="F921" s="4">
        <f t="shared" si="153"/>
        <v>800</v>
      </c>
      <c r="G921" s="5">
        <f t="shared" si="159"/>
        <v>1.01</v>
      </c>
      <c r="H921" s="6" t="str">
        <f t="shared" si="154"/>
        <v>INSERT INTO public.coupon (plancode, age, "year", couponrate, benefittype, benefitrate, premiumrate) VALUES('EN60', 45, 17, 8, 'A',800, 1.01);</v>
      </c>
      <c r="I921" s="6" t="str">
        <f t="shared" si="155"/>
        <v>{"age":"45", "year":"17", "couponrate":"8", "benefittype":"A", "benefitrate":"800", "premiumrate":"1.01"}</v>
      </c>
      <c r="J921" s="6" t="str">
        <f t="shared" si="156"/>
        <v>,</v>
      </c>
    </row>
    <row r="922" spans="1:10">
      <c r="A922" s="4" t="str">
        <f>'EN60'!A$3</f>
        <v>EN60</v>
      </c>
      <c r="B922" s="4">
        <f t="shared" si="157"/>
        <v>45</v>
      </c>
      <c r="C922" s="4">
        <f t="shared" si="158"/>
        <v>18</v>
      </c>
      <c r="D922" s="4">
        <f t="shared" si="152"/>
        <v>8</v>
      </c>
      <c r="E922" s="4" t="s">
        <v>27</v>
      </c>
      <c r="F922" s="4">
        <f t="shared" si="153"/>
        <v>800</v>
      </c>
      <c r="G922" s="5">
        <f t="shared" si="159"/>
        <v>1.01</v>
      </c>
      <c r="H922" s="6" t="str">
        <f t="shared" si="154"/>
        <v>INSERT INTO public.coupon (plancode, age, "year", couponrate, benefittype, benefitrate, premiumrate) VALUES('EN60', 45, 18, 8, 'A',800, 1.01);</v>
      </c>
      <c r="I922" s="6" t="str">
        <f t="shared" si="155"/>
        <v>{"age":"45", "year":"18", "couponrate":"8", "benefittype":"A", "benefitrate":"800", "premiumrate":"1.01"}</v>
      </c>
      <c r="J922" s="6" t="str">
        <f t="shared" si="156"/>
        <v>,</v>
      </c>
    </row>
    <row r="923" spans="1:10">
      <c r="A923" s="4" t="str">
        <f>'EN60'!A$3</f>
        <v>EN60</v>
      </c>
      <c r="B923" s="4">
        <f t="shared" si="157"/>
        <v>45</v>
      </c>
      <c r="C923" s="4">
        <f t="shared" si="158"/>
        <v>19</v>
      </c>
      <c r="D923" s="4">
        <f t="shared" si="152"/>
        <v>8</v>
      </c>
      <c r="E923" s="4" t="s">
        <v>27</v>
      </c>
      <c r="F923" s="4">
        <f t="shared" si="153"/>
        <v>800</v>
      </c>
      <c r="G923" s="5">
        <f t="shared" si="159"/>
        <v>1.01</v>
      </c>
      <c r="H923" s="6" t="str">
        <f t="shared" si="154"/>
        <v>INSERT INTO public.coupon (plancode, age, "year", couponrate, benefittype, benefitrate, premiumrate) VALUES('EN60', 45, 19, 8, 'A',800, 1.01);</v>
      </c>
      <c r="I923" s="6" t="str">
        <f t="shared" si="155"/>
        <v>{"age":"45", "year":"19", "couponrate":"8", "benefittype":"A", "benefitrate":"800", "premiumrate":"1.01"}</v>
      </c>
      <c r="J923" s="6" t="str">
        <f t="shared" si="156"/>
        <v>,</v>
      </c>
    </row>
    <row r="924" spans="1:10">
      <c r="A924" s="4" t="str">
        <f>'EN60'!A$3</f>
        <v>EN60</v>
      </c>
      <c r="B924" s="4">
        <f t="shared" si="157"/>
        <v>45</v>
      </c>
      <c r="C924" s="4">
        <f t="shared" si="158"/>
        <v>20</v>
      </c>
      <c r="D924" s="4">
        <f t="shared" si="152"/>
        <v>8</v>
      </c>
      <c r="E924" s="4" t="s">
        <v>27</v>
      </c>
      <c r="F924" s="4">
        <f t="shared" si="153"/>
        <v>800</v>
      </c>
      <c r="G924" s="5">
        <f t="shared" si="159"/>
        <v>1.01</v>
      </c>
      <c r="H924" s="6" t="str">
        <f t="shared" si="154"/>
        <v>INSERT INTO public.coupon (plancode, age, "year", couponrate, benefittype, benefitrate, premiumrate) VALUES('EN60', 45, 20, 8, 'A',800, 1.01);</v>
      </c>
      <c r="I924" s="6" t="str">
        <f t="shared" si="155"/>
        <v>{"age":"45", "year":"20", "couponrate":"8", "benefittype":"A", "benefitrate":"800", "premiumrate":"1.01"}</v>
      </c>
      <c r="J924" s="6" t="str">
        <f t="shared" si="156"/>
        <v>,</v>
      </c>
    </row>
    <row r="925" spans="1:10">
      <c r="A925" s="4" t="str">
        <f>'EN60'!A$3</f>
        <v>EN60</v>
      </c>
      <c r="B925" s="4">
        <f t="shared" si="157"/>
        <v>45</v>
      </c>
      <c r="C925" s="4">
        <f t="shared" si="158"/>
        <v>21</v>
      </c>
      <c r="D925" s="4">
        <f t="shared" si="152"/>
        <v>8</v>
      </c>
      <c r="E925" s="4" t="s">
        <v>27</v>
      </c>
      <c r="F925" s="4">
        <f t="shared" si="153"/>
        <v>800</v>
      </c>
      <c r="G925" s="5">
        <f t="shared" si="159"/>
        <v>1.01</v>
      </c>
      <c r="H925" s="6" t="str">
        <f t="shared" si="154"/>
        <v>INSERT INTO public.coupon (plancode, age, "year", couponrate, benefittype, benefitrate, premiumrate) VALUES('EN60', 45, 21, 8, 'A',800, 1.01);</v>
      </c>
      <c r="I925" s="6" t="str">
        <f t="shared" si="155"/>
        <v>{"age":"45", "year":"21", "couponrate":"8", "benefittype":"A", "benefitrate":"800", "premiumrate":"1.01"}</v>
      </c>
      <c r="J925" s="6" t="str">
        <f t="shared" si="156"/>
        <v>,</v>
      </c>
    </row>
    <row r="926" spans="1:10">
      <c r="A926" s="4" t="str">
        <f>'EN60'!A$3</f>
        <v>EN60</v>
      </c>
      <c r="B926" s="4">
        <f t="shared" si="157"/>
        <v>45</v>
      </c>
      <c r="C926" s="4">
        <f t="shared" si="158"/>
        <v>22</v>
      </c>
      <c r="D926" s="4">
        <f t="shared" si="152"/>
        <v>8</v>
      </c>
      <c r="E926" s="4" t="s">
        <v>27</v>
      </c>
      <c r="F926" s="4">
        <f t="shared" si="153"/>
        <v>800</v>
      </c>
      <c r="G926" s="5">
        <f t="shared" si="159"/>
        <v>1.01</v>
      </c>
      <c r="H926" s="6" t="str">
        <f t="shared" si="154"/>
        <v>INSERT INTO public.coupon (plancode, age, "year", couponrate, benefittype, benefitrate, premiumrate) VALUES('EN60', 45, 22, 8, 'A',800, 1.01);</v>
      </c>
      <c r="I926" s="6" t="str">
        <f t="shared" si="155"/>
        <v>{"age":"45", "year":"22", "couponrate":"8", "benefittype":"A", "benefitrate":"800", "premiumrate":"1.01"}</v>
      </c>
      <c r="J926" s="6" t="str">
        <f t="shared" si="156"/>
        <v>,</v>
      </c>
    </row>
    <row r="927" spans="1:10">
      <c r="A927" s="4" t="str">
        <f>'EN60'!A$3</f>
        <v>EN60</v>
      </c>
      <c r="B927" s="4">
        <f t="shared" si="157"/>
        <v>45</v>
      </c>
      <c r="C927" s="4">
        <f t="shared" si="158"/>
        <v>23</v>
      </c>
      <c r="D927" s="4">
        <f t="shared" si="152"/>
        <v>8</v>
      </c>
      <c r="E927" s="4" t="s">
        <v>27</v>
      </c>
      <c r="F927" s="4">
        <f t="shared" si="153"/>
        <v>800</v>
      </c>
      <c r="G927" s="5">
        <f t="shared" si="159"/>
        <v>1.01</v>
      </c>
      <c r="H927" s="6" t="str">
        <f t="shared" si="154"/>
        <v>INSERT INTO public.coupon (plancode, age, "year", couponrate, benefittype, benefitrate, premiumrate) VALUES('EN60', 45, 23, 8, 'A',800, 1.01);</v>
      </c>
      <c r="I927" s="6" t="str">
        <f t="shared" si="155"/>
        <v>{"age":"45", "year":"23", "couponrate":"8", "benefittype":"A", "benefitrate":"800", "premiumrate":"1.01"}</v>
      </c>
      <c r="J927" s="6" t="str">
        <f t="shared" si="156"/>
        <v>,</v>
      </c>
    </row>
    <row r="928" spans="1:10">
      <c r="A928" s="4" t="str">
        <f>'EN60'!A$3</f>
        <v>EN60</v>
      </c>
      <c r="B928" s="4">
        <f t="shared" si="157"/>
        <v>45</v>
      </c>
      <c r="C928" s="4">
        <f t="shared" si="158"/>
        <v>24</v>
      </c>
      <c r="D928" s="4">
        <f t="shared" si="152"/>
        <v>8</v>
      </c>
      <c r="E928" s="4" t="s">
        <v>27</v>
      </c>
      <c r="F928" s="4">
        <f t="shared" si="153"/>
        <v>800</v>
      </c>
      <c r="G928" s="5">
        <f t="shared" si="159"/>
        <v>1.01</v>
      </c>
      <c r="H928" s="6" t="str">
        <f t="shared" si="154"/>
        <v>INSERT INTO public.coupon (plancode, age, "year", couponrate, benefittype, benefitrate, premiumrate) VALUES('EN60', 45, 24, 8, 'A',800, 1.01);</v>
      </c>
      <c r="I928" s="6" t="str">
        <f t="shared" si="155"/>
        <v>{"age":"45", "year":"24", "couponrate":"8", "benefittype":"A", "benefitrate":"800", "premiumrate":"1.01"}</v>
      </c>
      <c r="J928" s="6" t="str">
        <f t="shared" si="156"/>
        <v>,</v>
      </c>
    </row>
    <row r="929" spans="1:10">
      <c r="A929" s="4" t="str">
        <f>'EN60'!A$3</f>
        <v>EN60</v>
      </c>
      <c r="B929" s="4">
        <f t="shared" si="157"/>
        <v>45</v>
      </c>
      <c r="C929" s="4">
        <f t="shared" si="158"/>
        <v>25</v>
      </c>
      <c r="D929" s="4">
        <f t="shared" si="152"/>
        <v>8</v>
      </c>
      <c r="E929" s="4" t="s">
        <v>27</v>
      </c>
      <c r="F929" s="4">
        <f t="shared" si="153"/>
        <v>800</v>
      </c>
      <c r="G929" s="5">
        <f t="shared" si="159"/>
        <v>1.01</v>
      </c>
      <c r="H929" s="6" t="str">
        <f t="shared" si="154"/>
        <v>INSERT INTO public.coupon (plancode, age, "year", couponrate, benefittype, benefitrate, premiumrate) VALUES('EN60', 45, 25, 8, 'A',800, 1.01);</v>
      </c>
      <c r="I929" s="6" t="str">
        <f t="shared" si="155"/>
        <v>{"age":"45", "year":"25", "couponrate":"8", "benefittype":"A", "benefitrate":"800", "premiumrate":"1.01"}</v>
      </c>
      <c r="J929" s="6" t="str">
        <f t="shared" si="156"/>
        <v>,</v>
      </c>
    </row>
    <row r="930" spans="1:10">
      <c r="A930" s="4" t="str">
        <f>'EN60'!A$3</f>
        <v>EN60</v>
      </c>
      <c r="B930" s="4">
        <f t="shared" si="157"/>
        <v>45</v>
      </c>
      <c r="C930" s="4">
        <f t="shared" si="158"/>
        <v>26</v>
      </c>
      <c r="D930" s="4">
        <f t="shared" si="152"/>
        <v>8</v>
      </c>
      <c r="E930" s="4" t="s">
        <v>27</v>
      </c>
      <c r="F930" s="4">
        <f t="shared" si="153"/>
        <v>800</v>
      </c>
      <c r="G930" s="5">
        <f t="shared" si="159"/>
        <v>1.01</v>
      </c>
      <c r="H930" s="6" t="str">
        <f t="shared" si="154"/>
        <v>INSERT INTO public.coupon (plancode, age, "year", couponrate, benefittype, benefitrate, premiumrate) VALUES('EN60', 45, 26, 8, 'A',800, 1.01);</v>
      </c>
      <c r="I930" s="6" t="str">
        <f t="shared" si="155"/>
        <v>{"age":"45", "year":"26", "couponrate":"8", "benefittype":"A", "benefitrate":"800", "premiumrate":"1.01"}</v>
      </c>
      <c r="J930" s="6" t="str">
        <f t="shared" si="156"/>
        <v>,</v>
      </c>
    </row>
    <row r="931" spans="1:10">
      <c r="A931" s="4" t="str">
        <f>'EN60'!A$3</f>
        <v>EN60</v>
      </c>
      <c r="B931" s="4">
        <f t="shared" si="157"/>
        <v>45</v>
      </c>
      <c r="C931" s="4">
        <f t="shared" si="158"/>
        <v>27</v>
      </c>
      <c r="D931" s="4">
        <f t="shared" si="152"/>
        <v>8</v>
      </c>
      <c r="E931" s="4" t="s">
        <v>27</v>
      </c>
      <c r="F931" s="4">
        <f t="shared" si="153"/>
        <v>800</v>
      </c>
      <c r="G931" s="5">
        <f t="shared" si="159"/>
        <v>1.01</v>
      </c>
      <c r="H931" s="6" t="str">
        <f t="shared" si="154"/>
        <v>INSERT INTO public.coupon (plancode, age, "year", couponrate, benefittype, benefitrate, premiumrate) VALUES('EN60', 45, 27, 8, 'A',800, 1.01);</v>
      </c>
      <c r="I931" s="6" t="str">
        <f t="shared" si="155"/>
        <v>{"age":"45", "year":"27", "couponrate":"8", "benefittype":"A", "benefitrate":"800", "premiumrate":"1.01"}</v>
      </c>
      <c r="J931" s="6" t="str">
        <f t="shared" si="156"/>
        <v>,</v>
      </c>
    </row>
    <row r="932" spans="1:10">
      <c r="A932" s="4" t="str">
        <f>'EN60'!A$3</f>
        <v>EN60</v>
      </c>
      <c r="B932" s="4">
        <f t="shared" si="157"/>
        <v>45</v>
      </c>
      <c r="C932" s="4">
        <f t="shared" si="158"/>
        <v>28</v>
      </c>
      <c r="D932" s="4">
        <f t="shared" si="152"/>
        <v>8</v>
      </c>
      <c r="E932" s="4" t="s">
        <v>27</v>
      </c>
      <c r="F932" s="4">
        <f t="shared" si="153"/>
        <v>800</v>
      </c>
      <c r="G932" s="5">
        <f t="shared" si="159"/>
        <v>1.01</v>
      </c>
      <c r="H932" s="6" t="str">
        <f t="shared" si="154"/>
        <v>INSERT INTO public.coupon (plancode, age, "year", couponrate, benefittype, benefitrate, premiumrate) VALUES('EN60', 45, 28, 8, 'A',800, 1.01);</v>
      </c>
      <c r="I932" s="6" t="str">
        <f t="shared" si="155"/>
        <v>{"age":"45", "year":"28", "couponrate":"8", "benefittype":"A", "benefitrate":"800", "premiumrate":"1.01"}</v>
      </c>
      <c r="J932" s="6" t="str">
        <f t="shared" si="156"/>
        <v>,</v>
      </c>
    </row>
    <row r="933" spans="1:10">
      <c r="A933" s="4" t="str">
        <f>'EN60'!A$3</f>
        <v>EN60</v>
      </c>
      <c r="B933" s="4">
        <f t="shared" si="157"/>
        <v>45</v>
      </c>
      <c r="C933" s="4">
        <f t="shared" si="158"/>
        <v>29</v>
      </c>
      <c r="D933" s="4">
        <f t="shared" si="152"/>
        <v>8</v>
      </c>
      <c r="E933" s="4" t="s">
        <v>27</v>
      </c>
      <c r="F933" s="4">
        <f t="shared" si="153"/>
        <v>800</v>
      </c>
      <c r="G933" s="5">
        <f t="shared" si="159"/>
        <v>1.01</v>
      </c>
      <c r="H933" s="6" t="str">
        <f t="shared" si="154"/>
        <v>INSERT INTO public.coupon (plancode, age, "year", couponrate, benefittype, benefitrate, premiumrate) VALUES('EN60', 45, 29, 8, 'A',800, 1.01);</v>
      </c>
      <c r="I933" s="6" t="str">
        <f t="shared" si="155"/>
        <v>{"age":"45", "year":"29", "couponrate":"8", "benefittype":"A", "benefitrate":"800", "premiumrate":"1.01"}</v>
      </c>
      <c r="J933" s="6" t="str">
        <f t="shared" si="156"/>
        <v>,</v>
      </c>
    </row>
    <row r="934" spans="1:10">
      <c r="A934" s="4" t="str">
        <f>'EN60'!A$3</f>
        <v>EN60</v>
      </c>
      <c r="B934" s="4">
        <f t="shared" si="157"/>
        <v>45</v>
      </c>
      <c r="C934" s="4">
        <f t="shared" si="158"/>
        <v>30</v>
      </c>
      <c r="D934" s="4">
        <f t="shared" si="152"/>
        <v>8</v>
      </c>
      <c r="E934" s="4" t="s">
        <v>27</v>
      </c>
      <c r="F934" s="4">
        <f t="shared" si="153"/>
        <v>800</v>
      </c>
      <c r="G934" s="5">
        <f t="shared" si="159"/>
        <v>1.01</v>
      </c>
      <c r="H934" s="6" t="str">
        <f t="shared" si="154"/>
        <v>INSERT INTO public.coupon (plancode, age, "year", couponrate, benefittype, benefitrate, premiumrate) VALUES('EN60', 45, 30, 8, 'A',800, 1.01);</v>
      </c>
      <c r="I934" s="6" t="str">
        <f t="shared" si="155"/>
        <v>{"age":"45", "year":"30", "couponrate":"8", "benefittype":"A", "benefitrate":"800", "premiumrate":"1.01"}</v>
      </c>
      <c r="J934" s="6" t="str">
        <f t="shared" si="156"/>
        <v>,</v>
      </c>
    </row>
    <row r="935" spans="1:10">
      <c r="A935" s="4" t="str">
        <f>'EN60'!A$3</f>
        <v>EN60</v>
      </c>
      <c r="B935" s="4">
        <f t="shared" si="157"/>
        <v>45</v>
      </c>
      <c r="C935" s="4">
        <f t="shared" si="158"/>
        <v>31</v>
      </c>
      <c r="D935" s="4">
        <f t="shared" si="152"/>
        <v>8</v>
      </c>
      <c r="E935" s="4" t="s">
        <v>27</v>
      </c>
      <c r="F935" s="4">
        <f t="shared" si="153"/>
        <v>800</v>
      </c>
      <c r="G935" s="5">
        <f t="shared" si="159"/>
        <v>1.01</v>
      </c>
      <c r="H935" s="6" t="str">
        <f t="shared" si="154"/>
        <v>INSERT INTO public.coupon (plancode, age, "year", couponrate, benefittype, benefitrate, premiumrate) VALUES('EN60', 45, 31, 8, 'A',800, 1.01);</v>
      </c>
      <c r="I935" s="6" t="str">
        <f t="shared" si="155"/>
        <v>{"age":"45", "year":"31", "couponrate":"8", "benefittype":"A", "benefitrate":"800", "premiumrate":"1.01"}</v>
      </c>
      <c r="J935" s="6" t="str">
        <f t="shared" si="156"/>
        <v>,</v>
      </c>
    </row>
    <row r="936" spans="1:10">
      <c r="A936" s="4" t="str">
        <f>'EN60'!A$3</f>
        <v>EN60</v>
      </c>
      <c r="B936" s="4">
        <f t="shared" si="157"/>
        <v>45</v>
      </c>
      <c r="C936" s="4">
        <f t="shared" si="158"/>
        <v>32</v>
      </c>
      <c r="D936" s="4">
        <f t="shared" si="152"/>
        <v>8</v>
      </c>
      <c r="E936" s="4" t="s">
        <v>27</v>
      </c>
      <c r="F936" s="4">
        <f t="shared" si="153"/>
        <v>800</v>
      </c>
      <c r="G936" s="5">
        <f t="shared" si="159"/>
        <v>1.01</v>
      </c>
      <c r="H936" s="6" t="str">
        <f t="shared" si="154"/>
        <v>INSERT INTO public.coupon (plancode, age, "year", couponrate, benefittype, benefitrate, premiumrate) VALUES('EN60', 45, 32, 8, 'A',800, 1.01);</v>
      </c>
      <c r="I936" s="6" t="str">
        <f t="shared" si="155"/>
        <v>{"age":"45", "year":"32", "couponrate":"8", "benefittype":"A", "benefitrate":"800", "premiumrate":"1.01"}</v>
      </c>
      <c r="J936" s="6" t="str">
        <f t="shared" si="156"/>
        <v>,</v>
      </c>
    </row>
    <row r="937" spans="1:10">
      <c r="A937" s="4" t="str">
        <f>'EN60'!A$3</f>
        <v>EN60</v>
      </c>
      <c r="B937" s="4">
        <f t="shared" si="157"/>
        <v>45</v>
      </c>
      <c r="C937" s="4">
        <f t="shared" si="158"/>
        <v>33</v>
      </c>
      <c r="D937" s="4">
        <f t="shared" si="152"/>
        <v>8</v>
      </c>
      <c r="E937" s="4" t="s">
        <v>27</v>
      </c>
      <c r="F937" s="4">
        <f t="shared" si="153"/>
        <v>800</v>
      </c>
      <c r="G937" s="5">
        <f t="shared" si="159"/>
        <v>1.01</v>
      </c>
      <c r="H937" s="6" t="str">
        <f t="shared" si="154"/>
        <v>INSERT INTO public.coupon (plancode, age, "year", couponrate, benefittype, benefitrate, premiumrate) VALUES('EN60', 45, 33, 8, 'A',800, 1.01);</v>
      </c>
      <c r="I937" s="6" t="str">
        <f t="shared" si="155"/>
        <v>{"age":"45", "year":"33", "couponrate":"8", "benefittype":"A", "benefitrate":"800", "premiumrate":"1.01"}</v>
      </c>
      <c r="J937" s="6" t="str">
        <f t="shared" si="156"/>
        <v>,</v>
      </c>
    </row>
    <row r="938" spans="1:10">
      <c r="A938" s="4" t="str">
        <f>'EN60'!A$3</f>
        <v>EN60</v>
      </c>
      <c r="B938" s="4">
        <f t="shared" si="157"/>
        <v>45</v>
      </c>
      <c r="C938" s="4">
        <f t="shared" si="158"/>
        <v>34</v>
      </c>
      <c r="D938" s="4">
        <f t="shared" si="152"/>
        <v>8</v>
      </c>
      <c r="E938" s="4" t="s">
        <v>27</v>
      </c>
      <c r="F938" s="4">
        <f t="shared" si="153"/>
        <v>800</v>
      </c>
      <c r="G938" s="5">
        <f t="shared" si="159"/>
        <v>1.01</v>
      </c>
      <c r="H938" s="6" t="str">
        <f t="shared" si="154"/>
        <v>INSERT INTO public.coupon (plancode, age, "year", couponrate, benefittype, benefitrate, premiumrate) VALUES('EN60', 45, 34, 8, 'A',800, 1.01);</v>
      </c>
      <c r="I938" s="6" t="str">
        <f t="shared" si="155"/>
        <v>{"age":"45", "year":"34", "couponrate":"8", "benefittype":"A", "benefitrate":"800", "premiumrate":"1.01"}</v>
      </c>
      <c r="J938" s="6" t="str">
        <f t="shared" si="156"/>
        <v>,</v>
      </c>
    </row>
    <row r="939" spans="1:10">
      <c r="A939" s="4" t="str">
        <f>'EN60'!A$3</f>
        <v>EN60</v>
      </c>
      <c r="B939" s="4">
        <f t="shared" si="157"/>
        <v>45</v>
      </c>
      <c r="C939" s="4">
        <f t="shared" si="158"/>
        <v>35</v>
      </c>
      <c r="D939" s="4">
        <f t="shared" si="152"/>
        <v>0</v>
      </c>
      <c r="E939" s="4" t="s">
        <v>27</v>
      </c>
      <c r="F939" s="4">
        <f t="shared" si="153"/>
        <v>800</v>
      </c>
      <c r="G939" s="5">
        <f t="shared" si="159"/>
        <v>1.01</v>
      </c>
      <c r="H939" s="6" t="str">
        <f t="shared" si="154"/>
        <v>INSERT INTO public.coupon (plancode, age, "year", couponrate, benefittype, benefitrate, premiumrate) VALUES('EN60', 45, 35, 0, 'A',800, 1.01);</v>
      </c>
      <c r="I939" s="6" t="str">
        <f t="shared" si="155"/>
        <v>{"age":"45", "year":"35", "couponrate":"0", "benefittype":"A", "benefitrate":"800", "premiumrate":"1.01"}</v>
      </c>
    </row>
    <row r="940" spans="1:10">
      <c r="C940" s="6"/>
      <c r="I940" s="6" t="s">
        <v>28</v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540"/>
  <sheetViews>
    <sheetView workbookViewId="0"/>
  </sheetViews>
  <sheetFormatPr defaultColWidth="12.5703125" defaultRowHeight="15.75" customHeight="1"/>
  <cols>
    <col min="1" max="7" width="10.140625" customWidth="1"/>
    <col min="8" max="8" width="32.5703125" customWidth="1"/>
    <col min="9" max="9" width="76.42578125" customWidth="1"/>
  </cols>
  <sheetData>
    <row r="1" spans="1:10">
      <c r="A1" s="1" t="s">
        <v>0</v>
      </c>
      <c r="E1" s="2" t="s">
        <v>1</v>
      </c>
    </row>
    <row r="2" spans="1:10">
      <c r="A2" s="3" t="s">
        <v>2</v>
      </c>
      <c r="B2" s="3" t="s">
        <v>3</v>
      </c>
      <c r="C2" s="3" t="s">
        <v>4</v>
      </c>
      <c r="E2" s="2" t="s">
        <v>5</v>
      </c>
    </row>
    <row r="3" spans="1:10">
      <c r="A3" s="4" t="str">
        <f>'EN60'!A$3</f>
        <v>EN60</v>
      </c>
      <c r="B3" s="4">
        <f>'EN60'!B$3</f>
        <v>808</v>
      </c>
      <c r="C3" s="5">
        <f>'EN60'!C$3</f>
        <v>1.01</v>
      </c>
      <c r="E3" s="6" t="str">
        <f>"INSERT INTO public.maturetable (plancode, maturerate, premiumrate) VALUES('"&amp;A3&amp;"', "&amp;B3&amp;", "&amp;C3&amp;");"</f>
        <v>INSERT INTO public.maturetable (plancode, maturerate, premiumrate) VALUES('EN60', 808, 1.01);</v>
      </c>
    </row>
    <row r="5" spans="1:10">
      <c r="A5" s="1" t="s">
        <v>7</v>
      </c>
      <c r="E5" s="6" t="str">
        <f>"INSERT INTO public.coupontable (id, returncash, ytable) VALUES('"&amp;A7&amp;"', "&amp;B7&amp;", '"&amp;C7&amp;"');"</f>
        <v>INSERT INTO public.coupontable (id, returncash, ytable) VALUES('EN60', 1, 'Y');</v>
      </c>
      <c r="I5" s="6" t="s">
        <v>8</v>
      </c>
    </row>
    <row r="6" spans="1:10">
      <c r="A6" s="3" t="s">
        <v>9</v>
      </c>
      <c r="B6" s="3" t="s">
        <v>10</v>
      </c>
      <c r="C6" s="3" t="s">
        <v>11</v>
      </c>
      <c r="E6" s="1" t="s">
        <v>10</v>
      </c>
      <c r="F6" s="7">
        <v>0</v>
      </c>
      <c r="G6" s="6"/>
      <c r="H6" s="6" t="s">
        <v>12</v>
      </c>
      <c r="I6" s="6" t="s">
        <v>13</v>
      </c>
    </row>
    <row r="7" spans="1:10">
      <c r="A7" s="4" t="str">
        <f>A$3</f>
        <v>EN60</v>
      </c>
      <c r="B7" s="4">
        <f>'EN60'!B$7</f>
        <v>1</v>
      </c>
      <c r="C7" s="4" t="str">
        <f>'EN60'!C$7</f>
        <v>Y</v>
      </c>
      <c r="F7" s="7">
        <v>1</v>
      </c>
      <c r="G7" s="6"/>
      <c r="H7" s="6" t="s">
        <v>15</v>
      </c>
      <c r="I7" s="6" t="s">
        <v>16</v>
      </c>
    </row>
    <row r="8" spans="1:10">
      <c r="E8" s="1" t="s">
        <v>11</v>
      </c>
      <c r="F8" s="6" t="s">
        <v>17</v>
      </c>
      <c r="G8" s="6"/>
      <c r="H8" s="6" t="s">
        <v>18</v>
      </c>
      <c r="I8" s="6" t="s">
        <v>19</v>
      </c>
    </row>
    <row r="9" spans="1:10">
      <c r="F9" s="6" t="s">
        <v>14</v>
      </c>
      <c r="G9" s="6"/>
      <c r="H9" s="6" t="s">
        <v>20</v>
      </c>
      <c r="I9" s="6" t="s">
        <v>21</v>
      </c>
    </row>
    <row r="10" spans="1:10">
      <c r="A10" s="1" t="s">
        <v>22</v>
      </c>
    </row>
    <row r="11" spans="1:10">
      <c r="A11" s="3" t="s">
        <v>2</v>
      </c>
      <c r="B11" s="3" t="s">
        <v>23</v>
      </c>
      <c r="C11" s="3" t="s">
        <v>24</v>
      </c>
      <c r="D11" s="3" t="s">
        <v>25</v>
      </c>
      <c r="E11" s="3" t="s">
        <v>8</v>
      </c>
      <c r="F11" s="3" t="s">
        <v>26</v>
      </c>
      <c r="G11" s="3" t="s">
        <v>4</v>
      </c>
      <c r="I11" s="6" t="str">
        <f>"[{""plancode"":"""&amp;A12&amp;""",""returncash"":"""&amp;B$7&amp;""",""ytable"":"""&amp;C$7&amp;""",""maturerate"":"""&amp;B$3&amp;""",""maturepmrate"":"""&amp;C$3&amp;""",""coupon"":["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12" spans="1:10">
      <c r="A12" s="4" t="str">
        <f>'EN60'!A$3</f>
        <v>EN60</v>
      </c>
      <c r="B12" s="8">
        <v>46</v>
      </c>
      <c r="C12" s="4">
        <v>1</v>
      </c>
      <c r="D12" s="4">
        <f t="shared" ref="D12:D45" si="0">IF(C12+B12=80,0,8)</f>
        <v>8</v>
      </c>
      <c r="E12" s="4" t="s">
        <v>27</v>
      </c>
      <c r="F12" s="4">
        <f t="shared" ref="F12:F45" si="1">IF(C12&gt;7, 800, C12*100)</f>
        <v>100</v>
      </c>
      <c r="G12" s="5">
        <f>'EN60'!C$3</f>
        <v>1.01</v>
      </c>
      <c r="H12" s="6" t="str">
        <f t="shared" ref="H12:H45" si="2">"INSERT INTO public.coupon ("&amp;A$11&amp;", "&amp;B$11&amp;", """&amp;C$11&amp;""", "&amp;D$11&amp;", "&amp;E$11&amp;", "&amp;F$11&amp;", "&amp;G$11&amp;") VALUES('"&amp;A12&amp;"', "&amp;B12&amp;", "&amp;C12&amp;", "&amp;D12&amp;", '"&amp;E12&amp;"',"&amp;F12&amp;", "&amp;G12&amp;");"</f>
        <v>INSERT INTO public.coupon (plancode, age, "year", couponrate, benefittype, benefitrate, premiumrate) VALUES('EN60', 46, 1, 8, 'A',100, 1.01);</v>
      </c>
      <c r="I12" s="6" t="str">
        <f t="shared" ref="I12:I45" si="3">"{""age"":"""&amp;B12&amp;""", ""year"":"""&amp;C12&amp;""", ""couponrate"":"""&amp;D12&amp;""", ""benefittype"":"""&amp;E12&amp;""", ""benefitrate"":"""&amp;F12&amp;""", """&amp;G$11&amp;""":"""&amp;G12&amp;"""}"</f>
        <v>{"age":"46", "year":"1", "couponrate":"8", "benefittype":"A", "benefitrate":"100", "premiumrate":"1.01"}</v>
      </c>
      <c r="J12" s="6" t="str">
        <f t="shared" ref="J12:J44" si="4">IF(OR(I13="]", I12="[", I12="]"), "", ",")</f>
        <v>,</v>
      </c>
    </row>
    <row r="13" spans="1:10">
      <c r="A13" s="4" t="str">
        <f>'EN60'!A$3</f>
        <v>EN60</v>
      </c>
      <c r="B13" s="4">
        <f t="shared" ref="B13:B45" si="5">B12</f>
        <v>46</v>
      </c>
      <c r="C13" s="4">
        <f t="shared" ref="C13:C45" si="6">IF(B13+C12+1&gt;80,"",C12+1)</f>
        <v>2</v>
      </c>
      <c r="D13" s="4">
        <f t="shared" si="0"/>
        <v>8</v>
      </c>
      <c r="E13" s="4" t="s">
        <v>27</v>
      </c>
      <c r="F13" s="4">
        <f t="shared" si="1"/>
        <v>200</v>
      </c>
      <c r="G13" s="5">
        <f t="shared" ref="G13:G45" si="7">G12</f>
        <v>1.01</v>
      </c>
      <c r="H13" s="6" t="str">
        <f t="shared" si="2"/>
        <v>INSERT INTO public.coupon (plancode, age, "year", couponrate, benefittype, benefitrate, premiumrate) VALUES('EN60', 46, 2, 8, 'A',200, 1.01);</v>
      </c>
      <c r="I13" s="6" t="str">
        <f t="shared" si="3"/>
        <v>{"age":"46", "year":"2", "couponrate":"8", "benefittype":"A", "benefitrate":"200", "premiumrate":"1.01"}</v>
      </c>
      <c r="J13" s="6" t="str">
        <f t="shared" si="4"/>
        <v>,</v>
      </c>
    </row>
    <row r="14" spans="1:10">
      <c r="A14" s="4" t="str">
        <f>'EN60'!A$3</f>
        <v>EN60</v>
      </c>
      <c r="B14" s="4">
        <f t="shared" si="5"/>
        <v>46</v>
      </c>
      <c r="C14" s="4">
        <f t="shared" si="6"/>
        <v>3</v>
      </c>
      <c r="D14" s="4">
        <f t="shared" si="0"/>
        <v>8</v>
      </c>
      <c r="E14" s="4" t="s">
        <v>27</v>
      </c>
      <c r="F14" s="4">
        <f t="shared" si="1"/>
        <v>300</v>
      </c>
      <c r="G14" s="5">
        <f t="shared" si="7"/>
        <v>1.01</v>
      </c>
      <c r="H14" s="6" t="str">
        <f t="shared" si="2"/>
        <v>INSERT INTO public.coupon (plancode, age, "year", couponrate, benefittype, benefitrate, premiumrate) VALUES('EN60', 46, 3, 8, 'A',300, 1.01);</v>
      </c>
      <c r="I14" s="6" t="str">
        <f t="shared" si="3"/>
        <v>{"age":"46", "year":"3", "couponrate":"8", "benefittype":"A", "benefitrate":"300", "premiumrate":"1.01"}</v>
      </c>
      <c r="J14" s="6" t="str">
        <f t="shared" si="4"/>
        <v>,</v>
      </c>
    </row>
    <row r="15" spans="1:10">
      <c r="A15" s="4" t="str">
        <f>'EN60'!A$3</f>
        <v>EN60</v>
      </c>
      <c r="B15" s="4">
        <f t="shared" si="5"/>
        <v>46</v>
      </c>
      <c r="C15" s="4">
        <f t="shared" si="6"/>
        <v>4</v>
      </c>
      <c r="D15" s="4">
        <f t="shared" si="0"/>
        <v>8</v>
      </c>
      <c r="E15" s="4" t="s">
        <v>27</v>
      </c>
      <c r="F15" s="4">
        <f t="shared" si="1"/>
        <v>400</v>
      </c>
      <c r="G15" s="5">
        <f t="shared" si="7"/>
        <v>1.01</v>
      </c>
      <c r="H15" s="6" t="str">
        <f t="shared" si="2"/>
        <v>INSERT INTO public.coupon (plancode, age, "year", couponrate, benefittype, benefitrate, premiumrate) VALUES('EN60', 46, 4, 8, 'A',400, 1.01);</v>
      </c>
      <c r="I15" s="6" t="str">
        <f t="shared" si="3"/>
        <v>{"age":"46", "year":"4", "couponrate":"8", "benefittype":"A", "benefitrate":"400", "premiumrate":"1.01"}</v>
      </c>
      <c r="J15" s="6" t="str">
        <f t="shared" si="4"/>
        <v>,</v>
      </c>
    </row>
    <row r="16" spans="1:10">
      <c r="A16" s="4" t="str">
        <f>'EN60'!A$3</f>
        <v>EN60</v>
      </c>
      <c r="B16" s="4">
        <f t="shared" si="5"/>
        <v>46</v>
      </c>
      <c r="C16" s="4">
        <f t="shared" si="6"/>
        <v>5</v>
      </c>
      <c r="D16" s="4">
        <f t="shared" si="0"/>
        <v>8</v>
      </c>
      <c r="E16" s="4" t="s">
        <v>27</v>
      </c>
      <c r="F16" s="4">
        <f t="shared" si="1"/>
        <v>500</v>
      </c>
      <c r="G16" s="5">
        <f t="shared" si="7"/>
        <v>1.01</v>
      </c>
      <c r="H16" s="6" t="str">
        <f t="shared" si="2"/>
        <v>INSERT INTO public.coupon (plancode, age, "year", couponrate, benefittype, benefitrate, premiumrate) VALUES('EN60', 46, 5, 8, 'A',500, 1.01);</v>
      </c>
      <c r="I16" s="6" t="str">
        <f t="shared" si="3"/>
        <v>{"age":"46", "year":"5", "couponrate":"8", "benefittype":"A", "benefitrate":"500", "premiumrate":"1.01"}</v>
      </c>
      <c r="J16" s="6" t="str">
        <f t="shared" si="4"/>
        <v>,</v>
      </c>
    </row>
    <row r="17" spans="1:10">
      <c r="A17" s="4" t="str">
        <f>'EN60'!A$3</f>
        <v>EN60</v>
      </c>
      <c r="B17" s="4">
        <f t="shared" si="5"/>
        <v>46</v>
      </c>
      <c r="C17" s="4">
        <f t="shared" si="6"/>
        <v>6</v>
      </c>
      <c r="D17" s="4">
        <f t="shared" si="0"/>
        <v>8</v>
      </c>
      <c r="E17" s="4" t="s">
        <v>27</v>
      </c>
      <c r="F17" s="4">
        <f t="shared" si="1"/>
        <v>600</v>
      </c>
      <c r="G17" s="5">
        <f t="shared" si="7"/>
        <v>1.01</v>
      </c>
      <c r="H17" s="6" t="str">
        <f t="shared" si="2"/>
        <v>INSERT INTO public.coupon (plancode, age, "year", couponrate, benefittype, benefitrate, premiumrate) VALUES('EN60', 46, 6, 8, 'A',600, 1.01);</v>
      </c>
      <c r="I17" s="6" t="str">
        <f t="shared" si="3"/>
        <v>{"age":"46", "year":"6", "couponrate":"8", "benefittype":"A", "benefitrate":"600", "premiumrate":"1.01"}</v>
      </c>
      <c r="J17" s="6" t="str">
        <f t="shared" si="4"/>
        <v>,</v>
      </c>
    </row>
    <row r="18" spans="1:10">
      <c r="A18" s="4" t="str">
        <f>'EN60'!A$3</f>
        <v>EN60</v>
      </c>
      <c r="B18" s="4">
        <f t="shared" si="5"/>
        <v>46</v>
      </c>
      <c r="C18" s="4">
        <f t="shared" si="6"/>
        <v>7</v>
      </c>
      <c r="D18" s="4">
        <f t="shared" si="0"/>
        <v>8</v>
      </c>
      <c r="E18" s="4" t="s">
        <v>27</v>
      </c>
      <c r="F18" s="4">
        <f t="shared" si="1"/>
        <v>700</v>
      </c>
      <c r="G18" s="5">
        <f t="shared" si="7"/>
        <v>1.01</v>
      </c>
      <c r="H18" s="6" t="str">
        <f t="shared" si="2"/>
        <v>INSERT INTO public.coupon (plancode, age, "year", couponrate, benefittype, benefitrate, premiumrate) VALUES('EN60', 46, 7, 8, 'A',700, 1.01);</v>
      </c>
      <c r="I18" s="6" t="str">
        <f t="shared" si="3"/>
        <v>{"age":"46", "year":"7", "couponrate":"8", "benefittype":"A", "benefitrate":"700", "premiumrate":"1.01"}</v>
      </c>
      <c r="J18" s="6" t="str">
        <f t="shared" si="4"/>
        <v>,</v>
      </c>
    </row>
    <row r="19" spans="1:10">
      <c r="A19" s="4" t="str">
        <f>'EN60'!A$3</f>
        <v>EN60</v>
      </c>
      <c r="B19" s="4">
        <f t="shared" si="5"/>
        <v>46</v>
      </c>
      <c r="C19" s="4">
        <f t="shared" si="6"/>
        <v>8</v>
      </c>
      <c r="D19" s="4">
        <f t="shared" si="0"/>
        <v>8</v>
      </c>
      <c r="E19" s="4" t="s">
        <v>27</v>
      </c>
      <c r="F19" s="4">
        <f t="shared" si="1"/>
        <v>800</v>
      </c>
      <c r="G19" s="5">
        <f t="shared" si="7"/>
        <v>1.01</v>
      </c>
      <c r="H19" s="6" t="str">
        <f t="shared" si="2"/>
        <v>INSERT INTO public.coupon (plancode, age, "year", couponrate, benefittype, benefitrate, premiumrate) VALUES('EN60', 46, 8, 8, 'A',800, 1.01);</v>
      </c>
      <c r="I19" s="6" t="str">
        <f t="shared" si="3"/>
        <v>{"age":"46", "year":"8", "couponrate":"8", "benefittype":"A", "benefitrate":"800", "premiumrate":"1.01"}</v>
      </c>
      <c r="J19" s="6" t="str">
        <f t="shared" si="4"/>
        <v>,</v>
      </c>
    </row>
    <row r="20" spans="1:10">
      <c r="A20" s="4" t="str">
        <f>'EN60'!A$3</f>
        <v>EN60</v>
      </c>
      <c r="B20" s="4">
        <f t="shared" si="5"/>
        <v>46</v>
      </c>
      <c r="C20" s="4">
        <f t="shared" si="6"/>
        <v>9</v>
      </c>
      <c r="D20" s="4">
        <f t="shared" si="0"/>
        <v>8</v>
      </c>
      <c r="E20" s="4" t="s">
        <v>27</v>
      </c>
      <c r="F20" s="4">
        <f t="shared" si="1"/>
        <v>800</v>
      </c>
      <c r="G20" s="5">
        <f t="shared" si="7"/>
        <v>1.01</v>
      </c>
      <c r="H20" s="6" t="str">
        <f t="shared" si="2"/>
        <v>INSERT INTO public.coupon (plancode, age, "year", couponrate, benefittype, benefitrate, premiumrate) VALUES('EN60', 46, 9, 8, 'A',800, 1.01);</v>
      </c>
      <c r="I20" s="6" t="str">
        <f t="shared" si="3"/>
        <v>{"age":"46", "year":"9", "couponrate":"8", "benefittype":"A", "benefitrate":"800", "premiumrate":"1.01"}</v>
      </c>
      <c r="J20" s="6" t="str">
        <f t="shared" si="4"/>
        <v>,</v>
      </c>
    </row>
    <row r="21" spans="1:10">
      <c r="A21" s="4" t="str">
        <f>'EN60'!A$3</f>
        <v>EN60</v>
      </c>
      <c r="B21" s="4">
        <f t="shared" si="5"/>
        <v>46</v>
      </c>
      <c r="C21" s="4">
        <f t="shared" si="6"/>
        <v>10</v>
      </c>
      <c r="D21" s="4">
        <f t="shared" si="0"/>
        <v>8</v>
      </c>
      <c r="E21" s="4" t="s">
        <v>27</v>
      </c>
      <c r="F21" s="4">
        <f t="shared" si="1"/>
        <v>800</v>
      </c>
      <c r="G21" s="5">
        <f t="shared" si="7"/>
        <v>1.01</v>
      </c>
      <c r="H21" s="6" t="str">
        <f t="shared" si="2"/>
        <v>INSERT INTO public.coupon (plancode, age, "year", couponrate, benefittype, benefitrate, premiumrate) VALUES('EN60', 46, 10, 8, 'A',800, 1.01);</v>
      </c>
      <c r="I21" s="6" t="str">
        <f t="shared" si="3"/>
        <v>{"age":"46", "year":"10", "couponrate":"8", "benefittype":"A", "benefitrate":"800", "premiumrate":"1.01"}</v>
      </c>
      <c r="J21" s="6" t="str">
        <f t="shared" si="4"/>
        <v>,</v>
      </c>
    </row>
    <row r="22" spans="1:10">
      <c r="A22" s="4" t="str">
        <f>'EN60'!A$3</f>
        <v>EN60</v>
      </c>
      <c r="B22" s="4">
        <f t="shared" si="5"/>
        <v>46</v>
      </c>
      <c r="C22" s="4">
        <f t="shared" si="6"/>
        <v>11</v>
      </c>
      <c r="D22" s="4">
        <f t="shared" si="0"/>
        <v>8</v>
      </c>
      <c r="E22" s="4" t="s">
        <v>27</v>
      </c>
      <c r="F22" s="4">
        <f t="shared" si="1"/>
        <v>800</v>
      </c>
      <c r="G22" s="5">
        <f t="shared" si="7"/>
        <v>1.01</v>
      </c>
      <c r="H22" s="6" t="str">
        <f t="shared" si="2"/>
        <v>INSERT INTO public.coupon (plancode, age, "year", couponrate, benefittype, benefitrate, premiumrate) VALUES('EN60', 46, 11, 8, 'A',800, 1.01);</v>
      </c>
      <c r="I22" s="6" t="str">
        <f t="shared" si="3"/>
        <v>{"age":"46", "year":"11", "couponrate":"8", "benefittype":"A", "benefitrate":"800", "premiumrate":"1.01"}</v>
      </c>
      <c r="J22" s="6" t="str">
        <f t="shared" si="4"/>
        <v>,</v>
      </c>
    </row>
    <row r="23" spans="1:10">
      <c r="A23" s="4" t="str">
        <f>'EN60'!A$3</f>
        <v>EN60</v>
      </c>
      <c r="B23" s="4">
        <f t="shared" si="5"/>
        <v>46</v>
      </c>
      <c r="C23" s="4">
        <f t="shared" si="6"/>
        <v>12</v>
      </c>
      <c r="D23" s="4">
        <f t="shared" si="0"/>
        <v>8</v>
      </c>
      <c r="E23" s="4" t="s">
        <v>27</v>
      </c>
      <c r="F23" s="4">
        <f t="shared" si="1"/>
        <v>800</v>
      </c>
      <c r="G23" s="5">
        <f t="shared" si="7"/>
        <v>1.01</v>
      </c>
      <c r="H23" s="6" t="str">
        <f t="shared" si="2"/>
        <v>INSERT INTO public.coupon (plancode, age, "year", couponrate, benefittype, benefitrate, premiumrate) VALUES('EN60', 46, 12, 8, 'A',800, 1.01);</v>
      </c>
      <c r="I23" s="6" t="str">
        <f t="shared" si="3"/>
        <v>{"age":"46", "year":"12", "couponrate":"8", "benefittype":"A", "benefitrate":"800", "premiumrate":"1.01"}</v>
      </c>
      <c r="J23" s="6" t="str">
        <f t="shared" si="4"/>
        <v>,</v>
      </c>
    </row>
    <row r="24" spans="1:10">
      <c r="A24" s="4" t="str">
        <f>'EN60'!A$3</f>
        <v>EN60</v>
      </c>
      <c r="B24" s="4">
        <f t="shared" si="5"/>
        <v>46</v>
      </c>
      <c r="C24" s="4">
        <f t="shared" si="6"/>
        <v>13</v>
      </c>
      <c r="D24" s="4">
        <f t="shared" si="0"/>
        <v>8</v>
      </c>
      <c r="E24" s="4" t="s">
        <v>27</v>
      </c>
      <c r="F24" s="4">
        <f t="shared" si="1"/>
        <v>800</v>
      </c>
      <c r="G24" s="5">
        <f t="shared" si="7"/>
        <v>1.01</v>
      </c>
      <c r="H24" s="6" t="str">
        <f t="shared" si="2"/>
        <v>INSERT INTO public.coupon (plancode, age, "year", couponrate, benefittype, benefitrate, premiumrate) VALUES('EN60', 46, 13, 8, 'A',800, 1.01);</v>
      </c>
      <c r="I24" s="6" t="str">
        <f t="shared" si="3"/>
        <v>{"age":"46", "year":"13", "couponrate":"8", "benefittype":"A", "benefitrate":"800", "premiumrate":"1.01"}</v>
      </c>
      <c r="J24" s="6" t="str">
        <f t="shared" si="4"/>
        <v>,</v>
      </c>
    </row>
    <row r="25" spans="1:10">
      <c r="A25" s="4" t="str">
        <f>'EN60'!A$3</f>
        <v>EN60</v>
      </c>
      <c r="B25" s="4">
        <f t="shared" si="5"/>
        <v>46</v>
      </c>
      <c r="C25" s="4">
        <f t="shared" si="6"/>
        <v>14</v>
      </c>
      <c r="D25" s="4">
        <f t="shared" si="0"/>
        <v>8</v>
      </c>
      <c r="E25" s="4" t="s">
        <v>27</v>
      </c>
      <c r="F25" s="4">
        <f t="shared" si="1"/>
        <v>800</v>
      </c>
      <c r="G25" s="5">
        <f t="shared" si="7"/>
        <v>1.01</v>
      </c>
      <c r="H25" s="6" t="str">
        <f t="shared" si="2"/>
        <v>INSERT INTO public.coupon (plancode, age, "year", couponrate, benefittype, benefitrate, premiumrate) VALUES('EN60', 46, 14, 8, 'A',800, 1.01);</v>
      </c>
      <c r="I25" s="6" t="str">
        <f t="shared" si="3"/>
        <v>{"age":"46", "year":"14", "couponrate":"8", "benefittype":"A", "benefitrate":"800", "premiumrate":"1.01"}</v>
      </c>
      <c r="J25" s="6" t="str">
        <f t="shared" si="4"/>
        <v>,</v>
      </c>
    </row>
    <row r="26" spans="1:10">
      <c r="A26" s="4" t="str">
        <f>'EN60'!A$3</f>
        <v>EN60</v>
      </c>
      <c r="B26" s="4">
        <f t="shared" si="5"/>
        <v>46</v>
      </c>
      <c r="C26" s="4">
        <f t="shared" si="6"/>
        <v>15</v>
      </c>
      <c r="D26" s="4">
        <f t="shared" si="0"/>
        <v>8</v>
      </c>
      <c r="E26" s="4" t="s">
        <v>27</v>
      </c>
      <c r="F26" s="4">
        <f t="shared" si="1"/>
        <v>800</v>
      </c>
      <c r="G26" s="5">
        <f t="shared" si="7"/>
        <v>1.01</v>
      </c>
      <c r="H26" s="6" t="str">
        <f t="shared" si="2"/>
        <v>INSERT INTO public.coupon (plancode, age, "year", couponrate, benefittype, benefitrate, premiumrate) VALUES('EN60', 46, 15, 8, 'A',800, 1.01);</v>
      </c>
      <c r="I26" s="6" t="str">
        <f t="shared" si="3"/>
        <v>{"age":"46", "year":"15", "couponrate":"8", "benefittype":"A", "benefitrate":"800", "premiumrate":"1.01"}</v>
      </c>
      <c r="J26" s="6" t="str">
        <f t="shared" si="4"/>
        <v>,</v>
      </c>
    </row>
    <row r="27" spans="1:10">
      <c r="A27" s="4" t="str">
        <f>'EN60'!A$3</f>
        <v>EN60</v>
      </c>
      <c r="B27" s="4">
        <f t="shared" si="5"/>
        <v>46</v>
      </c>
      <c r="C27" s="4">
        <f t="shared" si="6"/>
        <v>16</v>
      </c>
      <c r="D27" s="4">
        <f t="shared" si="0"/>
        <v>8</v>
      </c>
      <c r="E27" s="4" t="s">
        <v>27</v>
      </c>
      <c r="F27" s="4">
        <f t="shared" si="1"/>
        <v>800</v>
      </c>
      <c r="G27" s="5">
        <f t="shared" si="7"/>
        <v>1.01</v>
      </c>
      <c r="H27" s="6" t="str">
        <f t="shared" si="2"/>
        <v>INSERT INTO public.coupon (plancode, age, "year", couponrate, benefittype, benefitrate, premiumrate) VALUES('EN60', 46, 16, 8, 'A',800, 1.01);</v>
      </c>
      <c r="I27" s="6" t="str">
        <f t="shared" si="3"/>
        <v>{"age":"46", "year":"16", "couponrate":"8", "benefittype":"A", "benefitrate":"800", "premiumrate":"1.01"}</v>
      </c>
      <c r="J27" s="6" t="str">
        <f t="shared" si="4"/>
        <v>,</v>
      </c>
    </row>
    <row r="28" spans="1:10">
      <c r="A28" s="4" t="str">
        <f>'EN60'!A$3</f>
        <v>EN60</v>
      </c>
      <c r="B28" s="4">
        <f t="shared" si="5"/>
        <v>46</v>
      </c>
      <c r="C28" s="4">
        <f t="shared" si="6"/>
        <v>17</v>
      </c>
      <c r="D28" s="4">
        <f t="shared" si="0"/>
        <v>8</v>
      </c>
      <c r="E28" s="4" t="s">
        <v>27</v>
      </c>
      <c r="F28" s="4">
        <f t="shared" si="1"/>
        <v>800</v>
      </c>
      <c r="G28" s="5">
        <f t="shared" si="7"/>
        <v>1.01</v>
      </c>
      <c r="H28" s="6" t="str">
        <f t="shared" si="2"/>
        <v>INSERT INTO public.coupon (plancode, age, "year", couponrate, benefittype, benefitrate, premiumrate) VALUES('EN60', 46, 17, 8, 'A',800, 1.01);</v>
      </c>
      <c r="I28" s="6" t="str">
        <f t="shared" si="3"/>
        <v>{"age":"46", "year":"17", "couponrate":"8", "benefittype":"A", "benefitrate":"800", "premiumrate":"1.01"}</v>
      </c>
      <c r="J28" s="6" t="str">
        <f t="shared" si="4"/>
        <v>,</v>
      </c>
    </row>
    <row r="29" spans="1:10">
      <c r="A29" s="4" t="str">
        <f>'EN60'!A$3</f>
        <v>EN60</v>
      </c>
      <c r="B29" s="4">
        <f t="shared" si="5"/>
        <v>46</v>
      </c>
      <c r="C29" s="4">
        <f t="shared" si="6"/>
        <v>18</v>
      </c>
      <c r="D29" s="4">
        <f t="shared" si="0"/>
        <v>8</v>
      </c>
      <c r="E29" s="4" t="s">
        <v>27</v>
      </c>
      <c r="F29" s="4">
        <f t="shared" si="1"/>
        <v>800</v>
      </c>
      <c r="G29" s="5">
        <f t="shared" si="7"/>
        <v>1.01</v>
      </c>
      <c r="H29" s="6" t="str">
        <f t="shared" si="2"/>
        <v>INSERT INTO public.coupon (plancode, age, "year", couponrate, benefittype, benefitrate, premiumrate) VALUES('EN60', 46, 18, 8, 'A',800, 1.01);</v>
      </c>
      <c r="I29" s="6" t="str">
        <f t="shared" si="3"/>
        <v>{"age":"46", "year":"18", "couponrate":"8", "benefittype":"A", "benefitrate":"800", "premiumrate":"1.01"}</v>
      </c>
      <c r="J29" s="6" t="str">
        <f t="shared" si="4"/>
        <v>,</v>
      </c>
    </row>
    <row r="30" spans="1:10">
      <c r="A30" s="4" t="str">
        <f>'EN60'!A$3</f>
        <v>EN60</v>
      </c>
      <c r="B30" s="4">
        <f t="shared" si="5"/>
        <v>46</v>
      </c>
      <c r="C30" s="4">
        <f t="shared" si="6"/>
        <v>19</v>
      </c>
      <c r="D30" s="4">
        <f t="shared" si="0"/>
        <v>8</v>
      </c>
      <c r="E30" s="4" t="s">
        <v>27</v>
      </c>
      <c r="F30" s="4">
        <f t="shared" si="1"/>
        <v>800</v>
      </c>
      <c r="G30" s="5">
        <f t="shared" si="7"/>
        <v>1.01</v>
      </c>
      <c r="H30" s="6" t="str">
        <f t="shared" si="2"/>
        <v>INSERT INTO public.coupon (plancode, age, "year", couponrate, benefittype, benefitrate, premiumrate) VALUES('EN60', 46, 19, 8, 'A',800, 1.01);</v>
      </c>
      <c r="I30" s="6" t="str">
        <f t="shared" si="3"/>
        <v>{"age":"46", "year":"19", "couponrate":"8", "benefittype":"A", "benefitrate":"800", "premiumrate":"1.01"}</v>
      </c>
      <c r="J30" s="6" t="str">
        <f t="shared" si="4"/>
        <v>,</v>
      </c>
    </row>
    <row r="31" spans="1:10">
      <c r="A31" s="4" t="str">
        <f>'EN60'!A$3</f>
        <v>EN60</v>
      </c>
      <c r="B31" s="4">
        <f t="shared" si="5"/>
        <v>46</v>
      </c>
      <c r="C31" s="4">
        <f t="shared" si="6"/>
        <v>20</v>
      </c>
      <c r="D31" s="4">
        <f t="shared" si="0"/>
        <v>8</v>
      </c>
      <c r="E31" s="4" t="s">
        <v>27</v>
      </c>
      <c r="F31" s="4">
        <f t="shared" si="1"/>
        <v>800</v>
      </c>
      <c r="G31" s="5">
        <f t="shared" si="7"/>
        <v>1.01</v>
      </c>
      <c r="H31" s="6" t="str">
        <f t="shared" si="2"/>
        <v>INSERT INTO public.coupon (plancode, age, "year", couponrate, benefittype, benefitrate, premiumrate) VALUES('EN60', 46, 20, 8, 'A',800, 1.01);</v>
      </c>
      <c r="I31" s="6" t="str">
        <f t="shared" si="3"/>
        <v>{"age":"46", "year":"20", "couponrate":"8", "benefittype":"A", "benefitrate":"800", "premiumrate":"1.01"}</v>
      </c>
      <c r="J31" s="6" t="str">
        <f t="shared" si="4"/>
        <v>,</v>
      </c>
    </row>
    <row r="32" spans="1:10">
      <c r="A32" s="4" t="str">
        <f>'EN60'!A$3</f>
        <v>EN60</v>
      </c>
      <c r="B32" s="4">
        <f t="shared" si="5"/>
        <v>46</v>
      </c>
      <c r="C32" s="4">
        <f t="shared" si="6"/>
        <v>21</v>
      </c>
      <c r="D32" s="4">
        <f t="shared" si="0"/>
        <v>8</v>
      </c>
      <c r="E32" s="4" t="s">
        <v>27</v>
      </c>
      <c r="F32" s="4">
        <f t="shared" si="1"/>
        <v>800</v>
      </c>
      <c r="G32" s="5">
        <f t="shared" si="7"/>
        <v>1.01</v>
      </c>
      <c r="H32" s="6" t="str">
        <f t="shared" si="2"/>
        <v>INSERT INTO public.coupon (plancode, age, "year", couponrate, benefittype, benefitrate, premiumrate) VALUES('EN60', 46, 21, 8, 'A',800, 1.01);</v>
      </c>
      <c r="I32" s="6" t="str">
        <f t="shared" si="3"/>
        <v>{"age":"46", "year":"21", "couponrate":"8", "benefittype":"A", "benefitrate":"800", "premiumrate":"1.01"}</v>
      </c>
      <c r="J32" s="6" t="str">
        <f t="shared" si="4"/>
        <v>,</v>
      </c>
    </row>
    <row r="33" spans="1:10">
      <c r="A33" s="4" t="str">
        <f>'EN60'!A$3</f>
        <v>EN60</v>
      </c>
      <c r="B33" s="4">
        <f t="shared" si="5"/>
        <v>46</v>
      </c>
      <c r="C33" s="4">
        <f t="shared" si="6"/>
        <v>22</v>
      </c>
      <c r="D33" s="4">
        <f t="shared" si="0"/>
        <v>8</v>
      </c>
      <c r="E33" s="4" t="s">
        <v>27</v>
      </c>
      <c r="F33" s="4">
        <f t="shared" si="1"/>
        <v>800</v>
      </c>
      <c r="G33" s="5">
        <f t="shared" si="7"/>
        <v>1.01</v>
      </c>
      <c r="H33" s="6" t="str">
        <f t="shared" si="2"/>
        <v>INSERT INTO public.coupon (plancode, age, "year", couponrate, benefittype, benefitrate, premiumrate) VALUES('EN60', 46, 22, 8, 'A',800, 1.01);</v>
      </c>
      <c r="I33" s="6" t="str">
        <f t="shared" si="3"/>
        <v>{"age":"46", "year":"22", "couponrate":"8", "benefittype":"A", "benefitrate":"800", "premiumrate":"1.01"}</v>
      </c>
      <c r="J33" s="6" t="str">
        <f t="shared" si="4"/>
        <v>,</v>
      </c>
    </row>
    <row r="34" spans="1:10">
      <c r="A34" s="4" t="str">
        <f>'EN60'!A$3</f>
        <v>EN60</v>
      </c>
      <c r="B34" s="4">
        <f t="shared" si="5"/>
        <v>46</v>
      </c>
      <c r="C34" s="4">
        <f t="shared" si="6"/>
        <v>23</v>
      </c>
      <c r="D34" s="4">
        <f t="shared" si="0"/>
        <v>8</v>
      </c>
      <c r="E34" s="4" t="s">
        <v>27</v>
      </c>
      <c r="F34" s="4">
        <f t="shared" si="1"/>
        <v>800</v>
      </c>
      <c r="G34" s="5">
        <f t="shared" si="7"/>
        <v>1.01</v>
      </c>
      <c r="H34" s="6" t="str">
        <f t="shared" si="2"/>
        <v>INSERT INTO public.coupon (plancode, age, "year", couponrate, benefittype, benefitrate, premiumrate) VALUES('EN60', 46, 23, 8, 'A',800, 1.01);</v>
      </c>
      <c r="I34" s="6" t="str">
        <f t="shared" si="3"/>
        <v>{"age":"46", "year":"23", "couponrate":"8", "benefittype":"A", "benefitrate":"800", "premiumrate":"1.01"}</v>
      </c>
      <c r="J34" s="6" t="str">
        <f t="shared" si="4"/>
        <v>,</v>
      </c>
    </row>
    <row r="35" spans="1:10">
      <c r="A35" s="4" t="str">
        <f>'EN60'!A$3</f>
        <v>EN60</v>
      </c>
      <c r="B35" s="4">
        <f t="shared" si="5"/>
        <v>46</v>
      </c>
      <c r="C35" s="4">
        <f t="shared" si="6"/>
        <v>24</v>
      </c>
      <c r="D35" s="4">
        <f t="shared" si="0"/>
        <v>8</v>
      </c>
      <c r="E35" s="4" t="s">
        <v>27</v>
      </c>
      <c r="F35" s="4">
        <f t="shared" si="1"/>
        <v>800</v>
      </c>
      <c r="G35" s="5">
        <f t="shared" si="7"/>
        <v>1.01</v>
      </c>
      <c r="H35" s="6" t="str">
        <f t="shared" si="2"/>
        <v>INSERT INTO public.coupon (plancode, age, "year", couponrate, benefittype, benefitrate, premiumrate) VALUES('EN60', 46, 24, 8, 'A',800, 1.01);</v>
      </c>
      <c r="I35" s="6" t="str">
        <f t="shared" si="3"/>
        <v>{"age":"46", "year":"24", "couponrate":"8", "benefittype":"A", "benefitrate":"800", "premiumrate":"1.01"}</v>
      </c>
      <c r="J35" s="6" t="str">
        <f t="shared" si="4"/>
        <v>,</v>
      </c>
    </row>
    <row r="36" spans="1:10">
      <c r="A36" s="4" t="str">
        <f>'EN60'!A$3</f>
        <v>EN60</v>
      </c>
      <c r="B36" s="4">
        <f t="shared" si="5"/>
        <v>46</v>
      </c>
      <c r="C36" s="4">
        <f t="shared" si="6"/>
        <v>25</v>
      </c>
      <c r="D36" s="4">
        <f t="shared" si="0"/>
        <v>8</v>
      </c>
      <c r="E36" s="4" t="s">
        <v>27</v>
      </c>
      <c r="F36" s="4">
        <f t="shared" si="1"/>
        <v>800</v>
      </c>
      <c r="G36" s="5">
        <f t="shared" si="7"/>
        <v>1.01</v>
      </c>
      <c r="H36" s="6" t="str">
        <f t="shared" si="2"/>
        <v>INSERT INTO public.coupon (plancode, age, "year", couponrate, benefittype, benefitrate, premiumrate) VALUES('EN60', 46, 25, 8, 'A',800, 1.01);</v>
      </c>
      <c r="I36" s="6" t="str">
        <f t="shared" si="3"/>
        <v>{"age":"46", "year":"25", "couponrate":"8", "benefittype":"A", "benefitrate":"800", "premiumrate":"1.01"}</v>
      </c>
      <c r="J36" s="6" t="str">
        <f t="shared" si="4"/>
        <v>,</v>
      </c>
    </row>
    <row r="37" spans="1:10">
      <c r="A37" s="4" t="str">
        <f>'EN60'!A$3</f>
        <v>EN60</v>
      </c>
      <c r="B37" s="4">
        <f t="shared" si="5"/>
        <v>46</v>
      </c>
      <c r="C37" s="4">
        <f t="shared" si="6"/>
        <v>26</v>
      </c>
      <c r="D37" s="4">
        <f t="shared" si="0"/>
        <v>8</v>
      </c>
      <c r="E37" s="4" t="s">
        <v>27</v>
      </c>
      <c r="F37" s="4">
        <f t="shared" si="1"/>
        <v>800</v>
      </c>
      <c r="G37" s="5">
        <f t="shared" si="7"/>
        <v>1.01</v>
      </c>
      <c r="H37" s="6" t="str">
        <f t="shared" si="2"/>
        <v>INSERT INTO public.coupon (plancode, age, "year", couponrate, benefittype, benefitrate, premiumrate) VALUES('EN60', 46, 26, 8, 'A',800, 1.01);</v>
      </c>
      <c r="I37" s="6" t="str">
        <f t="shared" si="3"/>
        <v>{"age":"46", "year":"26", "couponrate":"8", "benefittype":"A", "benefitrate":"800", "premiumrate":"1.01"}</v>
      </c>
      <c r="J37" s="6" t="str">
        <f t="shared" si="4"/>
        <v>,</v>
      </c>
    </row>
    <row r="38" spans="1:10">
      <c r="A38" s="4" t="str">
        <f>'EN60'!A$3</f>
        <v>EN60</v>
      </c>
      <c r="B38" s="4">
        <f t="shared" si="5"/>
        <v>46</v>
      </c>
      <c r="C38" s="4">
        <f t="shared" si="6"/>
        <v>27</v>
      </c>
      <c r="D38" s="4">
        <f t="shared" si="0"/>
        <v>8</v>
      </c>
      <c r="E38" s="4" t="s">
        <v>27</v>
      </c>
      <c r="F38" s="4">
        <f t="shared" si="1"/>
        <v>800</v>
      </c>
      <c r="G38" s="5">
        <f t="shared" si="7"/>
        <v>1.01</v>
      </c>
      <c r="H38" s="6" t="str">
        <f t="shared" si="2"/>
        <v>INSERT INTO public.coupon (plancode, age, "year", couponrate, benefittype, benefitrate, premiumrate) VALUES('EN60', 46, 27, 8, 'A',800, 1.01);</v>
      </c>
      <c r="I38" s="6" t="str">
        <f t="shared" si="3"/>
        <v>{"age":"46", "year":"27", "couponrate":"8", "benefittype":"A", "benefitrate":"800", "premiumrate":"1.01"}</v>
      </c>
      <c r="J38" s="6" t="str">
        <f t="shared" si="4"/>
        <v>,</v>
      </c>
    </row>
    <row r="39" spans="1:10">
      <c r="A39" s="4" t="str">
        <f>'EN60'!A$3</f>
        <v>EN60</v>
      </c>
      <c r="B39" s="4">
        <f t="shared" si="5"/>
        <v>46</v>
      </c>
      <c r="C39" s="4">
        <f t="shared" si="6"/>
        <v>28</v>
      </c>
      <c r="D39" s="4">
        <f t="shared" si="0"/>
        <v>8</v>
      </c>
      <c r="E39" s="4" t="s">
        <v>27</v>
      </c>
      <c r="F39" s="4">
        <f t="shared" si="1"/>
        <v>800</v>
      </c>
      <c r="G39" s="5">
        <f t="shared" si="7"/>
        <v>1.01</v>
      </c>
      <c r="H39" s="6" t="str">
        <f t="shared" si="2"/>
        <v>INSERT INTO public.coupon (plancode, age, "year", couponrate, benefittype, benefitrate, premiumrate) VALUES('EN60', 46, 28, 8, 'A',800, 1.01);</v>
      </c>
      <c r="I39" s="6" t="str">
        <f t="shared" si="3"/>
        <v>{"age":"46", "year":"28", "couponrate":"8", "benefittype":"A", "benefitrate":"800", "premiumrate":"1.01"}</v>
      </c>
      <c r="J39" s="6" t="str">
        <f t="shared" si="4"/>
        <v>,</v>
      </c>
    </row>
    <row r="40" spans="1:10">
      <c r="A40" s="4" t="str">
        <f>'EN60'!A$3</f>
        <v>EN60</v>
      </c>
      <c r="B40" s="4">
        <f t="shared" si="5"/>
        <v>46</v>
      </c>
      <c r="C40" s="4">
        <f t="shared" si="6"/>
        <v>29</v>
      </c>
      <c r="D40" s="4">
        <f t="shared" si="0"/>
        <v>8</v>
      </c>
      <c r="E40" s="4" t="s">
        <v>27</v>
      </c>
      <c r="F40" s="4">
        <f t="shared" si="1"/>
        <v>800</v>
      </c>
      <c r="G40" s="5">
        <f t="shared" si="7"/>
        <v>1.01</v>
      </c>
      <c r="H40" s="6" t="str">
        <f t="shared" si="2"/>
        <v>INSERT INTO public.coupon (plancode, age, "year", couponrate, benefittype, benefitrate, premiumrate) VALUES('EN60', 46, 29, 8, 'A',800, 1.01);</v>
      </c>
      <c r="I40" s="6" t="str">
        <f t="shared" si="3"/>
        <v>{"age":"46", "year":"29", "couponrate":"8", "benefittype":"A", "benefitrate":"800", "premiumrate":"1.01"}</v>
      </c>
      <c r="J40" s="6" t="str">
        <f t="shared" si="4"/>
        <v>,</v>
      </c>
    </row>
    <row r="41" spans="1:10">
      <c r="A41" s="4" t="str">
        <f>'EN60'!A$3</f>
        <v>EN60</v>
      </c>
      <c r="B41" s="4">
        <f t="shared" si="5"/>
        <v>46</v>
      </c>
      <c r="C41" s="4">
        <f t="shared" si="6"/>
        <v>30</v>
      </c>
      <c r="D41" s="4">
        <f t="shared" si="0"/>
        <v>8</v>
      </c>
      <c r="E41" s="4" t="s">
        <v>27</v>
      </c>
      <c r="F41" s="4">
        <f t="shared" si="1"/>
        <v>800</v>
      </c>
      <c r="G41" s="5">
        <f t="shared" si="7"/>
        <v>1.01</v>
      </c>
      <c r="H41" s="6" t="str">
        <f t="shared" si="2"/>
        <v>INSERT INTO public.coupon (plancode, age, "year", couponrate, benefittype, benefitrate, premiumrate) VALUES('EN60', 46, 30, 8, 'A',800, 1.01);</v>
      </c>
      <c r="I41" s="6" t="str">
        <f t="shared" si="3"/>
        <v>{"age":"46", "year":"30", "couponrate":"8", "benefittype":"A", "benefitrate":"800", "premiumrate":"1.01"}</v>
      </c>
      <c r="J41" s="6" t="str">
        <f t="shared" si="4"/>
        <v>,</v>
      </c>
    </row>
    <row r="42" spans="1:10">
      <c r="A42" s="4" t="str">
        <f>'EN60'!A$3</f>
        <v>EN60</v>
      </c>
      <c r="B42" s="4">
        <f t="shared" si="5"/>
        <v>46</v>
      </c>
      <c r="C42" s="4">
        <f t="shared" si="6"/>
        <v>31</v>
      </c>
      <c r="D42" s="4">
        <f t="shared" si="0"/>
        <v>8</v>
      </c>
      <c r="E42" s="4" t="s">
        <v>27</v>
      </c>
      <c r="F42" s="4">
        <f t="shared" si="1"/>
        <v>800</v>
      </c>
      <c r="G42" s="5">
        <f t="shared" si="7"/>
        <v>1.01</v>
      </c>
      <c r="H42" s="6" t="str">
        <f t="shared" si="2"/>
        <v>INSERT INTO public.coupon (plancode, age, "year", couponrate, benefittype, benefitrate, premiumrate) VALUES('EN60', 46, 31, 8, 'A',800, 1.01);</v>
      </c>
      <c r="I42" s="6" t="str">
        <f t="shared" si="3"/>
        <v>{"age":"46", "year":"31", "couponrate":"8", "benefittype":"A", "benefitrate":"800", "premiumrate":"1.01"}</v>
      </c>
      <c r="J42" s="6" t="str">
        <f t="shared" si="4"/>
        <v>,</v>
      </c>
    </row>
    <row r="43" spans="1:10">
      <c r="A43" s="4" t="str">
        <f>'EN60'!A$3</f>
        <v>EN60</v>
      </c>
      <c r="B43" s="4">
        <f t="shared" si="5"/>
        <v>46</v>
      </c>
      <c r="C43" s="4">
        <f t="shared" si="6"/>
        <v>32</v>
      </c>
      <c r="D43" s="4">
        <f t="shared" si="0"/>
        <v>8</v>
      </c>
      <c r="E43" s="4" t="s">
        <v>27</v>
      </c>
      <c r="F43" s="4">
        <f t="shared" si="1"/>
        <v>800</v>
      </c>
      <c r="G43" s="5">
        <f t="shared" si="7"/>
        <v>1.01</v>
      </c>
      <c r="H43" s="6" t="str">
        <f t="shared" si="2"/>
        <v>INSERT INTO public.coupon (plancode, age, "year", couponrate, benefittype, benefitrate, premiumrate) VALUES('EN60', 46, 32, 8, 'A',800, 1.01);</v>
      </c>
      <c r="I43" s="6" t="str">
        <f t="shared" si="3"/>
        <v>{"age":"46", "year":"32", "couponrate":"8", "benefittype":"A", "benefitrate":"800", "premiumrate":"1.01"}</v>
      </c>
      <c r="J43" s="6" t="str">
        <f t="shared" si="4"/>
        <v>,</v>
      </c>
    </row>
    <row r="44" spans="1:10">
      <c r="A44" s="4" t="str">
        <f>'EN60'!A$3</f>
        <v>EN60</v>
      </c>
      <c r="B44" s="4">
        <f t="shared" si="5"/>
        <v>46</v>
      </c>
      <c r="C44" s="4">
        <f t="shared" si="6"/>
        <v>33</v>
      </c>
      <c r="D44" s="4">
        <f t="shared" si="0"/>
        <v>8</v>
      </c>
      <c r="E44" s="4" t="s">
        <v>27</v>
      </c>
      <c r="F44" s="4">
        <f t="shared" si="1"/>
        <v>800</v>
      </c>
      <c r="G44" s="5">
        <f t="shared" si="7"/>
        <v>1.01</v>
      </c>
      <c r="H44" s="6" t="str">
        <f t="shared" si="2"/>
        <v>INSERT INTO public.coupon (plancode, age, "year", couponrate, benefittype, benefitrate, premiumrate) VALUES('EN60', 46, 33, 8, 'A',800, 1.01);</v>
      </c>
      <c r="I44" s="6" t="str">
        <f t="shared" si="3"/>
        <v>{"age":"46", "year":"33", "couponrate":"8", "benefittype":"A", "benefitrate":"800", "premiumrate":"1.01"}</v>
      </c>
      <c r="J44" s="6" t="str">
        <f t="shared" si="4"/>
        <v>,</v>
      </c>
    </row>
    <row r="45" spans="1:10">
      <c r="A45" s="4" t="str">
        <f>'EN60'!A$3</f>
        <v>EN60</v>
      </c>
      <c r="B45" s="4">
        <f t="shared" si="5"/>
        <v>46</v>
      </c>
      <c r="C45" s="4">
        <f t="shared" si="6"/>
        <v>34</v>
      </c>
      <c r="D45" s="4">
        <f t="shared" si="0"/>
        <v>0</v>
      </c>
      <c r="E45" s="4" t="s">
        <v>27</v>
      </c>
      <c r="F45" s="4">
        <f t="shared" si="1"/>
        <v>800</v>
      </c>
      <c r="G45" s="5">
        <f t="shared" si="7"/>
        <v>1.01</v>
      </c>
      <c r="H45" s="6" t="str">
        <f t="shared" si="2"/>
        <v>INSERT INTO public.coupon (plancode, age, "year", couponrate, benefittype, benefitrate, premiumrate) VALUES('EN60', 46, 34, 0, 'A',800, 1.01);</v>
      </c>
      <c r="I45" s="6" t="str">
        <f t="shared" si="3"/>
        <v>{"age":"46", "year":"34", "couponrate":"0", "benefittype":"A", "benefitrate":"800", "premiumrate":"1.01"}</v>
      </c>
    </row>
    <row r="46" spans="1:10">
      <c r="C46" s="6"/>
      <c r="I46" s="6" t="s">
        <v>28</v>
      </c>
    </row>
    <row r="47" spans="1:10">
      <c r="A47" s="3" t="s">
        <v>2</v>
      </c>
      <c r="B47" s="3" t="s">
        <v>23</v>
      </c>
      <c r="C47" s="3" t="s">
        <v>24</v>
      </c>
      <c r="D47" s="3" t="s">
        <v>25</v>
      </c>
      <c r="E47" s="3" t="s">
        <v>8</v>
      </c>
      <c r="F47" s="3" t="s">
        <v>26</v>
      </c>
      <c r="G47" s="3" t="s">
        <v>4</v>
      </c>
      <c r="I47" s="6" t="str">
        <f>"[{""plancode"":"""&amp;A48&amp;""",""returncash"":"""&amp;B$7&amp;""",""ytable"":"""&amp;C$7&amp;""",""maturerate"":"""&amp;B$3&amp;""",""maturepmrate"":"""&amp;C$3&amp;""",""coupon"":["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48" spans="1:10">
      <c r="A48" s="4" t="str">
        <f>'EN60'!A$3</f>
        <v>EN60</v>
      </c>
      <c r="B48" s="8">
        <v>47</v>
      </c>
      <c r="C48" s="4">
        <v>1</v>
      </c>
      <c r="D48" s="4">
        <f t="shared" ref="D48:D80" si="8">IF(C48+B48=80,0,8)</f>
        <v>8</v>
      </c>
      <c r="E48" s="4" t="s">
        <v>27</v>
      </c>
      <c r="F48" s="4">
        <f t="shared" ref="F48:F80" si="9">IF(C48&gt;7, 800, C48*100)</f>
        <v>100</v>
      </c>
      <c r="G48" s="5">
        <f>'EN60'!C$3</f>
        <v>1.01</v>
      </c>
      <c r="H48" s="6" t="str">
        <f t="shared" ref="H48:H80" si="10">"INSERT INTO public.coupon ("&amp;A$11&amp;", "&amp;B$11&amp;", """&amp;C$11&amp;""", "&amp;D$11&amp;", "&amp;E$11&amp;", "&amp;F$11&amp;", "&amp;G$11&amp;") VALUES('"&amp;A48&amp;"', "&amp;B48&amp;", "&amp;C48&amp;", "&amp;D48&amp;", '"&amp;E48&amp;"',"&amp;F48&amp;", "&amp;G48&amp;");"</f>
        <v>INSERT INTO public.coupon (plancode, age, "year", couponrate, benefittype, benefitrate, premiumrate) VALUES('EN60', 47, 1, 8, 'A',100, 1.01);</v>
      </c>
      <c r="I48" s="6" t="str">
        <f t="shared" ref="I48:I80" si="11">"{""age"":"""&amp;B48&amp;""", ""year"":"""&amp;C48&amp;""", ""couponrate"":"""&amp;D48&amp;""", ""benefittype"":"""&amp;E48&amp;""", ""benefitrate"":"""&amp;F48&amp;""", """&amp;G$11&amp;""":"""&amp;G48&amp;"""}"</f>
        <v>{"age":"47", "year":"1", "couponrate":"8", "benefittype":"A", "benefitrate":"100", "premiumrate":"1.01"}</v>
      </c>
      <c r="J48" s="6" t="str">
        <f t="shared" ref="J48:J79" si="12">IF(OR(I49="]", I48="[", I48="]"), "", ",")</f>
        <v>,</v>
      </c>
    </row>
    <row r="49" spans="1:10">
      <c r="A49" s="4" t="str">
        <f>'EN60'!A$3</f>
        <v>EN60</v>
      </c>
      <c r="B49" s="4">
        <f t="shared" ref="B49:B80" si="13">B48</f>
        <v>47</v>
      </c>
      <c r="C49" s="4">
        <f t="shared" ref="C49:C80" si="14">IF(B49+C48+1&gt;80,"",C48+1)</f>
        <v>2</v>
      </c>
      <c r="D49" s="4">
        <f t="shared" si="8"/>
        <v>8</v>
      </c>
      <c r="E49" s="4" t="s">
        <v>27</v>
      </c>
      <c r="F49" s="4">
        <f t="shared" si="9"/>
        <v>200</v>
      </c>
      <c r="G49" s="5">
        <f t="shared" ref="G49:G80" si="15">G48</f>
        <v>1.01</v>
      </c>
      <c r="H49" s="6" t="str">
        <f t="shared" si="10"/>
        <v>INSERT INTO public.coupon (plancode, age, "year", couponrate, benefittype, benefitrate, premiumrate) VALUES('EN60', 47, 2, 8, 'A',200, 1.01);</v>
      </c>
      <c r="I49" s="6" t="str">
        <f t="shared" si="11"/>
        <v>{"age":"47", "year":"2", "couponrate":"8", "benefittype":"A", "benefitrate":"200", "premiumrate":"1.01"}</v>
      </c>
      <c r="J49" s="6" t="str">
        <f t="shared" si="12"/>
        <v>,</v>
      </c>
    </row>
    <row r="50" spans="1:10">
      <c r="A50" s="4" t="str">
        <f>'EN60'!A$3</f>
        <v>EN60</v>
      </c>
      <c r="B50" s="4">
        <f t="shared" si="13"/>
        <v>47</v>
      </c>
      <c r="C50" s="4">
        <f t="shared" si="14"/>
        <v>3</v>
      </c>
      <c r="D50" s="4">
        <f t="shared" si="8"/>
        <v>8</v>
      </c>
      <c r="E50" s="4" t="s">
        <v>27</v>
      </c>
      <c r="F50" s="4">
        <f t="shared" si="9"/>
        <v>300</v>
      </c>
      <c r="G50" s="5">
        <f t="shared" si="15"/>
        <v>1.01</v>
      </c>
      <c r="H50" s="6" t="str">
        <f t="shared" si="10"/>
        <v>INSERT INTO public.coupon (plancode, age, "year", couponrate, benefittype, benefitrate, premiumrate) VALUES('EN60', 47, 3, 8, 'A',300, 1.01);</v>
      </c>
      <c r="I50" s="6" t="str">
        <f t="shared" si="11"/>
        <v>{"age":"47", "year":"3", "couponrate":"8", "benefittype":"A", "benefitrate":"300", "premiumrate":"1.01"}</v>
      </c>
      <c r="J50" s="6" t="str">
        <f t="shared" si="12"/>
        <v>,</v>
      </c>
    </row>
    <row r="51" spans="1:10">
      <c r="A51" s="4" t="str">
        <f>'EN60'!A$3</f>
        <v>EN60</v>
      </c>
      <c r="B51" s="4">
        <f t="shared" si="13"/>
        <v>47</v>
      </c>
      <c r="C51" s="4">
        <f t="shared" si="14"/>
        <v>4</v>
      </c>
      <c r="D51" s="4">
        <f t="shared" si="8"/>
        <v>8</v>
      </c>
      <c r="E51" s="4" t="s">
        <v>27</v>
      </c>
      <c r="F51" s="4">
        <f t="shared" si="9"/>
        <v>400</v>
      </c>
      <c r="G51" s="5">
        <f t="shared" si="15"/>
        <v>1.01</v>
      </c>
      <c r="H51" s="6" t="str">
        <f t="shared" si="10"/>
        <v>INSERT INTO public.coupon (plancode, age, "year", couponrate, benefittype, benefitrate, premiumrate) VALUES('EN60', 47, 4, 8, 'A',400, 1.01);</v>
      </c>
      <c r="I51" s="6" t="str">
        <f t="shared" si="11"/>
        <v>{"age":"47", "year":"4", "couponrate":"8", "benefittype":"A", "benefitrate":"400", "premiumrate":"1.01"}</v>
      </c>
      <c r="J51" s="6" t="str">
        <f t="shared" si="12"/>
        <v>,</v>
      </c>
    </row>
    <row r="52" spans="1:10">
      <c r="A52" s="4" t="str">
        <f>'EN60'!A$3</f>
        <v>EN60</v>
      </c>
      <c r="B52" s="4">
        <f t="shared" si="13"/>
        <v>47</v>
      </c>
      <c r="C52" s="4">
        <f t="shared" si="14"/>
        <v>5</v>
      </c>
      <c r="D52" s="4">
        <f t="shared" si="8"/>
        <v>8</v>
      </c>
      <c r="E52" s="4" t="s">
        <v>27</v>
      </c>
      <c r="F52" s="4">
        <f t="shared" si="9"/>
        <v>500</v>
      </c>
      <c r="G52" s="5">
        <f t="shared" si="15"/>
        <v>1.01</v>
      </c>
      <c r="H52" s="6" t="str">
        <f t="shared" si="10"/>
        <v>INSERT INTO public.coupon (plancode, age, "year", couponrate, benefittype, benefitrate, premiumrate) VALUES('EN60', 47, 5, 8, 'A',500, 1.01);</v>
      </c>
      <c r="I52" s="6" t="str">
        <f t="shared" si="11"/>
        <v>{"age":"47", "year":"5", "couponrate":"8", "benefittype":"A", "benefitrate":"500", "premiumrate":"1.01"}</v>
      </c>
      <c r="J52" s="6" t="str">
        <f t="shared" si="12"/>
        <v>,</v>
      </c>
    </row>
    <row r="53" spans="1:10">
      <c r="A53" s="4" t="str">
        <f>'EN60'!A$3</f>
        <v>EN60</v>
      </c>
      <c r="B53" s="4">
        <f t="shared" si="13"/>
        <v>47</v>
      </c>
      <c r="C53" s="4">
        <f t="shared" si="14"/>
        <v>6</v>
      </c>
      <c r="D53" s="4">
        <f t="shared" si="8"/>
        <v>8</v>
      </c>
      <c r="E53" s="4" t="s">
        <v>27</v>
      </c>
      <c r="F53" s="4">
        <f t="shared" si="9"/>
        <v>600</v>
      </c>
      <c r="G53" s="5">
        <f t="shared" si="15"/>
        <v>1.01</v>
      </c>
      <c r="H53" s="6" t="str">
        <f t="shared" si="10"/>
        <v>INSERT INTO public.coupon (plancode, age, "year", couponrate, benefittype, benefitrate, premiumrate) VALUES('EN60', 47, 6, 8, 'A',600, 1.01);</v>
      </c>
      <c r="I53" s="6" t="str">
        <f t="shared" si="11"/>
        <v>{"age":"47", "year":"6", "couponrate":"8", "benefittype":"A", "benefitrate":"600", "premiumrate":"1.01"}</v>
      </c>
      <c r="J53" s="6" t="str">
        <f t="shared" si="12"/>
        <v>,</v>
      </c>
    </row>
    <row r="54" spans="1:10">
      <c r="A54" s="4" t="str">
        <f>'EN60'!A$3</f>
        <v>EN60</v>
      </c>
      <c r="B54" s="4">
        <f t="shared" si="13"/>
        <v>47</v>
      </c>
      <c r="C54" s="4">
        <f t="shared" si="14"/>
        <v>7</v>
      </c>
      <c r="D54" s="4">
        <f t="shared" si="8"/>
        <v>8</v>
      </c>
      <c r="E54" s="4" t="s">
        <v>27</v>
      </c>
      <c r="F54" s="4">
        <f t="shared" si="9"/>
        <v>700</v>
      </c>
      <c r="G54" s="5">
        <f t="shared" si="15"/>
        <v>1.01</v>
      </c>
      <c r="H54" s="6" t="str">
        <f t="shared" si="10"/>
        <v>INSERT INTO public.coupon (plancode, age, "year", couponrate, benefittype, benefitrate, premiumrate) VALUES('EN60', 47, 7, 8, 'A',700, 1.01);</v>
      </c>
      <c r="I54" s="6" t="str">
        <f t="shared" si="11"/>
        <v>{"age":"47", "year":"7", "couponrate":"8", "benefittype":"A", "benefitrate":"700", "premiumrate":"1.01"}</v>
      </c>
      <c r="J54" s="6" t="str">
        <f t="shared" si="12"/>
        <v>,</v>
      </c>
    </row>
    <row r="55" spans="1:10">
      <c r="A55" s="4" t="str">
        <f>'EN60'!A$3</f>
        <v>EN60</v>
      </c>
      <c r="B55" s="4">
        <f t="shared" si="13"/>
        <v>47</v>
      </c>
      <c r="C55" s="4">
        <f t="shared" si="14"/>
        <v>8</v>
      </c>
      <c r="D55" s="4">
        <f t="shared" si="8"/>
        <v>8</v>
      </c>
      <c r="E55" s="4" t="s">
        <v>27</v>
      </c>
      <c r="F55" s="4">
        <f t="shared" si="9"/>
        <v>800</v>
      </c>
      <c r="G55" s="5">
        <f t="shared" si="15"/>
        <v>1.01</v>
      </c>
      <c r="H55" s="6" t="str">
        <f t="shared" si="10"/>
        <v>INSERT INTO public.coupon (plancode, age, "year", couponrate, benefittype, benefitrate, premiumrate) VALUES('EN60', 47, 8, 8, 'A',800, 1.01);</v>
      </c>
      <c r="I55" s="6" t="str">
        <f t="shared" si="11"/>
        <v>{"age":"47", "year":"8", "couponrate":"8", "benefittype":"A", "benefitrate":"800", "premiumrate":"1.01"}</v>
      </c>
      <c r="J55" s="6" t="str">
        <f t="shared" si="12"/>
        <v>,</v>
      </c>
    </row>
    <row r="56" spans="1:10">
      <c r="A56" s="4" t="str">
        <f>'EN60'!A$3</f>
        <v>EN60</v>
      </c>
      <c r="B56" s="4">
        <f t="shared" si="13"/>
        <v>47</v>
      </c>
      <c r="C56" s="4">
        <f t="shared" si="14"/>
        <v>9</v>
      </c>
      <c r="D56" s="4">
        <f t="shared" si="8"/>
        <v>8</v>
      </c>
      <c r="E56" s="4" t="s">
        <v>27</v>
      </c>
      <c r="F56" s="4">
        <f t="shared" si="9"/>
        <v>800</v>
      </c>
      <c r="G56" s="5">
        <f t="shared" si="15"/>
        <v>1.01</v>
      </c>
      <c r="H56" s="6" t="str">
        <f t="shared" si="10"/>
        <v>INSERT INTO public.coupon (plancode, age, "year", couponrate, benefittype, benefitrate, premiumrate) VALUES('EN60', 47, 9, 8, 'A',800, 1.01);</v>
      </c>
      <c r="I56" s="6" t="str">
        <f t="shared" si="11"/>
        <v>{"age":"47", "year":"9", "couponrate":"8", "benefittype":"A", "benefitrate":"800", "premiumrate":"1.01"}</v>
      </c>
      <c r="J56" s="6" t="str">
        <f t="shared" si="12"/>
        <v>,</v>
      </c>
    </row>
    <row r="57" spans="1:10">
      <c r="A57" s="4" t="str">
        <f>'EN60'!A$3</f>
        <v>EN60</v>
      </c>
      <c r="B57" s="4">
        <f t="shared" si="13"/>
        <v>47</v>
      </c>
      <c r="C57" s="4">
        <f t="shared" si="14"/>
        <v>10</v>
      </c>
      <c r="D57" s="4">
        <f t="shared" si="8"/>
        <v>8</v>
      </c>
      <c r="E57" s="4" t="s">
        <v>27</v>
      </c>
      <c r="F57" s="4">
        <f t="shared" si="9"/>
        <v>800</v>
      </c>
      <c r="G57" s="5">
        <f t="shared" si="15"/>
        <v>1.01</v>
      </c>
      <c r="H57" s="6" t="str">
        <f t="shared" si="10"/>
        <v>INSERT INTO public.coupon (plancode, age, "year", couponrate, benefittype, benefitrate, premiumrate) VALUES('EN60', 47, 10, 8, 'A',800, 1.01);</v>
      </c>
      <c r="I57" s="6" t="str">
        <f t="shared" si="11"/>
        <v>{"age":"47", "year":"10", "couponrate":"8", "benefittype":"A", "benefitrate":"800", "premiumrate":"1.01"}</v>
      </c>
      <c r="J57" s="6" t="str">
        <f t="shared" si="12"/>
        <v>,</v>
      </c>
    </row>
    <row r="58" spans="1:10">
      <c r="A58" s="4" t="str">
        <f>'EN60'!A$3</f>
        <v>EN60</v>
      </c>
      <c r="B58" s="4">
        <f t="shared" si="13"/>
        <v>47</v>
      </c>
      <c r="C58" s="4">
        <f t="shared" si="14"/>
        <v>11</v>
      </c>
      <c r="D58" s="4">
        <f t="shared" si="8"/>
        <v>8</v>
      </c>
      <c r="E58" s="4" t="s">
        <v>27</v>
      </c>
      <c r="F58" s="4">
        <f t="shared" si="9"/>
        <v>800</v>
      </c>
      <c r="G58" s="5">
        <f t="shared" si="15"/>
        <v>1.01</v>
      </c>
      <c r="H58" s="6" t="str">
        <f t="shared" si="10"/>
        <v>INSERT INTO public.coupon (plancode, age, "year", couponrate, benefittype, benefitrate, premiumrate) VALUES('EN60', 47, 11, 8, 'A',800, 1.01);</v>
      </c>
      <c r="I58" s="6" t="str">
        <f t="shared" si="11"/>
        <v>{"age":"47", "year":"11", "couponrate":"8", "benefittype":"A", "benefitrate":"800", "premiumrate":"1.01"}</v>
      </c>
      <c r="J58" s="6" t="str">
        <f t="shared" si="12"/>
        <v>,</v>
      </c>
    </row>
    <row r="59" spans="1:10">
      <c r="A59" s="4" t="str">
        <f>'EN60'!A$3</f>
        <v>EN60</v>
      </c>
      <c r="B59" s="4">
        <f t="shared" si="13"/>
        <v>47</v>
      </c>
      <c r="C59" s="4">
        <f t="shared" si="14"/>
        <v>12</v>
      </c>
      <c r="D59" s="4">
        <f t="shared" si="8"/>
        <v>8</v>
      </c>
      <c r="E59" s="4" t="s">
        <v>27</v>
      </c>
      <c r="F59" s="4">
        <f t="shared" si="9"/>
        <v>800</v>
      </c>
      <c r="G59" s="5">
        <f t="shared" si="15"/>
        <v>1.01</v>
      </c>
      <c r="H59" s="6" t="str">
        <f t="shared" si="10"/>
        <v>INSERT INTO public.coupon (plancode, age, "year", couponrate, benefittype, benefitrate, premiumrate) VALUES('EN60', 47, 12, 8, 'A',800, 1.01);</v>
      </c>
      <c r="I59" s="6" t="str">
        <f t="shared" si="11"/>
        <v>{"age":"47", "year":"12", "couponrate":"8", "benefittype":"A", "benefitrate":"800", "premiumrate":"1.01"}</v>
      </c>
      <c r="J59" s="6" t="str">
        <f t="shared" si="12"/>
        <v>,</v>
      </c>
    </row>
    <row r="60" spans="1:10">
      <c r="A60" s="4" t="str">
        <f>'EN60'!A$3</f>
        <v>EN60</v>
      </c>
      <c r="B60" s="4">
        <f t="shared" si="13"/>
        <v>47</v>
      </c>
      <c r="C60" s="4">
        <f t="shared" si="14"/>
        <v>13</v>
      </c>
      <c r="D60" s="4">
        <f t="shared" si="8"/>
        <v>8</v>
      </c>
      <c r="E60" s="4" t="s">
        <v>27</v>
      </c>
      <c r="F60" s="4">
        <f t="shared" si="9"/>
        <v>800</v>
      </c>
      <c r="G60" s="5">
        <f t="shared" si="15"/>
        <v>1.01</v>
      </c>
      <c r="H60" s="6" t="str">
        <f t="shared" si="10"/>
        <v>INSERT INTO public.coupon (plancode, age, "year", couponrate, benefittype, benefitrate, premiumrate) VALUES('EN60', 47, 13, 8, 'A',800, 1.01);</v>
      </c>
      <c r="I60" s="6" t="str">
        <f t="shared" si="11"/>
        <v>{"age":"47", "year":"13", "couponrate":"8", "benefittype":"A", "benefitrate":"800", "premiumrate":"1.01"}</v>
      </c>
      <c r="J60" s="6" t="str">
        <f t="shared" si="12"/>
        <v>,</v>
      </c>
    </row>
    <row r="61" spans="1:10">
      <c r="A61" s="4" t="str">
        <f>'EN60'!A$3</f>
        <v>EN60</v>
      </c>
      <c r="B61" s="4">
        <f t="shared" si="13"/>
        <v>47</v>
      </c>
      <c r="C61" s="4">
        <f t="shared" si="14"/>
        <v>14</v>
      </c>
      <c r="D61" s="4">
        <f t="shared" si="8"/>
        <v>8</v>
      </c>
      <c r="E61" s="4" t="s">
        <v>27</v>
      </c>
      <c r="F61" s="4">
        <f t="shared" si="9"/>
        <v>800</v>
      </c>
      <c r="G61" s="5">
        <f t="shared" si="15"/>
        <v>1.01</v>
      </c>
      <c r="H61" s="6" t="str">
        <f t="shared" si="10"/>
        <v>INSERT INTO public.coupon (plancode, age, "year", couponrate, benefittype, benefitrate, premiumrate) VALUES('EN60', 47, 14, 8, 'A',800, 1.01);</v>
      </c>
      <c r="I61" s="6" t="str">
        <f t="shared" si="11"/>
        <v>{"age":"47", "year":"14", "couponrate":"8", "benefittype":"A", "benefitrate":"800", "premiumrate":"1.01"}</v>
      </c>
      <c r="J61" s="6" t="str">
        <f t="shared" si="12"/>
        <v>,</v>
      </c>
    </row>
    <row r="62" spans="1:10">
      <c r="A62" s="4" t="str">
        <f>'EN60'!A$3</f>
        <v>EN60</v>
      </c>
      <c r="B62" s="4">
        <f t="shared" si="13"/>
        <v>47</v>
      </c>
      <c r="C62" s="4">
        <f t="shared" si="14"/>
        <v>15</v>
      </c>
      <c r="D62" s="4">
        <f t="shared" si="8"/>
        <v>8</v>
      </c>
      <c r="E62" s="4" t="s">
        <v>27</v>
      </c>
      <c r="F62" s="4">
        <f t="shared" si="9"/>
        <v>800</v>
      </c>
      <c r="G62" s="5">
        <f t="shared" si="15"/>
        <v>1.01</v>
      </c>
      <c r="H62" s="6" t="str">
        <f t="shared" si="10"/>
        <v>INSERT INTO public.coupon (plancode, age, "year", couponrate, benefittype, benefitrate, premiumrate) VALUES('EN60', 47, 15, 8, 'A',800, 1.01);</v>
      </c>
      <c r="I62" s="6" t="str">
        <f t="shared" si="11"/>
        <v>{"age":"47", "year":"15", "couponrate":"8", "benefittype":"A", "benefitrate":"800", "premiumrate":"1.01"}</v>
      </c>
      <c r="J62" s="6" t="str">
        <f t="shared" si="12"/>
        <v>,</v>
      </c>
    </row>
    <row r="63" spans="1:10">
      <c r="A63" s="4" t="str">
        <f>'EN60'!A$3</f>
        <v>EN60</v>
      </c>
      <c r="B63" s="4">
        <f t="shared" si="13"/>
        <v>47</v>
      </c>
      <c r="C63" s="4">
        <f t="shared" si="14"/>
        <v>16</v>
      </c>
      <c r="D63" s="4">
        <f t="shared" si="8"/>
        <v>8</v>
      </c>
      <c r="E63" s="4" t="s">
        <v>27</v>
      </c>
      <c r="F63" s="4">
        <f t="shared" si="9"/>
        <v>800</v>
      </c>
      <c r="G63" s="5">
        <f t="shared" si="15"/>
        <v>1.01</v>
      </c>
      <c r="H63" s="6" t="str">
        <f t="shared" si="10"/>
        <v>INSERT INTO public.coupon (plancode, age, "year", couponrate, benefittype, benefitrate, premiumrate) VALUES('EN60', 47, 16, 8, 'A',800, 1.01);</v>
      </c>
      <c r="I63" s="6" t="str">
        <f t="shared" si="11"/>
        <v>{"age":"47", "year":"16", "couponrate":"8", "benefittype":"A", "benefitrate":"800", "premiumrate":"1.01"}</v>
      </c>
      <c r="J63" s="6" t="str">
        <f t="shared" si="12"/>
        <v>,</v>
      </c>
    </row>
    <row r="64" spans="1:10">
      <c r="A64" s="4" t="str">
        <f>'EN60'!A$3</f>
        <v>EN60</v>
      </c>
      <c r="B64" s="4">
        <f t="shared" si="13"/>
        <v>47</v>
      </c>
      <c r="C64" s="4">
        <f t="shared" si="14"/>
        <v>17</v>
      </c>
      <c r="D64" s="4">
        <f t="shared" si="8"/>
        <v>8</v>
      </c>
      <c r="E64" s="4" t="s">
        <v>27</v>
      </c>
      <c r="F64" s="4">
        <f t="shared" si="9"/>
        <v>800</v>
      </c>
      <c r="G64" s="5">
        <f t="shared" si="15"/>
        <v>1.01</v>
      </c>
      <c r="H64" s="6" t="str">
        <f t="shared" si="10"/>
        <v>INSERT INTO public.coupon (plancode, age, "year", couponrate, benefittype, benefitrate, premiumrate) VALUES('EN60', 47, 17, 8, 'A',800, 1.01);</v>
      </c>
      <c r="I64" s="6" t="str">
        <f t="shared" si="11"/>
        <v>{"age":"47", "year":"17", "couponrate":"8", "benefittype":"A", "benefitrate":"800", "premiumrate":"1.01"}</v>
      </c>
      <c r="J64" s="6" t="str">
        <f t="shared" si="12"/>
        <v>,</v>
      </c>
    </row>
    <row r="65" spans="1:10">
      <c r="A65" s="4" t="str">
        <f>'EN60'!A$3</f>
        <v>EN60</v>
      </c>
      <c r="B65" s="4">
        <f t="shared" si="13"/>
        <v>47</v>
      </c>
      <c r="C65" s="4">
        <f t="shared" si="14"/>
        <v>18</v>
      </c>
      <c r="D65" s="4">
        <f t="shared" si="8"/>
        <v>8</v>
      </c>
      <c r="E65" s="4" t="s">
        <v>27</v>
      </c>
      <c r="F65" s="4">
        <f t="shared" si="9"/>
        <v>800</v>
      </c>
      <c r="G65" s="5">
        <f t="shared" si="15"/>
        <v>1.01</v>
      </c>
      <c r="H65" s="6" t="str">
        <f t="shared" si="10"/>
        <v>INSERT INTO public.coupon (plancode, age, "year", couponrate, benefittype, benefitrate, premiumrate) VALUES('EN60', 47, 18, 8, 'A',800, 1.01);</v>
      </c>
      <c r="I65" s="6" t="str">
        <f t="shared" si="11"/>
        <v>{"age":"47", "year":"18", "couponrate":"8", "benefittype":"A", "benefitrate":"800", "premiumrate":"1.01"}</v>
      </c>
      <c r="J65" s="6" t="str">
        <f t="shared" si="12"/>
        <v>,</v>
      </c>
    </row>
    <row r="66" spans="1:10">
      <c r="A66" s="4" t="str">
        <f>'EN60'!A$3</f>
        <v>EN60</v>
      </c>
      <c r="B66" s="4">
        <f t="shared" si="13"/>
        <v>47</v>
      </c>
      <c r="C66" s="4">
        <f t="shared" si="14"/>
        <v>19</v>
      </c>
      <c r="D66" s="4">
        <f t="shared" si="8"/>
        <v>8</v>
      </c>
      <c r="E66" s="4" t="s">
        <v>27</v>
      </c>
      <c r="F66" s="4">
        <f t="shared" si="9"/>
        <v>800</v>
      </c>
      <c r="G66" s="5">
        <f t="shared" si="15"/>
        <v>1.01</v>
      </c>
      <c r="H66" s="6" t="str">
        <f t="shared" si="10"/>
        <v>INSERT INTO public.coupon (plancode, age, "year", couponrate, benefittype, benefitrate, premiumrate) VALUES('EN60', 47, 19, 8, 'A',800, 1.01);</v>
      </c>
      <c r="I66" s="6" t="str">
        <f t="shared" si="11"/>
        <v>{"age":"47", "year":"19", "couponrate":"8", "benefittype":"A", "benefitrate":"800", "premiumrate":"1.01"}</v>
      </c>
      <c r="J66" s="6" t="str">
        <f t="shared" si="12"/>
        <v>,</v>
      </c>
    </row>
    <row r="67" spans="1:10">
      <c r="A67" s="4" t="str">
        <f>'EN60'!A$3</f>
        <v>EN60</v>
      </c>
      <c r="B67" s="4">
        <f t="shared" si="13"/>
        <v>47</v>
      </c>
      <c r="C67" s="4">
        <f t="shared" si="14"/>
        <v>20</v>
      </c>
      <c r="D67" s="4">
        <f t="shared" si="8"/>
        <v>8</v>
      </c>
      <c r="E67" s="4" t="s">
        <v>27</v>
      </c>
      <c r="F67" s="4">
        <f t="shared" si="9"/>
        <v>800</v>
      </c>
      <c r="G67" s="5">
        <f t="shared" si="15"/>
        <v>1.01</v>
      </c>
      <c r="H67" s="6" t="str">
        <f t="shared" si="10"/>
        <v>INSERT INTO public.coupon (plancode, age, "year", couponrate, benefittype, benefitrate, premiumrate) VALUES('EN60', 47, 20, 8, 'A',800, 1.01);</v>
      </c>
      <c r="I67" s="6" t="str">
        <f t="shared" si="11"/>
        <v>{"age":"47", "year":"20", "couponrate":"8", "benefittype":"A", "benefitrate":"800", "premiumrate":"1.01"}</v>
      </c>
      <c r="J67" s="6" t="str">
        <f t="shared" si="12"/>
        <v>,</v>
      </c>
    </row>
    <row r="68" spans="1:10">
      <c r="A68" s="4" t="str">
        <f>'EN60'!A$3</f>
        <v>EN60</v>
      </c>
      <c r="B68" s="4">
        <f t="shared" si="13"/>
        <v>47</v>
      </c>
      <c r="C68" s="4">
        <f t="shared" si="14"/>
        <v>21</v>
      </c>
      <c r="D68" s="4">
        <f t="shared" si="8"/>
        <v>8</v>
      </c>
      <c r="E68" s="4" t="s">
        <v>27</v>
      </c>
      <c r="F68" s="4">
        <f t="shared" si="9"/>
        <v>800</v>
      </c>
      <c r="G68" s="5">
        <f t="shared" si="15"/>
        <v>1.01</v>
      </c>
      <c r="H68" s="6" t="str">
        <f t="shared" si="10"/>
        <v>INSERT INTO public.coupon (plancode, age, "year", couponrate, benefittype, benefitrate, premiumrate) VALUES('EN60', 47, 21, 8, 'A',800, 1.01);</v>
      </c>
      <c r="I68" s="6" t="str">
        <f t="shared" si="11"/>
        <v>{"age":"47", "year":"21", "couponrate":"8", "benefittype":"A", "benefitrate":"800", "premiumrate":"1.01"}</v>
      </c>
      <c r="J68" s="6" t="str">
        <f t="shared" si="12"/>
        <v>,</v>
      </c>
    </row>
    <row r="69" spans="1:10">
      <c r="A69" s="4" t="str">
        <f>'EN60'!A$3</f>
        <v>EN60</v>
      </c>
      <c r="B69" s="4">
        <f t="shared" si="13"/>
        <v>47</v>
      </c>
      <c r="C69" s="4">
        <f t="shared" si="14"/>
        <v>22</v>
      </c>
      <c r="D69" s="4">
        <f t="shared" si="8"/>
        <v>8</v>
      </c>
      <c r="E69" s="4" t="s">
        <v>27</v>
      </c>
      <c r="F69" s="4">
        <f t="shared" si="9"/>
        <v>800</v>
      </c>
      <c r="G69" s="5">
        <f t="shared" si="15"/>
        <v>1.01</v>
      </c>
      <c r="H69" s="6" t="str">
        <f t="shared" si="10"/>
        <v>INSERT INTO public.coupon (plancode, age, "year", couponrate, benefittype, benefitrate, premiumrate) VALUES('EN60', 47, 22, 8, 'A',800, 1.01);</v>
      </c>
      <c r="I69" s="6" t="str">
        <f t="shared" si="11"/>
        <v>{"age":"47", "year":"22", "couponrate":"8", "benefittype":"A", "benefitrate":"800", "premiumrate":"1.01"}</v>
      </c>
      <c r="J69" s="6" t="str">
        <f t="shared" si="12"/>
        <v>,</v>
      </c>
    </row>
    <row r="70" spans="1:10">
      <c r="A70" s="4" t="str">
        <f>'EN60'!A$3</f>
        <v>EN60</v>
      </c>
      <c r="B70" s="4">
        <f t="shared" si="13"/>
        <v>47</v>
      </c>
      <c r="C70" s="4">
        <f t="shared" si="14"/>
        <v>23</v>
      </c>
      <c r="D70" s="4">
        <f t="shared" si="8"/>
        <v>8</v>
      </c>
      <c r="E70" s="4" t="s">
        <v>27</v>
      </c>
      <c r="F70" s="4">
        <f t="shared" si="9"/>
        <v>800</v>
      </c>
      <c r="G70" s="5">
        <f t="shared" si="15"/>
        <v>1.01</v>
      </c>
      <c r="H70" s="6" t="str">
        <f t="shared" si="10"/>
        <v>INSERT INTO public.coupon (plancode, age, "year", couponrate, benefittype, benefitrate, premiumrate) VALUES('EN60', 47, 23, 8, 'A',800, 1.01);</v>
      </c>
      <c r="I70" s="6" t="str">
        <f t="shared" si="11"/>
        <v>{"age":"47", "year":"23", "couponrate":"8", "benefittype":"A", "benefitrate":"800", "premiumrate":"1.01"}</v>
      </c>
      <c r="J70" s="6" t="str">
        <f t="shared" si="12"/>
        <v>,</v>
      </c>
    </row>
    <row r="71" spans="1:10">
      <c r="A71" s="4" t="str">
        <f>'EN60'!A$3</f>
        <v>EN60</v>
      </c>
      <c r="B71" s="4">
        <f t="shared" si="13"/>
        <v>47</v>
      </c>
      <c r="C71" s="4">
        <f t="shared" si="14"/>
        <v>24</v>
      </c>
      <c r="D71" s="4">
        <f t="shared" si="8"/>
        <v>8</v>
      </c>
      <c r="E71" s="4" t="s">
        <v>27</v>
      </c>
      <c r="F71" s="4">
        <f t="shared" si="9"/>
        <v>800</v>
      </c>
      <c r="G71" s="5">
        <f t="shared" si="15"/>
        <v>1.01</v>
      </c>
      <c r="H71" s="6" t="str">
        <f t="shared" si="10"/>
        <v>INSERT INTO public.coupon (plancode, age, "year", couponrate, benefittype, benefitrate, premiumrate) VALUES('EN60', 47, 24, 8, 'A',800, 1.01);</v>
      </c>
      <c r="I71" s="6" t="str">
        <f t="shared" si="11"/>
        <v>{"age":"47", "year":"24", "couponrate":"8", "benefittype":"A", "benefitrate":"800", "premiumrate":"1.01"}</v>
      </c>
      <c r="J71" s="6" t="str">
        <f t="shared" si="12"/>
        <v>,</v>
      </c>
    </row>
    <row r="72" spans="1:10">
      <c r="A72" s="4" t="str">
        <f>'EN60'!A$3</f>
        <v>EN60</v>
      </c>
      <c r="B72" s="4">
        <f t="shared" si="13"/>
        <v>47</v>
      </c>
      <c r="C72" s="4">
        <f t="shared" si="14"/>
        <v>25</v>
      </c>
      <c r="D72" s="4">
        <f t="shared" si="8"/>
        <v>8</v>
      </c>
      <c r="E72" s="4" t="s">
        <v>27</v>
      </c>
      <c r="F72" s="4">
        <f t="shared" si="9"/>
        <v>800</v>
      </c>
      <c r="G72" s="5">
        <f t="shared" si="15"/>
        <v>1.01</v>
      </c>
      <c r="H72" s="6" t="str">
        <f t="shared" si="10"/>
        <v>INSERT INTO public.coupon (plancode, age, "year", couponrate, benefittype, benefitrate, premiumrate) VALUES('EN60', 47, 25, 8, 'A',800, 1.01);</v>
      </c>
      <c r="I72" s="6" t="str">
        <f t="shared" si="11"/>
        <v>{"age":"47", "year":"25", "couponrate":"8", "benefittype":"A", "benefitrate":"800", "premiumrate":"1.01"}</v>
      </c>
      <c r="J72" s="6" t="str">
        <f t="shared" si="12"/>
        <v>,</v>
      </c>
    </row>
    <row r="73" spans="1:10">
      <c r="A73" s="4" t="str">
        <f>'EN60'!A$3</f>
        <v>EN60</v>
      </c>
      <c r="B73" s="4">
        <f t="shared" si="13"/>
        <v>47</v>
      </c>
      <c r="C73" s="4">
        <f t="shared" si="14"/>
        <v>26</v>
      </c>
      <c r="D73" s="4">
        <f t="shared" si="8"/>
        <v>8</v>
      </c>
      <c r="E73" s="4" t="s">
        <v>27</v>
      </c>
      <c r="F73" s="4">
        <f t="shared" si="9"/>
        <v>800</v>
      </c>
      <c r="G73" s="5">
        <f t="shared" si="15"/>
        <v>1.01</v>
      </c>
      <c r="H73" s="6" t="str">
        <f t="shared" si="10"/>
        <v>INSERT INTO public.coupon (plancode, age, "year", couponrate, benefittype, benefitrate, premiumrate) VALUES('EN60', 47, 26, 8, 'A',800, 1.01);</v>
      </c>
      <c r="I73" s="6" t="str">
        <f t="shared" si="11"/>
        <v>{"age":"47", "year":"26", "couponrate":"8", "benefittype":"A", "benefitrate":"800", "premiumrate":"1.01"}</v>
      </c>
      <c r="J73" s="6" t="str">
        <f t="shared" si="12"/>
        <v>,</v>
      </c>
    </row>
    <row r="74" spans="1:10">
      <c r="A74" s="4" t="str">
        <f>'EN60'!A$3</f>
        <v>EN60</v>
      </c>
      <c r="B74" s="4">
        <f t="shared" si="13"/>
        <v>47</v>
      </c>
      <c r="C74" s="4">
        <f t="shared" si="14"/>
        <v>27</v>
      </c>
      <c r="D74" s="4">
        <f t="shared" si="8"/>
        <v>8</v>
      </c>
      <c r="E74" s="4" t="s">
        <v>27</v>
      </c>
      <c r="F74" s="4">
        <f t="shared" si="9"/>
        <v>800</v>
      </c>
      <c r="G74" s="5">
        <f t="shared" si="15"/>
        <v>1.01</v>
      </c>
      <c r="H74" s="6" t="str">
        <f t="shared" si="10"/>
        <v>INSERT INTO public.coupon (plancode, age, "year", couponrate, benefittype, benefitrate, premiumrate) VALUES('EN60', 47, 27, 8, 'A',800, 1.01);</v>
      </c>
      <c r="I74" s="6" t="str">
        <f t="shared" si="11"/>
        <v>{"age":"47", "year":"27", "couponrate":"8", "benefittype":"A", "benefitrate":"800", "premiumrate":"1.01"}</v>
      </c>
      <c r="J74" s="6" t="str">
        <f t="shared" si="12"/>
        <v>,</v>
      </c>
    </row>
    <row r="75" spans="1:10">
      <c r="A75" s="4" t="str">
        <f>'EN60'!A$3</f>
        <v>EN60</v>
      </c>
      <c r="B75" s="4">
        <f t="shared" si="13"/>
        <v>47</v>
      </c>
      <c r="C75" s="4">
        <f t="shared" si="14"/>
        <v>28</v>
      </c>
      <c r="D75" s="4">
        <f t="shared" si="8"/>
        <v>8</v>
      </c>
      <c r="E75" s="4" t="s">
        <v>27</v>
      </c>
      <c r="F75" s="4">
        <f t="shared" si="9"/>
        <v>800</v>
      </c>
      <c r="G75" s="5">
        <f t="shared" si="15"/>
        <v>1.01</v>
      </c>
      <c r="H75" s="6" t="str">
        <f t="shared" si="10"/>
        <v>INSERT INTO public.coupon (plancode, age, "year", couponrate, benefittype, benefitrate, premiumrate) VALUES('EN60', 47, 28, 8, 'A',800, 1.01);</v>
      </c>
      <c r="I75" s="6" t="str">
        <f t="shared" si="11"/>
        <v>{"age":"47", "year":"28", "couponrate":"8", "benefittype":"A", "benefitrate":"800", "premiumrate":"1.01"}</v>
      </c>
      <c r="J75" s="6" t="str">
        <f t="shared" si="12"/>
        <v>,</v>
      </c>
    </row>
    <row r="76" spans="1:10">
      <c r="A76" s="4" t="str">
        <f>'EN60'!A$3</f>
        <v>EN60</v>
      </c>
      <c r="B76" s="4">
        <f t="shared" si="13"/>
        <v>47</v>
      </c>
      <c r="C76" s="4">
        <f t="shared" si="14"/>
        <v>29</v>
      </c>
      <c r="D76" s="4">
        <f t="shared" si="8"/>
        <v>8</v>
      </c>
      <c r="E76" s="4" t="s">
        <v>27</v>
      </c>
      <c r="F76" s="4">
        <f t="shared" si="9"/>
        <v>800</v>
      </c>
      <c r="G76" s="5">
        <f t="shared" si="15"/>
        <v>1.01</v>
      </c>
      <c r="H76" s="6" t="str">
        <f t="shared" si="10"/>
        <v>INSERT INTO public.coupon (plancode, age, "year", couponrate, benefittype, benefitrate, premiumrate) VALUES('EN60', 47, 29, 8, 'A',800, 1.01);</v>
      </c>
      <c r="I76" s="6" t="str">
        <f t="shared" si="11"/>
        <v>{"age":"47", "year":"29", "couponrate":"8", "benefittype":"A", "benefitrate":"800", "premiumrate":"1.01"}</v>
      </c>
      <c r="J76" s="6" t="str">
        <f t="shared" si="12"/>
        <v>,</v>
      </c>
    </row>
    <row r="77" spans="1:10">
      <c r="A77" s="4" t="str">
        <f>'EN60'!A$3</f>
        <v>EN60</v>
      </c>
      <c r="B77" s="4">
        <f t="shared" si="13"/>
        <v>47</v>
      </c>
      <c r="C77" s="4">
        <f t="shared" si="14"/>
        <v>30</v>
      </c>
      <c r="D77" s="4">
        <f t="shared" si="8"/>
        <v>8</v>
      </c>
      <c r="E77" s="4" t="s">
        <v>27</v>
      </c>
      <c r="F77" s="4">
        <f t="shared" si="9"/>
        <v>800</v>
      </c>
      <c r="G77" s="5">
        <f t="shared" si="15"/>
        <v>1.01</v>
      </c>
      <c r="H77" s="6" t="str">
        <f t="shared" si="10"/>
        <v>INSERT INTO public.coupon (plancode, age, "year", couponrate, benefittype, benefitrate, premiumrate) VALUES('EN60', 47, 30, 8, 'A',800, 1.01);</v>
      </c>
      <c r="I77" s="6" t="str">
        <f t="shared" si="11"/>
        <v>{"age":"47", "year":"30", "couponrate":"8", "benefittype":"A", "benefitrate":"800", "premiumrate":"1.01"}</v>
      </c>
      <c r="J77" s="6" t="str">
        <f t="shared" si="12"/>
        <v>,</v>
      </c>
    </row>
    <row r="78" spans="1:10">
      <c r="A78" s="4" t="str">
        <f>'EN60'!A$3</f>
        <v>EN60</v>
      </c>
      <c r="B78" s="4">
        <f t="shared" si="13"/>
        <v>47</v>
      </c>
      <c r="C78" s="4">
        <f t="shared" si="14"/>
        <v>31</v>
      </c>
      <c r="D78" s="4">
        <f t="shared" si="8"/>
        <v>8</v>
      </c>
      <c r="E78" s="4" t="s">
        <v>27</v>
      </c>
      <c r="F78" s="4">
        <f t="shared" si="9"/>
        <v>800</v>
      </c>
      <c r="G78" s="5">
        <f t="shared" si="15"/>
        <v>1.01</v>
      </c>
      <c r="H78" s="6" t="str">
        <f t="shared" si="10"/>
        <v>INSERT INTO public.coupon (plancode, age, "year", couponrate, benefittype, benefitrate, premiumrate) VALUES('EN60', 47, 31, 8, 'A',800, 1.01);</v>
      </c>
      <c r="I78" s="6" t="str">
        <f t="shared" si="11"/>
        <v>{"age":"47", "year":"31", "couponrate":"8", "benefittype":"A", "benefitrate":"800", "premiumrate":"1.01"}</v>
      </c>
      <c r="J78" s="6" t="str">
        <f t="shared" si="12"/>
        <v>,</v>
      </c>
    </row>
    <row r="79" spans="1:10">
      <c r="A79" s="4" t="str">
        <f>'EN60'!A$3</f>
        <v>EN60</v>
      </c>
      <c r="B79" s="4">
        <f t="shared" si="13"/>
        <v>47</v>
      </c>
      <c r="C79" s="4">
        <f t="shared" si="14"/>
        <v>32</v>
      </c>
      <c r="D79" s="4">
        <f t="shared" si="8"/>
        <v>8</v>
      </c>
      <c r="E79" s="4" t="s">
        <v>27</v>
      </c>
      <c r="F79" s="4">
        <f t="shared" si="9"/>
        <v>800</v>
      </c>
      <c r="G79" s="5">
        <f t="shared" si="15"/>
        <v>1.01</v>
      </c>
      <c r="H79" s="6" t="str">
        <f t="shared" si="10"/>
        <v>INSERT INTO public.coupon (plancode, age, "year", couponrate, benefittype, benefitrate, premiumrate) VALUES('EN60', 47, 32, 8, 'A',800, 1.01);</v>
      </c>
      <c r="I79" s="6" t="str">
        <f t="shared" si="11"/>
        <v>{"age":"47", "year":"32", "couponrate":"8", "benefittype":"A", "benefitrate":"800", "premiumrate":"1.01"}</v>
      </c>
      <c r="J79" s="6" t="str">
        <f t="shared" si="12"/>
        <v>,</v>
      </c>
    </row>
    <row r="80" spans="1:10">
      <c r="A80" s="4" t="str">
        <f>'EN60'!A$3</f>
        <v>EN60</v>
      </c>
      <c r="B80" s="4">
        <f t="shared" si="13"/>
        <v>47</v>
      </c>
      <c r="C80" s="4">
        <f t="shared" si="14"/>
        <v>33</v>
      </c>
      <c r="D80" s="4">
        <f t="shared" si="8"/>
        <v>0</v>
      </c>
      <c r="E80" s="4" t="s">
        <v>27</v>
      </c>
      <c r="F80" s="4">
        <f t="shared" si="9"/>
        <v>800</v>
      </c>
      <c r="G80" s="5">
        <f t="shared" si="15"/>
        <v>1.01</v>
      </c>
      <c r="H80" s="6" t="str">
        <f t="shared" si="10"/>
        <v>INSERT INTO public.coupon (plancode, age, "year", couponrate, benefittype, benefitrate, premiumrate) VALUES('EN60', 47, 33, 0, 'A',800, 1.01);</v>
      </c>
      <c r="I80" s="6" t="str">
        <f t="shared" si="11"/>
        <v>{"age":"47", "year":"33", "couponrate":"0", "benefittype":"A", "benefitrate":"800", "premiumrate":"1.01"}</v>
      </c>
    </row>
    <row r="81" spans="1:10">
      <c r="C81" s="6"/>
      <c r="I81" s="6" t="s">
        <v>28</v>
      </c>
    </row>
    <row r="82" spans="1:10">
      <c r="A82" s="3" t="s">
        <v>2</v>
      </c>
      <c r="B82" s="3" t="s">
        <v>23</v>
      </c>
      <c r="C82" s="3" t="s">
        <v>24</v>
      </c>
      <c r="D82" s="3" t="s">
        <v>25</v>
      </c>
      <c r="E82" s="3" t="s">
        <v>8</v>
      </c>
      <c r="F82" s="3" t="s">
        <v>26</v>
      </c>
      <c r="G82" s="3" t="s">
        <v>4</v>
      </c>
      <c r="I82" s="6" t="str">
        <f>"[{""plancode"":"""&amp;A83&amp;""",""returncash"":"""&amp;B$7&amp;""",""ytable"":"""&amp;C$7&amp;""",""maturerate"":"""&amp;B$3&amp;""",""maturepmrate"":"""&amp;C$3&amp;""",""coupon"":["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83" spans="1:10">
      <c r="A83" s="4" t="str">
        <f>'EN60'!A$3</f>
        <v>EN60</v>
      </c>
      <c r="B83" s="8">
        <v>48</v>
      </c>
      <c r="C83" s="4">
        <v>1</v>
      </c>
      <c r="D83" s="4">
        <f t="shared" ref="D83:D114" si="16">IF(C83+B83=80,0,8)</f>
        <v>8</v>
      </c>
      <c r="E83" s="4" t="s">
        <v>27</v>
      </c>
      <c r="F83" s="4">
        <f t="shared" ref="F83:F114" si="17">IF(C83&gt;7, 800, C83*100)</f>
        <v>100</v>
      </c>
      <c r="G83" s="5">
        <f>'EN60'!C$3</f>
        <v>1.01</v>
      </c>
      <c r="H83" s="6" t="str">
        <f t="shared" ref="H83:H114" si="18">"INSERT INTO public.coupon ("&amp;A$11&amp;", "&amp;B$11&amp;", """&amp;C$11&amp;""", "&amp;D$11&amp;", "&amp;E$11&amp;", "&amp;F$11&amp;", "&amp;G$11&amp;") VALUES('"&amp;A83&amp;"', "&amp;B83&amp;", "&amp;C83&amp;", "&amp;D83&amp;", '"&amp;E83&amp;"',"&amp;F83&amp;", "&amp;G83&amp;");"</f>
        <v>INSERT INTO public.coupon (plancode, age, "year", couponrate, benefittype, benefitrate, premiumrate) VALUES('EN60', 48, 1, 8, 'A',100, 1.01);</v>
      </c>
      <c r="I83" s="6" t="str">
        <f t="shared" ref="I83:I114" si="19">"{""age"":"""&amp;B83&amp;""", ""year"":"""&amp;C83&amp;""", ""couponrate"":"""&amp;D83&amp;""", ""benefittype"":"""&amp;E83&amp;""", ""benefitrate"":"""&amp;F83&amp;""", """&amp;G$11&amp;""":"""&amp;G83&amp;"""}"</f>
        <v>{"age":"48", "year":"1", "couponrate":"8", "benefittype":"A", "benefitrate":"100", "premiumrate":"1.01"}</v>
      </c>
      <c r="J83" s="6" t="str">
        <f t="shared" ref="J83:J113" si="20">IF(OR(I84="]", I83="[", I83="]"), "", ",")</f>
        <v>,</v>
      </c>
    </row>
    <row r="84" spans="1:10">
      <c r="A84" s="4" t="str">
        <f>'EN60'!A$3</f>
        <v>EN60</v>
      </c>
      <c r="B84" s="4">
        <f t="shared" ref="B84:B114" si="21">B83</f>
        <v>48</v>
      </c>
      <c r="C84" s="4">
        <f t="shared" ref="C84:C114" si="22">IF(B84+C83+1&gt;80,"",C83+1)</f>
        <v>2</v>
      </c>
      <c r="D84" s="4">
        <f t="shared" si="16"/>
        <v>8</v>
      </c>
      <c r="E84" s="4" t="s">
        <v>27</v>
      </c>
      <c r="F84" s="4">
        <f t="shared" si="17"/>
        <v>200</v>
      </c>
      <c r="G84" s="5">
        <f t="shared" ref="G84:G114" si="23">G83</f>
        <v>1.01</v>
      </c>
      <c r="H84" s="6" t="str">
        <f t="shared" si="18"/>
        <v>INSERT INTO public.coupon (plancode, age, "year", couponrate, benefittype, benefitrate, premiumrate) VALUES('EN60', 48, 2, 8, 'A',200, 1.01);</v>
      </c>
      <c r="I84" s="6" t="str">
        <f t="shared" si="19"/>
        <v>{"age":"48", "year":"2", "couponrate":"8", "benefittype":"A", "benefitrate":"200", "premiumrate":"1.01"}</v>
      </c>
      <c r="J84" s="6" t="str">
        <f t="shared" si="20"/>
        <v>,</v>
      </c>
    </row>
    <row r="85" spans="1:10">
      <c r="A85" s="4" t="str">
        <f>'EN60'!A$3</f>
        <v>EN60</v>
      </c>
      <c r="B85" s="4">
        <f t="shared" si="21"/>
        <v>48</v>
      </c>
      <c r="C85" s="4">
        <f t="shared" si="22"/>
        <v>3</v>
      </c>
      <c r="D85" s="4">
        <f t="shared" si="16"/>
        <v>8</v>
      </c>
      <c r="E85" s="4" t="s">
        <v>27</v>
      </c>
      <c r="F85" s="4">
        <f t="shared" si="17"/>
        <v>300</v>
      </c>
      <c r="G85" s="5">
        <f t="shared" si="23"/>
        <v>1.01</v>
      </c>
      <c r="H85" s="6" t="str">
        <f t="shared" si="18"/>
        <v>INSERT INTO public.coupon (plancode, age, "year", couponrate, benefittype, benefitrate, premiumrate) VALUES('EN60', 48, 3, 8, 'A',300, 1.01);</v>
      </c>
      <c r="I85" s="6" t="str">
        <f t="shared" si="19"/>
        <v>{"age":"48", "year":"3", "couponrate":"8", "benefittype":"A", "benefitrate":"300", "premiumrate":"1.01"}</v>
      </c>
      <c r="J85" s="6" t="str">
        <f t="shared" si="20"/>
        <v>,</v>
      </c>
    </row>
    <row r="86" spans="1:10">
      <c r="A86" s="4" t="str">
        <f>'EN60'!A$3</f>
        <v>EN60</v>
      </c>
      <c r="B86" s="4">
        <f t="shared" si="21"/>
        <v>48</v>
      </c>
      <c r="C86" s="4">
        <f t="shared" si="22"/>
        <v>4</v>
      </c>
      <c r="D86" s="4">
        <f t="shared" si="16"/>
        <v>8</v>
      </c>
      <c r="E86" s="4" t="s">
        <v>27</v>
      </c>
      <c r="F86" s="4">
        <f t="shared" si="17"/>
        <v>400</v>
      </c>
      <c r="G86" s="5">
        <f t="shared" si="23"/>
        <v>1.01</v>
      </c>
      <c r="H86" s="6" t="str">
        <f t="shared" si="18"/>
        <v>INSERT INTO public.coupon (plancode, age, "year", couponrate, benefittype, benefitrate, premiumrate) VALUES('EN60', 48, 4, 8, 'A',400, 1.01);</v>
      </c>
      <c r="I86" s="6" t="str">
        <f t="shared" si="19"/>
        <v>{"age":"48", "year":"4", "couponrate":"8", "benefittype":"A", "benefitrate":"400", "premiumrate":"1.01"}</v>
      </c>
      <c r="J86" s="6" t="str">
        <f t="shared" si="20"/>
        <v>,</v>
      </c>
    </row>
    <row r="87" spans="1:10">
      <c r="A87" s="4" t="str">
        <f>'EN60'!A$3</f>
        <v>EN60</v>
      </c>
      <c r="B87" s="4">
        <f t="shared" si="21"/>
        <v>48</v>
      </c>
      <c r="C87" s="4">
        <f t="shared" si="22"/>
        <v>5</v>
      </c>
      <c r="D87" s="4">
        <f t="shared" si="16"/>
        <v>8</v>
      </c>
      <c r="E87" s="4" t="s">
        <v>27</v>
      </c>
      <c r="F87" s="4">
        <f t="shared" si="17"/>
        <v>500</v>
      </c>
      <c r="G87" s="5">
        <f t="shared" si="23"/>
        <v>1.01</v>
      </c>
      <c r="H87" s="6" t="str">
        <f t="shared" si="18"/>
        <v>INSERT INTO public.coupon (plancode, age, "year", couponrate, benefittype, benefitrate, premiumrate) VALUES('EN60', 48, 5, 8, 'A',500, 1.01);</v>
      </c>
      <c r="I87" s="6" t="str">
        <f t="shared" si="19"/>
        <v>{"age":"48", "year":"5", "couponrate":"8", "benefittype":"A", "benefitrate":"500", "premiumrate":"1.01"}</v>
      </c>
      <c r="J87" s="6" t="str">
        <f t="shared" si="20"/>
        <v>,</v>
      </c>
    </row>
    <row r="88" spans="1:10">
      <c r="A88" s="4" t="str">
        <f>'EN60'!A$3</f>
        <v>EN60</v>
      </c>
      <c r="B88" s="4">
        <f t="shared" si="21"/>
        <v>48</v>
      </c>
      <c r="C88" s="4">
        <f t="shared" si="22"/>
        <v>6</v>
      </c>
      <c r="D88" s="4">
        <f t="shared" si="16"/>
        <v>8</v>
      </c>
      <c r="E88" s="4" t="s">
        <v>27</v>
      </c>
      <c r="F88" s="4">
        <f t="shared" si="17"/>
        <v>600</v>
      </c>
      <c r="G88" s="5">
        <f t="shared" si="23"/>
        <v>1.01</v>
      </c>
      <c r="H88" s="6" t="str">
        <f t="shared" si="18"/>
        <v>INSERT INTO public.coupon (plancode, age, "year", couponrate, benefittype, benefitrate, premiumrate) VALUES('EN60', 48, 6, 8, 'A',600, 1.01);</v>
      </c>
      <c r="I88" s="6" t="str">
        <f t="shared" si="19"/>
        <v>{"age":"48", "year":"6", "couponrate":"8", "benefittype":"A", "benefitrate":"600", "premiumrate":"1.01"}</v>
      </c>
      <c r="J88" s="6" t="str">
        <f t="shared" si="20"/>
        <v>,</v>
      </c>
    </row>
    <row r="89" spans="1:10">
      <c r="A89" s="4" t="str">
        <f>'EN60'!A$3</f>
        <v>EN60</v>
      </c>
      <c r="B89" s="4">
        <f t="shared" si="21"/>
        <v>48</v>
      </c>
      <c r="C89" s="4">
        <f t="shared" si="22"/>
        <v>7</v>
      </c>
      <c r="D89" s="4">
        <f t="shared" si="16"/>
        <v>8</v>
      </c>
      <c r="E89" s="4" t="s">
        <v>27</v>
      </c>
      <c r="F89" s="4">
        <f t="shared" si="17"/>
        <v>700</v>
      </c>
      <c r="G89" s="5">
        <f t="shared" si="23"/>
        <v>1.01</v>
      </c>
      <c r="H89" s="6" t="str">
        <f t="shared" si="18"/>
        <v>INSERT INTO public.coupon (plancode, age, "year", couponrate, benefittype, benefitrate, premiumrate) VALUES('EN60', 48, 7, 8, 'A',700, 1.01);</v>
      </c>
      <c r="I89" s="6" t="str">
        <f t="shared" si="19"/>
        <v>{"age":"48", "year":"7", "couponrate":"8", "benefittype":"A", "benefitrate":"700", "premiumrate":"1.01"}</v>
      </c>
      <c r="J89" s="6" t="str">
        <f t="shared" si="20"/>
        <v>,</v>
      </c>
    </row>
    <row r="90" spans="1:10">
      <c r="A90" s="4" t="str">
        <f>'EN60'!A$3</f>
        <v>EN60</v>
      </c>
      <c r="B90" s="4">
        <f t="shared" si="21"/>
        <v>48</v>
      </c>
      <c r="C90" s="4">
        <f t="shared" si="22"/>
        <v>8</v>
      </c>
      <c r="D90" s="4">
        <f t="shared" si="16"/>
        <v>8</v>
      </c>
      <c r="E90" s="4" t="s">
        <v>27</v>
      </c>
      <c r="F90" s="4">
        <f t="shared" si="17"/>
        <v>800</v>
      </c>
      <c r="G90" s="5">
        <f t="shared" si="23"/>
        <v>1.01</v>
      </c>
      <c r="H90" s="6" t="str">
        <f t="shared" si="18"/>
        <v>INSERT INTO public.coupon (plancode, age, "year", couponrate, benefittype, benefitrate, premiumrate) VALUES('EN60', 48, 8, 8, 'A',800, 1.01);</v>
      </c>
      <c r="I90" s="6" t="str">
        <f t="shared" si="19"/>
        <v>{"age":"48", "year":"8", "couponrate":"8", "benefittype":"A", "benefitrate":"800", "premiumrate":"1.01"}</v>
      </c>
      <c r="J90" s="6" t="str">
        <f t="shared" si="20"/>
        <v>,</v>
      </c>
    </row>
    <row r="91" spans="1:10">
      <c r="A91" s="4" t="str">
        <f>'EN60'!A$3</f>
        <v>EN60</v>
      </c>
      <c r="B91" s="4">
        <f t="shared" si="21"/>
        <v>48</v>
      </c>
      <c r="C91" s="4">
        <f t="shared" si="22"/>
        <v>9</v>
      </c>
      <c r="D91" s="4">
        <f t="shared" si="16"/>
        <v>8</v>
      </c>
      <c r="E91" s="4" t="s">
        <v>27</v>
      </c>
      <c r="F91" s="4">
        <f t="shared" si="17"/>
        <v>800</v>
      </c>
      <c r="G91" s="5">
        <f t="shared" si="23"/>
        <v>1.01</v>
      </c>
      <c r="H91" s="6" t="str">
        <f t="shared" si="18"/>
        <v>INSERT INTO public.coupon (plancode, age, "year", couponrate, benefittype, benefitrate, premiumrate) VALUES('EN60', 48, 9, 8, 'A',800, 1.01);</v>
      </c>
      <c r="I91" s="6" t="str">
        <f t="shared" si="19"/>
        <v>{"age":"48", "year":"9", "couponrate":"8", "benefittype":"A", "benefitrate":"800", "premiumrate":"1.01"}</v>
      </c>
      <c r="J91" s="6" t="str">
        <f t="shared" si="20"/>
        <v>,</v>
      </c>
    </row>
    <row r="92" spans="1:10">
      <c r="A92" s="4" t="str">
        <f>'EN60'!A$3</f>
        <v>EN60</v>
      </c>
      <c r="B92" s="4">
        <f t="shared" si="21"/>
        <v>48</v>
      </c>
      <c r="C92" s="4">
        <f t="shared" si="22"/>
        <v>10</v>
      </c>
      <c r="D92" s="4">
        <f t="shared" si="16"/>
        <v>8</v>
      </c>
      <c r="E92" s="4" t="s">
        <v>27</v>
      </c>
      <c r="F92" s="4">
        <f t="shared" si="17"/>
        <v>800</v>
      </c>
      <c r="G92" s="5">
        <f t="shared" si="23"/>
        <v>1.01</v>
      </c>
      <c r="H92" s="6" t="str">
        <f t="shared" si="18"/>
        <v>INSERT INTO public.coupon (plancode, age, "year", couponrate, benefittype, benefitrate, premiumrate) VALUES('EN60', 48, 10, 8, 'A',800, 1.01);</v>
      </c>
      <c r="I92" s="6" t="str">
        <f t="shared" si="19"/>
        <v>{"age":"48", "year":"10", "couponrate":"8", "benefittype":"A", "benefitrate":"800", "premiumrate":"1.01"}</v>
      </c>
      <c r="J92" s="6" t="str">
        <f t="shared" si="20"/>
        <v>,</v>
      </c>
    </row>
    <row r="93" spans="1:10">
      <c r="A93" s="4" t="str">
        <f>'EN60'!A$3</f>
        <v>EN60</v>
      </c>
      <c r="B93" s="4">
        <f t="shared" si="21"/>
        <v>48</v>
      </c>
      <c r="C93" s="4">
        <f t="shared" si="22"/>
        <v>11</v>
      </c>
      <c r="D93" s="4">
        <f t="shared" si="16"/>
        <v>8</v>
      </c>
      <c r="E93" s="4" t="s">
        <v>27</v>
      </c>
      <c r="F93" s="4">
        <f t="shared" si="17"/>
        <v>800</v>
      </c>
      <c r="G93" s="5">
        <f t="shared" si="23"/>
        <v>1.01</v>
      </c>
      <c r="H93" s="6" t="str">
        <f t="shared" si="18"/>
        <v>INSERT INTO public.coupon (plancode, age, "year", couponrate, benefittype, benefitrate, premiumrate) VALUES('EN60', 48, 11, 8, 'A',800, 1.01);</v>
      </c>
      <c r="I93" s="6" t="str">
        <f t="shared" si="19"/>
        <v>{"age":"48", "year":"11", "couponrate":"8", "benefittype":"A", "benefitrate":"800", "premiumrate":"1.01"}</v>
      </c>
      <c r="J93" s="6" t="str">
        <f t="shared" si="20"/>
        <v>,</v>
      </c>
    </row>
    <row r="94" spans="1:10">
      <c r="A94" s="4" t="str">
        <f>'EN60'!A$3</f>
        <v>EN60</v>
      </c>
      <c r="B94" s="4">
        <f t="shared" si="21"/>
        <v>48</v>
      </c>
      <c r="C94" s="4">
        <f t="shared" si="22"/>
        <v>12</v>
      </c>
      <c r="D94" s="4">
        <f t="shared" si="16"/>
        <v>8</v>
      </c>
      <c r="E94" s="4" t="s">
        <v>27</v>
      </c>
      <c r="F94" s="4">
        <f t="shared" si="17"/>
        <v>800</v>
      </c>
      <c r="G94" s="5">
        <f t="shared" si="23"/>
        <v>1.01</v>
      </c>
      <c r="H94" s="6" t="str">
        <f t="shared" si="18"/>
        <v>INSERT INTO public.coupon (plancode, age, "year", couponrate, benefittype, benefitrate, premiumrate) VALUES('EN60', 48, 12, 8, 'A',800, 1.01);</v>
      </c>
      <c r="I94" s="6" t="str">
        <f t="shared" si="19"/>
        <v>{"age":"48", "year":"12", "couponrate":"8", "benefittype":"A", "benefitrate":"800", "premiumrate":"1.01"}</v>
      </c>
      <c r="J94" s="6" t="str">
        <f t="shared" si="20"/>
        <v>,</v>
      </c>
    </row>
    <row r="95" spans="1:10">
      <c r="A95" s="4" t="str">
        <f>'EN60'!A$3</f>
        <v>EN60</v>
      </c>
      <c r="B95" s="4">
        <f t="shared" si="21"/>
        <v>48</v>
      </c>
      <c r="C95" s="4">
        <f t="shared" si="22"/>
        <v>13</v>
      </c>
      <c r="D95" s="4">
        <f t="shared" si="16"/>
        <v>8</v>
      </c>
      <c r="E95" s="4" t="s">
        <v>27</v>
      </c>
      <c r="F95" s="4">
        <f t="shared" si="17"/>
        <v>800</v>
      </c>
      <c r="G95" s="5">
        <f t="shared" si="23"/>
        <v>1.01</v>
      </c>
      <c r="H95" s="6" t="str">
        <f t="shared" si="18"/>
        <v>INSERT INTO public.coupon (plancode, age, "year", couponrate, benefittype, benefitrate, premiumrate) VALUES('EN60', 48, 13, 8, 'A',800, 1.01);</v>
      </c>
      <c r="I95" s="6" t="str">
        <f t="shared" si="19"/>
        <v>{"age":"48", "year":"13", "couponrate":"8", "benefittype":"A", "benefitrate":"800", "premiumrate":"1.01"}</v>
      </c>
      <c r="J95" s="6" t="str">
        <f t="shared" si="20"/>
        <v>,</v>
      </c>
    </row>
    <row r="96" spans="1:10">
      <c r="A96" s="4" t="str">
        <f>'EN60'!A$3</f>
        <v>EN60</v>
      </c>
      <c r="B96" s="4">
        <f t="shared" si="21"/>
        <v>48</v>
      </c>
      <c r="C96" s="4">
        <f t="shared" si="22"/>
        <v>14</v>
      </c>
      <c r="D96" s="4">
        <f t="shared" si="16"/>
        <v>8</v>
      </c>
      <c r="E96" s="4" t="s">
        <v>27</v>
      </c>
      <c r="F96" s="4">
        <f t="shared" si="17"/>
        <v>800</v>
      </c>
      <c r="G96" s="5">
        <f t="shared" si="23"/>
        <v>1.01</v>
      </c>
      <c r="H96" s="6" t="str">
        <f t="shared" si="18"/>
        <v>INSERT INTO public.coupon (plancode, age, "year", couponrate, benefittype, benefitrate, premiumrate) VALUES('EN60', 48, 14, 8, 'A',800, 1.01);</v>
      </c>
      <c r="I96" s="6" t="str">
        <f t="shared" si="19"/>
        <v>{"age":"48", "year":"14", "couponrate":"8", "benefittype":"A", "benefitrate":"800", "premiumrate":"1.01"}</v>
      </c>
      <c r="J96" s="6" t="str">
        <f t="shared" si="20"/>
        <v>,</v>
      </c>
    </row>
    <row r="97" spans="1:10">
      <c r="A97" s="4" t="str">
        <f>'EN60'!A$3</f>
        <v>EN60</v>
      </c>
      <c r="B97" s="4">
        <f t="shared" si="21"/>
        <v>48</v>
      </c>
      <c r="C97" s="4">
        <f t="shared" si="22"/>
        <v>15</v>
      </c>
      <c r="D97" s="4">
        <f t="shared" si="16"/>
        <v>8</v>
      </c>
      <c r="E97" s="4" t="s">
        <v>27</v>
      </c>
      <c r="F97" s="4">
        <f t="shared" si="17"/>
        <v>800</v>
      </c>
      <c r="G97" s="5">
        <f t="shared" si="23"/>
        <v>1.01</v>
      </c>
      <c r="H97" s="6" t="str">
        <f t="shared" si="18"/>
        <v>INSERT INTO public.coupon (plancode, age, "year", couponrate, benefittype, benefitrate, premiumrate) VALUES('EN60', 48, 15, 8, 'A',800, 1.01);</v>
      </c>
      <c r="I97" s="6" t="str">
        <f t="shared" si="19"/>
        <v>{"age":"48", "year":"15", "couponrate":"8", "benefittype":"A", "benefitrate":"800", "premiumrate":"1.01"}</v>
      </c>
      <c r="J97" s="6" t="str">
        <f t="shared" si="20"/>
        <v>,</v>
      </c>
    </row>
    <row r="98" spans="1:10">
      <c r="A98" s="4" t="str">
        <f>'EN60'!A$3</f>
        <v>EN60</v>
      </c>
      <c r="B98" s="4">
        <f t="shared" si="21"/>
        <v>48</v>
      </c>
      <c r="C98" s="4">
        <f t="shared" si="22"/>
        <v>16</v>
      </c>
      <c r="D98" s="4">
        <f t="shared" si="16"/>
        <v>8</v>
      </c>
      <c r="E98" s="4" t="s">
        <v>27</v>
      </c>
      <c r="F98" s="4">
        <f t="shared" si="17"/>
        <v>800</v>
      </c>
      <c r="G98" s="5">
        <f t="shared" si="23"/>
        <v>1.01</v>
      </c>
      <c r="H98" s="6" t="str">
        <f t="shared" si="18"/>
        <v>INSERT INTO public.coupon (plancode, age, "year", couponrate, benefittype, benefitrate, premiumrate) VALUES('EN60', 48, 16, 8, 'A',800, 1.01);</v>
      </c>
      <c r="I98" s="6" t="str">
        <f t="shared" si="19"/>
        <v>{"age":"48", "year":"16", "couponrate":"8", "benefittype":"A", "benefitrate":"800", "premiumrate":"1.01"}</v>
      </c>
      <c r="J98" s="6" t="str">
        <f t="shared" si="20"/>
        <v>,</v>
      </c>
    </row>
    <row r="99" spans="1:10">
      <c r="A99" s="4" t="str">
        <f>'EN60'!A$3</f>
        <v>EN60</v>
      </c>
      <c r="B99" s="4">
        <f t="shared" si="21"/>
        <v>48</v>
      </c>
      <c r="C99" s="4">
        <f t="shared" si="22"/>
        <v>17</v>
      </c>
      <c r="D99" s="4">
        <f t="shared" si="16"/>
        <v>8</v>
      </c>
      <c r="E99" s="4" t="s">
        <v>27</v>
      </c>
      <c r="F99" s="4">
        <f t="shared" si="17"/>
        <v>800</v>
      </c>
      <c r="G99" s="5">
        <f t="shared" si="23"/>
        <v>1.01</v>
      </c>
      <c r="H99" s="6" t="str">
        <f t="shared" si="18"/>
        <v>INSERT INTO public.coupon (plancode, age, "year", couponrate, benefittype, benefitrate, premiumrate) VALUES('EN60', 48, 17, 8, 'A',800, 1.01);</v>
      </c>
      <c r="I99" s="6" t="str">
        <f t="shared" si="19"/>
        <v>{"age":"48", "year":"17", "couponrate":"8", "benefittype":"A", "benefitrate":"800", "premiumrate":"1.01"}</v>
      </c>
      <c r="J99" s="6" t="str">
        <f t="shared" si="20"/>
        <v>,</v>
      </c>
    </row>
    <row r="100" spans="1:10">
      <c r="A100" s="4" t="str">
        <f>'EN60'!A$3</f>
        <v>EN60</v>
      </c>
      <c r="B100" s="4">
        <f t="shared" si="21"/>
        <v>48</v>
      </c>
      <c r="C100" s="4">
        <f t="shared" si="22"/>
        <v>18</v>
      </c>
      <c r="D100" s="4">
        <f t="shared" si="16"/>
        <v>8</v>
      </c>
      <c r="E100" s="4" t="s">
        <v>27</v>
      </c>
      <c r="F100" s="4">
        <f t="shared" si="17"/>
        <v>800</v>
      </c>
      <c r="G100" s="5">
        <f t="shared" si="23"/>
        <v>1.01</v>
      </c>
      <c r="H100" s="6" t="str">
        <f t="shared" si="18"/>
        <v>INSERT INTO public.coupon (plancode, age, "year", couponrate, benefittype, benefitrate, premiumrate) VALUES('EN60', 48, 18, 8, 'A',800, 1.01);</v>
      </c>
      <c r="I100" s="6" t="str">
        <f t="shared" si="19"/>
        <v>{"age":"48", "year":"18", "couponrate":"8", "benefittype":"A", "benefitrate":"800", "premiumrate":"1.01"}</v>
      </c>
      <c r="J100" s="6" t="str">
        <f t="shared" si="20"/>
        <v>,</v>
      </c>
    </row>
    <row r="101" spans="1:10">
      <c r="A101" s="4" t="str">
        <f>'EN60'!A$3</f>
        <v>EN60</v>
      </c>
      <c r="B101" s="4">
        <f t="shared" si="21"/>
        <v>48</v>
      </c>
      <c r="C101" s="4">
        <f t="shared" si="22"/>
        <v>19</v>
      </c>
      <c r="D101" s="4">
        <f t="shared" si="16"/>
        <v>8</v>
      </c>
      <c r="E101" s="4" t="s">
        <v>27</v>
      </c>
      <c r="F101" s="4">
        <f t="shared" si="17"/>
        <v>800</v>
      </c>
      <c r="G101" s="5">
        <f t="shared" si="23"/>
        <v>1.01</v>
      </c>
      <c r="H101" s="6" t="str">
        <f t="shared" si="18"/>
        <v>INSERT INTO public.coupon (plancode, age, "year", couponrate, benefittype, benefitrate, premiumrate) VALUES('EN60', 48, 19, 8, 'A',800, 1.01);</v>
      </c>
      <c r="I101" s="6" t="str">
        <f t="shared" si="19"/>
        <v>{"age":"48", "year":"19", "couponrate":"8", "benefittype":"A", "benefitrate":"800", "premiumrate":"1.01"}</v>
      </c>
      <c r="J101" s="6" t="str">
        <f t="shared" si="20"/>
        <v>,</v>
      </c>
    </row>
    <row r="102" spans="1:10">
      <c r="A102" s="4" t="str">
        <f>'EN60'!A$3</f>
        <v>EN60</v>
      </c>
      <c r="B102" s="4">
        <f t="shared" si="21"/>
        <v>48</v>
      </c>
      <c r="C102" s="4">
        <f t="shared" si="22"/>
        <v>20</v>
      </c>
      <c r="D102" s="4">
        <f t="shared" si="16"/>
        <v>8</v>
      </c>
      <c r="E102" s="4" t="s">
        <v>27</v>
      </c>
      <c r="F102" s="4">
        <f t="shared" si="17"/>
        <v>800</v>
      </c>
      <c r="G102" s="5">
        <f t="shared" si="23"/>
        <v>1.01</v>
      </c>
      <c r="H102" s="6" t="str">
        <f t="shared" si="18"/>
        <v>INSERT INTO public.coupon (plancode, age, "year", couponrate, benefittype, benefitrate, premiumrate) VALUES('EN60', 48, 20, 8, 'A',800, 1.01);</v>
      </c>
      <c r="I102" s="6" t="str">
        <f t="shared" si="19"/>
        <v>{"age":"48", "year":"20", "couponrate":"8", "benefittype":"A", "benefitrate":"800", "premiumrate":"1.01"}</v>
      </c>
      <c r="J102" s="6" t="str">
        <f t="shared" si="20"/>
        <v>,</v>
      </c>
    </row>
    <row r="103" spans="1:10">
      <c r="A103" s="4" t="str">
        <f>'EN60'!A$3</f>
        <v>EN60</v>
      </c>
      <c r="B103" s="4">
        <f t="shared" si="21"/>
        <v>48</v>
      </c>
      <c r="C103" s="4">
        <f t="shared" si="22"/>
        <v>21</v>
      </c>
      <c r="D103" s="4">
        <f t="shared" si="16"/>
        <v>8</v>
      </c>
      <c r="E103" s="4" t="s">
        <v>27</v>
      </c>
      <c r="F103" s="4">
        <f t="shared" si="17"/>
        <v>800</v>
      </c>
      <c r="G103" s="5">
        <f t="shared" si="23"/>
        <v>1.01</v>
      </c>
      <c r="H103" s="6" t="str">
        <f t="shared" si="18"/>
        <v>INSERT INTO public.coupon (plancode, age, "year", couponrate, benefittype, benefitrate, premiumrate) VALUES('EN60', 48, 21, 8, 'A',800, 1.01);</v>
      </c>
      <c r="I103" s="6" t="str">
        <f t="shared" si="19"/>
        <v>{"age":"48", "year":"21", "couponrate":"8", "benefittype":"A", "benefitrate":"800", "premiumrate":"1.01"}</v>
      </c>
      <c r="J103" s="6" t="str">
        <f t="shared" si="20"/>
        <v>,</v>
      </c>
    </row>
    <row r="104" spans="1:10">
      <c r="A104" s="4" t="str">
        <f>'EN60'!A$3</f>
        <v>EN60</v>
      </c>
      <c r="B104" s="4">
        <f t="shared" si="21"/>
        <v>48</v>
      </c>
      <c r="C104" s="4">
        <f t="shared" si="22"/>
        <v>22</v>
      </c>
      <c r="D104" s="4">
        <f t="shared" si="16"/>
        <v>8</v>
      </c>
      <c r="E104" s="4" t="s">
        <v>27</v>
      </c>
      <c r="F104" s="4">
        <f t="shared" si="17"/>
        <v>800</v>
      </c>
      <c r="G104" s="5">
        <f t="shared" si="23"/>
        <v>1.01</v>
      </c>
      <c r="H104" s="6" t="str">
        <f t="shared" si="18"/>
        <v>INSERT INTO public.coupon (plancode, age, "year", couponrate, benefittype, benefitrate, premiumrate) VALUES('EN60', 48, 22, 8, 'A',800, 1.01);</v>
      </c>
      <c r="I104" s="6" t="str">
        <f t="shared" si="19"/>
        <v>{"age":"48", "year":"22", "couponrate":"8", "benefittype":"A", "benefitrate":"800", "premiumrate":"1.01"}</v>
      </c>
      <c r="J104" s="6" t="str">
        <f t="shared" si="20"/>
        <v>,</v>
      </c>
    </row>
    <row r="105" spans="1:10">
      <c r="A105" s="4" t="str">
        <f>'EN60'!A$3</f>
        <v>EN60</v>
      </c>
      <c r="B105" s="4">
        <f t="shared" si="21"/>
        <v>48</v>
      </c>
      <c r="C105" s="4">
        <f t="shared" si="22"/>
        <v>23</v>
      </c>
      <c r="D105" s="4">
        <f t="shared" si="16"/>
        <v>8</v>
      </c>
      <c r="E105" s="4" t="s">
        <v>27</v>
      </c>
      <c r="F105" s="4">
        <f t="shared" si="17"/>
        <v>800</v>
      </c>
      <c r="G105" s="5">
        <f t="shared" si="23"/>
        <v>1.01</v>
      </c>
      <c r="H105" s="6" t="str">
        <f t="shared" si="18"/>
        <v>INSERT INTO public.coupon (plancode, age, "year", couponrate, benefittype, benefitrate, premiumrate) VALUES('EN60', 48, 23, 8, 'A',800, 1.01);</v>
      </c>
      <c r="I105" s="6" t="str">
        <f t="shared" si="19"/>
        <v>{"age":"48", "year":"23", "couponrate":"8", "benefittype":"A", "benefitrate":"800", "premiumrate":"1.01"}</v>
      </c>
      <c r="J105" s="6" t="str">
        <f t="shared" si="20"/>
        <v>,</v>
      </c>
    </row>
    <row r="106" spans="1:10">
      <c r="A106" s="4" t="str">
        <f>'EN60'!A$3</f>
        <v>EN60</v>
      </c>
      <c r="B106" s="4">
        <f t="shared" si="21"/>
        <v>48</v>
      </c>
      <c r="C106" s="4">
        <f t="shared" si="22"/>
        <v>24</v>
      </c>
      <c r="D106" s="4">
        <f t="shared" si="16"/>
        <v>8</v>
      </c>
      <c r="E106" s="4" t="s">
        <v>27</v>
      </c>
      <c r="F106" s="4">
        <f t="shared" si="17"/>
        <v>800</v>
      </c>
      <c r="G106" s="5">
        <f t="shared" si="23"/>
        <v>1.01</v>
      </c>
      <c r="H106" s="6" t="str">
        <f t="shared" si="18"/>
        <v>INSERT INTO public.coupon (plancode, age, "year", couponrate, benefittype, benefitrate, premiumrate) VALUES('EN60', 48, 24, 8, 'A',800, 1.01);</v>
      </c>
      <c r="I106" s="6" t="str">
        <f t="shared" si="19"/>
        <v>{"age":"48", "year":"24", "couponrate":"8", "benefittype":"A", "benefitrate":"800", "premiumrate":"1.01"}</v>
      </c>
      <c r="J106" s="6" t="str">
        <f t="shared" si="20"/>
        <v>,</v>
      </c>
    </row>
    <row r="107" spans="1:10">
      <c r="A107" s="4" t="str">
        <f>'EN60'!A$3</f>
        <v>EN60</v>
      </c>
      <c r="B107" s="4">
        <f t="shared" si="21"/>
        <v>48</v>
      </c>
      <c r="C107" s="4">
        <f t="shared" si="22"/>
        <v>25</v>
      </c>
      <c r="D107" s="4">
        <f t="shared" si="16"/>
        <v>8</v>
      </c>
      <c r="E107" s="4" t="s">
        <v>27</v>
      </c>
      <c r="F107" s="4">
        <f t="shared" si="17"/>
        <v>800</v>
      </c>
      <c r="G107" s="5">
        <f t="shared" si="23"/>
        <v>1.01</v>
      </c>
      <c r="H107" s="6" t="str">
        <f t="shared" si="18"/>
        <v>INSERT INTO public.coupon (plancode, age, "year", couponrate, benefittype, benefitrate, premiumrate) VALUES('EN60', 48, 25, 8, 'A',800, 1.01);</v>
      </c>
      <c r="I107" s="6" t="str">
        <f t="shared" si="19"/>
        <v>{"age":"48", "year":"25", "couponrate":"8", "benefittype":"A", "benefitrate":"800", "premiumrate":"1.01"}</v>
      </c>
      <c r="J107" s="6" t="str">
        <f t="shared" si="20"/>
        <v>,</v>
      </c>
    </row>
    <row r="108" spans="1:10">
      <c r="A108" s="4" t="str">
        <f>'EN60'!A$3</f>
        <v>EN60</v>
      </c>
      <c r="B108" s="4">
        <f t="shared" si="21"/>
        <v>48</v>
      </c>
      <c r="C108" s="4">
        <f t="shared" si="22"/>
        <v>26</v>
      </c>
      <c r="D108" s="4">
        <f t="shared" si="16"/>
        <v>8</v>
      </c>
      <c r="E108" s="4" t="s">
        <v>27</v>
      </c>
      <c r="F108" s="4">
        <f t="shared" si="17"/>
        <v>800</v>
      </c>
      <c r="G108" s="5">
        <f t="shared" si="23"/>
        <v>1.01</v>
      </c>
      <c r="H108" s="6" t="str">
        <f t="shared" si="18"/>
        <v>INSERT INTO public.coupon (plancode, age, "year", couponrate, benefittype, benefitrate, premiumrate) VALUES('EN60', 48, 26, 8, 'A',800, 1.01);</v>
      </c>
      <c r="I108" s="6" t="str">
        <f t="shared" si="19"/>
        <v>{"age":"48", "year":"26", "couponrate":"8", "benefittype":"A", "benefitrate":"800", "premiumrate":"1.01"}</v>
      </c>
      <c r="J108" s="6" t="str">
        <f t="shared" si="20"/>
        <v>,</v>
      </c>
    </row>
    <row r="109" spans="1:10">
      <c r="A109" s="4" t="str">
        <f>'EN60'!A$3</f>
        <v>EN60</v>
      </c>
      <c r="B109" s="4">
        <f t="shared" si="21"/>
        <v>48</v>
      </c>
      <c r="C109" s="4">
        <f t="shared" si="22"/>
        <v>27</v>
      </c>
      <c r="D109" s="4">
        <f t="shared" si="16"/>
        <v>8</v>
      </c>
      <c r="E109" s="4" t="s">
        <v>27</v>
      </c>
      <c r="F109" s="4">
        <f t="shared" si="17"/>
        <v>800</v>
      </c>
      <c r="G109" s="5">
        <f t="shared" si="23"/>
        <v>1.01</v>
      </c>
      <c r="H109" s="6" t="str">
        <f t="shared" si="18"/>
        <v>INSERT INTO public.coupon (plancode, age, "year", couponrate, benefittype, benefitrate, premiumrate) VALUES('EN60', 48, 27, 8, 'A',800, 1.01);</v>
      </c>
      <c r="I109" s="6" t="str">
        <f t="shared" si="19"/>
        <v>{"age":"48", "year":"27", "couponrate":"8", "benefittype":"A", "benefitrate":"800", "premiumrate":"1.01"}</v>
      </c>
      <c r="J109" s="6" t="str">
        <f t="shared" si="20"/>
        <v>,</v>
      </c>
    </row>
    <row r="110" spans="1:10">
      <c r="A110" s="4" t="str">
        <f>'EN60'!A$3</f>
        <v>EN60</v>
      </c>
      <c r="B110" s="4">
        <f t="shared" si="21"/>
        <v>48</v>
      </c>
      <c r="C110" s="4">
        <f t="shared" si="22"/>
        <v>28</v>
      </c>
      <c r="D110" s="4">
        <f t="shared" si="16"/>
        <v>8</v>
      </c>
      <c r="E110" s="4" t="s">
        <v>27</v>
      </c>
      <c r="F110" s="4">
        <f t="shared" si="17"/>
        <v>800</v>
      </c>
      <c r="G110" s="5">
        <f t="shared" si="23"/>
        <v>1.01</v>
      </c>
      <c r="H110" s="6" t="str">
        <f t="shared" si="18"/>
        <v>INSERT INTO public.coupon (plancode, age, "year", couponrate, benefittype, benefitrate, premiumrate) VALUES('EN60', 48, 28, 8, 'A',800, 1.01);</v>
      </c>
      <c r="I110" s="6" t="str">
        <f t="shared" si="19"/>
        <v>{"age":"48", "year":"28", "couponrate":"8", "benefittype":"A", "benefitrate":"800", "premiumrate":"1.01"}</v>
      </c>
      <c r="J110" s="6" t="str">
        <f t="shared" si="20"/>
        <v>,</v>
      </c>
    </row>
    <row r="111" spans="1:10">
      <c r="A111" s="4" t="str">
        <f>'EN60'!A$3</f>
        <v>EN60</v>
      </c>
      <c r="B111" s="4">
        <f t="shared" si="21"/>
        <v>48</v>
      </c>
      <c r="C111" s="4">
        <f t="shared" si="22"/>
        <v>29</v>
      </c>
      <c r="D111" s="4">
        <f t="shared" si="16"/>
        <v>8</v>
      </c>
      <c r="E111" s="4" t="s">
        <v>27</v>
      </c>
      <c r="F111" s="4">
        <f t="shared" si="17"/>
        <v>800</v>
      </c>
      <c r="G111" s="5">
        <f t="shared" si="23"/>
        <v>1.01</v>
      </c>
      <c r="H111" s="6" t="str">
        <f t="shared" si="18"/>
        <v>INSERT INTO public.coupon (plancode, age, "year", couponrate, benefittype, benefitrate, premiumrate) VALUES('EN60', 48, 29, 8, 'A',800, 1.01);</v>
      </c>
      <c r="I111" s="6" t="str">
        <f t="shared" si="19"/>
        <v>{"age":"48", "year":"29", "couponrate":"8", "benefittype":"A", "benefitrate":"800", "premiumrate":"1.01"}</v>
      </c>
      <c r="J111" s="6" t="str">
        <f t="shared" si="20"/>
        <v>,</v>
      </c>
    </row>
    <row r="112" spans="1:10">
      <c r="A112" s="4" t="str">
        <f>'EN60'!A$3</f>
        <v>EN60</v>
      </c>
      <c r="B112" s="4">
        <f t="shared" si="21"/>
        <v>48</v>
      </c>
      <c r="C112" s="4">
        <f t="shared" si="22"/>
        <v>30</v>
      </c>
      <c r="D112" s="4">
        <f t="shared" si="16"/>
        <v>8</v>
      </c>
      <c r="E112" s="4" t="s">
        <v>27</v>
      </c>
      <c r="F112" s="4">
        <f t="shared" si="17"/>
        <v>800</v>
      </c>
      <c r="G112" s="5">
        <f t="shared" si="23"/>
        <v>1.01</v>
      </c>
      <c r="H112" s="6" t="str">
        <f t="shared" si="18"/>
        <v>INSERT INTO public.coupon (plancode, age, "year", couponrate, benefittype, benefitrate, premiumrate) VALUES('EN60', 48, 30, 8, 'A',800, 1.01);</v>
      </c>
      <c r="I112" s="6" t="str">
        <f t="shared" si="19"/>
        <v>{"age":"48", "year":"30", "couponrate":"8", "benefittype":"A", "benefitrate":"800", "premiumrate":"1.01"}</v>
      </c>
      <c r="J112" s="6" t="str">
        <f t="shared" si="20"/>
        <v>,</v>
      </c>
    </row>
    <row r="113" spans="1:10">
      <c r="A113" s="4" t="str">
        <f>'EN60'!A$3</f>
        <v>EN60</v>
      </c>
      <c r="B113" s="4">
        <f t="shared" si="21"/>
        <v>48</v>
      </c>
      <c r="C113" s="4">
        <f t="shared" si="22"/>
        <v>31</v>
      </c>
      <c r="D113" s="4">
        <f t="shared" si="16"/>
        <v>8</v>
      </c>
      <c r="E113" s="4" t="s">
        <v>27</v>
      </c>
      <c r="F113" s="4">
        <f t="shared" si="17"/>
        <v>800</v>
      </c>
      <c r="G113" s="5">
        <f t="shared" si="23"/>
        <v>1.01</v>
      </c>
      <c r="H113" s="6" t="str">
        <f t="shared" si="18"/>
        <v>INSERT INTO public.coupon (plancode, age, "year", couponrate, benefittype, benefitrate, premiumrate) VALUES('EN60', 48, 31, 8, 'A',800, 1.01);</v>
      </c>
      <c r="I113" s="6" t="str">
        <f t="shared" si="19"/>
        <v>{"age":"48", "year":"31", "couponrate":"8", "benefittype":"A", "benefitrate":"800", "premiumrate":"1.01"}</v>
      </c>
      <c r="J113" s="6" t="str">
        <f t="shared" si="20"/>
        <v>,</v>
      </c>
    </row>
    <row r="114" spans="1:10">
      <c r="A114" s="4" t="str">
        <f>'EN60'!A$3</f>
        <v>EN60</v>
      </c>
      <c r="B114" s="4">
        <f t="shared" si="21"/>
        <v>48</v>
      </c>
      <c r="C114" s="4">
        <f t="shared" si="22"/>
        <v>32</v>
      </c>
      <c r="D114" s="4">
        <f t="shared" si="16"/>
        <v>0</v>
      </c>
      <c r="E114" s="4" t="s">
        <v>27</v>
      </c>
      <c r="F114" s="4">
        <f t="shared" si="17"/>
        <v>800</v>
      </c>
      <c r="G114" s="5">
        <f t="shared" si="23"/>
        <v>1.01</v>
      </c>
      <c r="H114" s="6" t="str">
        <f t="shared" si="18"/>
        <v>INSERT INTO public.coupon (plancode, age, "year", couponrate, benefittype, benefitrate, premiumrate) VALUES('EN60', 48, 32, 0, 'A',800, 1.01);</v>
      </c>
      <c r="I114" s="6" t="str">
        <f t="shared" si="19"/>
        <v>{"age":"48", "year":"32", "couponrate":"0", "benefittype":"A", "benefitrate":"800", "premiumrate":"1.01"}</v>
      </c>
    </row>
    <row r="115" spans="1:10">
      <c r="C115" s="6"/>
      <c r="I115" s="6" t="s">
        <v>28</v>
      </c>
    </row>
    <row r="116" spans="1:10">
      <c r="A116" s="3" t="s">
        <v>2</v>
      </c>
      <c r="B116" s="3" t="s">
        <v>23</v>
      </c>
      <c r="C116" s="3" t="s">
        <v>24</v>
      </c>
      <c r="D116" s="3" t="s">
        <v>25</v>
      </c>
      <c r="E116" s="3" t="s">
        <v>8</v>
      </c>
      <c r="F116" s="3" t="s">
        <v>26</v>
      </c>
      <c r="G116" s="3" t="s">
        <v>4</v>
      </c>
      <c r="I116" s="6" t="str">
        <f>"[{""plancode"":"""&amp;A117&amp;""",""returncash"":"""&amp;B$7&amp;""",""ytable"":"""&amp;C$7&amp;""",""maturerate"":"""&amp;B$3&amp;""",""maturepmrate"":"""&amp;C$3&amp;""",""coupon"":["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117" spans="1:10">
      <c r="A117" s="4" t="str">
        <f>'EN60'!A$3</f>
        <v>EN60</v>
      </c>
      <c r="B117" s="8">
        <v>49</v>
      </c>
      <c r="C117" s="4">
        <v>1</v>
      </c>
      <c r="D117" s="4">
        <f t="shared" ref="D117:D147" si="24">IF(C117+B117=80,0,8)</f>
        <v>8</v>
      </c>
      <c r="E117" s="4" t="s">
        <v>27</v>
      </c>
      <c r="F117" s="4">
        <f t="shared" ref="F117:F147" si="25">IF(C117&gt;7, 800, C117*100)</f>
        <v>100</v>
      </c>
      <c r="G117" s="5">
        <f>'EN60'!C$3</f>
        <v>1.01</v>
      </c>
      <c r="H117" s="6" t="str">
        <f t="shared" ref="H117:H147" si="26">"INSERT INTO public.coupon ("&amp;A$11&amp;", "&amp;B$11&amp;", """&amp;C$11&amp;""", "&amp;D$11&amp;", "&amp;E$11&amp;", "&amp;F$11&amp;", "&amp;G$11&amp;") VALUES('"&amp;A117&amp;"', "&amp;B117&amp;", "&amp;C117&amp;", "&amp;D117&amp;", '"&amp;E117&amp;"',"&amp;F117&amp;", "&amp;G117&amp;");"</f>
        <v>INSERT INTO public.coupon (plancode, age, "year", couponrate, benefittype, benefitrate, premiumrate) VALUES('EN60', 49, 1, 8, 'A',100, 1.01);</v>
      </c>
      <c r="I117" s="6" t="str">
        <f t="shared" ref="I117:I147" si="27">"{""age"":"""&amp;B117&amp;""", ""year"":"""&amp;C117&amp;""", ""couponrate"":"""&amp;D117&amp;""", ""benefittype"":"""&amp;E117&amp;""", ""benefitrate"":"""&amp;F117&amp;""", """&amp;G$11&amp;""":"""&amp;G117&amp;"""}"</f>
        <v>{"age":"49", "year":"1", "couponrate":"8", "benefittype":"A", "benefitrate":"100", "premiumrate":"1.01"}</v>
      </c>
      <c r="J117" s="6" t="str">
        <f t="shared" ref="J117:J146" si="28">IF(OR(I118="]", I117="[", I117="]"), "", ",")</f>
        <v>,</v>
      </c>
    </row>
    <row r="118" spans="1:10">
      <c r="A118" s="4" t="str">
        <f>'EN60'!A$3</f>
        <v>EN60</v>
      </c>
      <c r="B118" s="4">
        <f t="shared" ref="B118:B147" si="29">B117</f>
        <v>49</v>
      </c>
      <c r="C118" s="4">
        <f t="shared" ref="C118:C147" si="30">IF(B118+C117+1&gt;80,"",C117+1)</f>
        <v>2</v>
      </c>
      <c r="D118" s="4">
        <f t="shared" si="24"/>
        <v>8</v>
      </c>
      <c r="E118" s="4" t="s">
        <v>27</v>
      </c>
      <c r="F118" s="4">
        <f t="shared" si="25"/>
        <v>200</v>
      </c>
      <c r="G118" s="5">
        <f t="shared" ref="G118:G147" si="31">G117</f>
        <v>1.01</v>
      </c>
      <c r="H118" s="6" t="str">
        <f t="shared" si="26"/>
        <v>INSERT INTO public.coupon (plancode, age, "year", couponrate, benefittype, benefitrate, premiumrate) VALUES('EN60', 49, 2, 8, 'A',200, 1.01);</v>
      </c>
      <c r="I118" s="6" t="str">
        <f t="shared" si="27"/>
        <v>{"age":"49", "year":"2", "couponrate":"8", "benefittype":"A", "benefitrate":"200", "premiumrate":"1.01"}</v>
      </c>
      <c r="J118" s="6" t="str">
        <f t="shared" si="28"/>
        <v>,</v>
      </c>
    </row>
    <row r="119" spans="1:10">
      <c r="A119" s="4" t="str">
        <f>'EN60'!A$3</f>
        <v>EN60</v>
      </c>
      <c r="B119" s="4">
        <f t="shared" si="29"/>
        <v>49</v>
      </c>
      <c r="C119" s="4">
        <f t="shared" si="30"/>
        <v>3</v>
      </c>
      <c r="D119" s="4">
        <f t="shared" si="24"/>
        <v>8</v>
      </c>
      <c r="E119" s="4" t="s">
        <v>27</v>
      </c>
      <c r="F119" s="4">
        <f t="shared" si="25"/>
        <v>300</v>
      </c>
      <c r="G119" s="5">
        <f t="shared" si="31"/>
        <v>1.01</v>
      </c>
      <c r="H119" s="6" t="str">
        <f t="shared" si="26"/>
        <v>INSERT INTO public.coupon (plancode, age, "year", couponrate, benefittype, benefitrate, premiumrate) VALUES('EN60', 49, 3, 8, 'A',300, 1.01);</v>
      </c>
      <c r="I119" s="6" t="str">
        <f t="shared" si="27"/>
        <v>{"age":"49", "year":"3", "couponrate":"8", "benefittype":"A", "benefitrate":"300", "premiumrate":"1.01"}</v>
      </c>
      <c r="J119" s="6" t="str">
        <f t="shared" si="28"/>
        <v>,</v>
      </c>
    </row>
    <row r="120" spans="1:10">
      <c r="A120" s="4" t="str">
        <f>'EN60'!A$3</f>
        <v>EN60</v>
      </c>
      <c r="B120" s="4">
        <f t="shared" si="29"/>
        <v>49</v>
      </c>
      <c r="C120" s="4">
        <f t="shared" si="30"/>
        <v>4</v>
      </c>
      <c r="D120" s="4">
        <f t="shared" si="24"/>
        <v>8</v>
      </c>
      <c r="E120" s="4" t="s">
        <v>27</v>
      </c>
      <c r="F120" s="4">
        <f t="shared" si="25"/>
        <v>400</v>
      </c>
      <c r="G120" s="5">
        <f t="shared" si="31"/>
        <v>1.01</v>
      </c>
      <c r="H120" s="6" t="str">
        <f t="shared" si="26"/>
        <v>INSERT INTO public.coupon (plancode, age, "year", couponrate, benefittype, benefitrate, premiumrate) VALUES('EN60', 49, 4, 8, 'A',400, 1.01);</v>
      </c>
      <c r="I120" s="6" t="str">
        <f t="shared" si="27"/>
        <v>{"age":"49", "year":"4", "couponrate":"8", "benefittype":"A", "benefitrate":"400", "premiumrate":"1.01"}</v>
      </c>
      <c r="J120" s="6" t="str">
        <f t="shared" si="28"/>
        <v>,</v>
      </c>
    </row>
    <row r="121" spans="1:10">
      <c r="A121" s="4" t="str">
        <f>'EN60'!A$3</f>
        <v>EN60</v>
      </c>
      <c r="B121" s="4">
        <f t="shared" si="29"/>
        <v>49</v>
      </c>
      <c r="C121" s="4">
        <f t="shared" si="30"/>
        <v>5</v>
      </c>
      <c r="D121" s="4">
        <f t="shared" si="24"/>
        <v>8</v>
      </c>
      <c r="E121" s="4" t="s">
        <v>27</v>
      </c>
      <c r="F121" s="4">
        <f t="shared" si="25"/>
        <v>500</v>
      </c>
      <c r="G121" s="5">
        <f t="shared" si="31"/>
        <v>1.01</v>
      </c>
      <c r="H121" s="6" t="str">
        <f t="shared" si="26"/>
        <v>INSERT INTO public.coupon (plancode, age, "year", couponrate, benefittype, benefitrate, premiumrate) VALUES('EN60', 49, 5, 8, 'A',500, 1.01);</v>
      </c>
      <c r="I121" s="6" t="str">
        <f t="shared" si="27"/>
        <v>{"age":"49", "year":"5", "couponrate":"8", "benefittype":"A", "benefitrate":"500", "premiumrate":"1.01"}</v>
      </c>
      <c r="J121" s="6" t="str">
        <f t="shared" si="28"/>
        <v>,</v>
      </c>
    </row>
    <row r="122" spans="1:10">
      <c r="A122" s="4" t="str">
        <f>'EN60'!A$3</f>
        <v>EN60</v>
      </c>
      <c r="B122" s="4">
        <f t="shared" si="29"/>
        <v>49</v>
      </c>
      <c r="C122" s="4">
        <f t="shared" si="30"/>
        <v>6</v>
      </c>
      <c r="D122" s="4">
        <f t="shared" si="24"/>
        <v>8</v>
      </c>
      <c r="E122" s="4" t="s">
        <v>27</v>
      </c>
      <c r="F122" s="4">
        <f t="shared" si="25"/>
        <v>600</v>
      </c>
      <c r="G122" s="5">
        <f t="shared" si="31"/>
        <v>1.01</v>
      </c>
      <c r="H122" s="6" t="str">
        <f t="shared" si="26"/>
        <v>INSERT INTO public.coupon (plancode, age, "year", couponrate, benefittype, benefitrate, premiumrate) VALUES('EN60', 49, 6, 8, 'A',600, 1.01);</v>
      </c>
      <c r="I122" s="6" t="str">
        <f t="shared" si="27"/>
        <v>{"age":"49", "year":"6", "couponrate":"8", "benefittype":"A", "benefitrate":"600", "premiumrate":"1.01"}</v>
      </c>
      <c r="J122" s="6" t="str">
        <f t="shared" si="28"/>
        <v>,</v>
      </c>
    </row>
    <row r="123" spans="1:10">
      <c r="A123" s="4" t="str">
        <f>'EN60'!A$3</f>
        <v>EN60</v>
      </c>
      <c r="B123" s="4">
        <f t="shared" si="29"/>
        <v>49</v>
      </c>
      <c r="C123" s="4">
        <f t="shared" si="30"/>
        <v>7</v>
      </c>
      <c r="D123" s="4">
        <f t="shared" si="24"/>
        <v>8</v>
      </c>
      <c r="E123" s="4" t="s">
        <v>27</v>
      </c>
      <c r="F123" s="4">
        <f t="shared" si="25"/>
        <v>700</v>
      </c>
      <c r="G123" s="5">
        <f t="shared" si="31"/>
        <v>1.01</v>
      </c>
      <c r="H123" s="6" t="str">
        <f t="shared" si="26"/>
        <v>INSERT INTO public.coupon (plancode, age, "year", couponrate, benefittype, benefitrate, premiumrate) VALUES('EN60', 49, 7, 8, 'A',700, 1.01);</v>
      </c>
      <c r="I123" s="6" t="str">
        <f t="shared" si="27"/>
        <v>{"age":"49", "year":"7", "couponrate":"8", "benefittype":"A", "benefitrate":"700", "premiumrate":"1.01"}</v>
      </c>
      <c r="J123" s="6" t="str">
        <f t="shared" si="28"/>
        <v>,</v>
      </c>
    </row>
    <row r="124" spans="1:10">
      <c r="A124" s="4" t="str">
        <f>'EN60'!A$3</f>
        <v>EN60</v>
      </c>
      <c r="B124" s="4">
        <f t="shared" si="29"/>
        <v>49</v>
      </c>
      <c r="C124" s="4">
        <f t="shared" si="30"/>
        <v>8</v>
      </c>
      <c r="D124" s="4">
        <f t="shared" si="24"/>
        <v>8</v>
      </c>
      <c r="E124" s="4" t="s">
        <v>27</v>
      </c>
      <c r="F124" s="4">
        <f t="shared" si="25"/>
        <v>800</v>
      </c>
      <c r="G124" s="5">
        <f t="shared" si="31"/>
        <v>1.01</v>
      </c>
      <c r="H124" s="6" t="str">
        <f t="shared" si="26"/>
        <v>INSERT INTO public.coupon (plancode, age, "year", couponrate, benefittype, benefitrate, premiumrate) VALUES('EN60', 49, 8, 8, 'A',800, 1.01);</v>
      </c>
      <c r="I124" s="6" t="str">
        <f t="shared" si="27"/>
        <v>{"age":"49", "year":"8", "couponrate":"8", "benefittype":"A", "benefitrate":"800", "premiumrate":"1.01"}</v>
      </c>
      <c r="J124" s="6" t="str">
        <f t="shared" si="28"/>
        <v>,</v>
      </c>
    </row>
    <row r="125" spans="1:10">
      <c r="A125" s="4" t="str">
        <f>'EN60'!A$3</f>
        <v>EN60</v>
      </c>
      <c r="B125" s="4">
        <f t="shared" si="29"/>
        <v>49</v>
      </c>
      <c r="C125" s="4">
        <f t="shared" si="30"/>
        <v>9</v>
      </c>
      <c r="D125" s="4">
        <f t="shared" si="24"/>
        <v>8</v>
      </c>
      <c r="E125" s="4" t="s">
        <v>27</v>
      </c>
      <c r="F125" s="4">
        <f t="shared" si="25"/>
        <v>800</v>
      </c>
      <c r="G125" s="5">
        <f t="shared" si="31"/>
        <v>1.01</v>
      </c>
      <c r="H125" s="6" t="str">
        <f t="shared" si="26"/>
        <v>INSERT INTO public.coupon (plancode, age, "year", couponrate, benefittype, benefitrate, premiumrate) VALUES('EN60', 49, 9, 8, 'A',800, 1.01);</v>
      </c>
      <c r="I125" s="6" t="str">
        <f t="shared" si="27"/>
        <v>{"age":"49", "year":"9", "couponrate":"8", "benefittype":"A", "benefitrate":"800", "premiumrate":"1.01"}</v>
      </c>
      <c r="J125" s="6" t="str">
        <f t="shared" si="28"/>
        <v>,</v>
      </c>
    </row>
    <row r="126" spans="1:10">
      <c r="A126" s="4" t="str">
        <f>'EN60'!A$3</f>
        <v>EN60</v>
      </c>
      <c r="B126" s="4">
        <f t="shared" si="29"/>
        <v>49</v>
      </c>
      <c r="C126" s="4">
        <f t="shared" si="30"/>
        <v>10</v>
      </c>
      <c r="D126" s="4">
        <f t="shared" si="24"/>
        <v>8</v>
      </c>
      <c r="E126" s="4" t="s">
        <v>27</v>
      </c>
      <c r="F126" s="4">
        <f t="shared" si="25"/>
        <v>800</v>
      </c>
      <c r="G126" s="5">
        <f t="shared" si="31"/>
        <v>1.01</v>
      </c>
      <c r="H126" s="6" t="str">
        <f t="shared" si="26"/>
        <v>INSERT INTO public.coupon (plancode, age, "year", couponrate, benefittype, benefitrate, premiumrate) VALUES('EN60', 49, 10, 8, 'A',800, 1.01);</v>
      </c>
      <c r="I126" s="6" t="str">
        <f t="shared" si="27"/>
        <v>{"age":"49", "year":"10", "couponrate":"8", "benefittype":"A", "benefitrate":"800", "premiumrate":"1.01"}</v>
      </c>
      <c r="J126" s="6" t="str">
        <f t="shared" si="28"/>
        <v>,</v>
      </c>
    </row>
    <row r="127" spans="1:10">
      <c r="A127" s="4" t="str">
        <f>'EN60'!A$3</f>
        <v>EN60</v>
      </c>
      <c r="B127" s="4">
        <f t="shared" si="29"/>
        <v>49</v>
      </c>
      <c r="C127" s="4">
        <f t="shared" si="30"/>
        <v>11</v>
      </c>
      <c r="D127" s="4">
        <f t="shared" si="24"/>
        <v>8</v>
      </c>
      <c r="E127" s="4" t="s">
        <v>27</v>
      </c>
      <c r="F127" s="4">
        <f t="shared" si="25"/>
        <v>800</v>
      </c>
      <c r="G127" s="5">
        <f t="shared" si="31"/>
        <v>1.01</v>
      </c>
      <c r="H127" s="6" t="str">
        <f t="shared" si="26"/>
        <v>INSERT INTO public.coupon (plancode, age, "year", couponrate, benefittype, benefitrate, premiumrate) VALUES('EN60', 49, 11, 8, 'A',800, 1.01);</v>
      </c>
      <c r="I127" s="6" t="str">
        <f t="shared" si="27"/>
        <v>{"age":"49", "year":"11", "couponrate":"8", "benefittype":"A", "benefitrate":"800", "premiumrate":"1.01"}</v>
      </c>
      <c r="J127" s="6" t="str">
        <f t="shared" si="28"/>
        <v>,</v>
      </c>
    </row>
    <row r="128" spans="1:10">
      <c r="A128" s="4" t="str">
        <f>'EN60'!A$3</f>
        <v>EN60</v>
      </c>
      <c r="B128" s="4">
        <f t="shared" si="29"/>
        <v>49</v>
      </c>
      <c r="C128" s="4">
        <f t="shared" si="30"/>
        <v>12</v>
      </c>
      <c r="D128" s="4">
        <f t="shared" si="24"/>
        <v>8</v>
      </c>
      <c r="E128" s="4" t="s">
        <v>27</v>
      </c>
      <c r="F128" s="4">
        <f t="shared" si="25"/>
        <v>800</v>
      </c>
      <c r="G128" s="5">
        <f t="shared" si="31"/>
        <v>1.01</v>
      </c>
      <c r="H128" s="6" t="str">
        <f t="shared" si="26"/>
        <v>INSERT INTO public.coupon (plancode, age, "year", couponrate, benefittype, benefitrate, premiumrate) VALUES('EN60', 49, 12, 8, 'A',800, 1.01);</v>
      </c>
      <c r="I128" s="6" t="str">
        <f t="shared" si="27"/>
        <v>{"age":"49", "year":"12", "couponrate":"8", "benefittype":"A", "benefitrate":"800", "premiumrate":"1.01"}</v>
      </c>
      <c r="J128" s="6" t="str">
        <f t="shared" si="28"/>
        <v>,</v>
      </c>
    </row>
    <row r="129" spans="1:10">
      <c r="A129" s="4" t="str">
        <f>'EN60'!A$3</f>
        <v>EN60</v>
      </c>
      <c r="B129" s="4">
        <f t="shared" si="29"/>
        <v>49</v>
      </c>
      <c r="C129" s="4">
        <f t="shared" si="30"/>
        <v>13</v>
      </c>
      <c r="D129" s="4">
        <f t="shared" si="24"/>
        <v>8</v>
      </c>
      <c r="E129" s="4" t="s">
        <v>27</v>
      </c>
      <c r="F129" s="4">
        <f t="shared" si="25"/>
        <v>800</v>
      </c>
      <c r="G129" s="5">
        <f t="shared" si="31"/>
        <v>1.01</v>
      </c>
      <c r="H129" s="6" t="str">
        <f t="shared" si="26"/>
        <v>INSERT INTO public.coupon (plancode, age, "year", couponrate, benefittype, benefitrate, premiumrate) VALUES('EN60', 49, 13, 8, 'A',800, 1.01);</v>
      </c>
      <c r="I129" s="6" t="str">
        <f t="shared" si="27"/>
        <v>{"age":"49", "year":"13", "couponrate":"8", "benefittype":"A", "benefitrate":"800", "premiumrate":"1.01"}</v>
      </c>
      <c r="J129" s="6" t="str">
        <f t="shared" si="28"/>
        <v>,</v>
      </c>
    </row>
    <row r="130" spans="1:10">
      <c r="A130" s="4" t="str">
        <f>'EN60'!A$3</f>
        <v>EN60</v>
      </c>
      <c r="B130" s="4">
        <f t="shared" si="29"/>
        <v>49</v>
      </c>
      <c r="C130" s="4">
        <f t="shared" si="30"/>
        <v>14</v>
      </c>
      <c r="D130" s="4">
        <f t="shared" si="24"/>
        <v>8</v>
      </c>
      <c r="E130" s="4" t="s">
        <v>27</v>
      </c>
      <c r="F130" s="4">
        <f t="shared" si="25"/>
        <v>800</v>
      </c>
      <c r="G130" s="5">
        <f t="shared" si="31"/>
        <v>1.01</v>
      </c>
      <c r="H130" s="6" t="str">
        <f t="shared" si="26"/>
        <v>INSERT INTO public.coupon (plancode, age, "year", couponrate, benefittype, benefitrate, premiumrate) VALUES('EN60', 49, 14, 8, 'A',800, 1.01);</v>
      </c>
      <c r="I130" s="6" t="str">
        <f t="shared" si="27"/>
        <v>{"age":"49", "year":"14", "couponrate":"8", "benefittype":"A", "benefitrate":"800", "premiumrate":"1.01"}</v>
      </c>
      <c r="J130" s="6" t="str">
        <f t="shared" si="28"/>
        <v>,</v>
      </c>
    </row>
    <row r="131" spans="1:10">
      <c r="A131" s="4" t="str">
        <f>'EN60'!A$3</f>
        <v>EN60</v>
      </c>
      <c r="B131" s="4">
        <f t="shared" si="29"/>
        <v>49</v>
      </c>
      <c r="C131" s="4">
        <f t="shared" si="30"/>
        <v>15</v>
      </c>
      <c r="D131" s="4">
        <f t="shared" si="24"/>
        <v>8</v>
      </c>
      <c r="E131" s="4" t="s">
        <v>27</v>
      </c>
      <c r="F131" s="4">
        <f t="shared" si="25"/>
        <v>800</v>
      </c>
      <c r="G131" s="5">
        <f t="shared" si="31"/>
        <v>1.01</v>
      </c>
      <c r="H131" s="6" t="str">
        <f t="shared" si="26"/>
        <v>INSERT INTO public.coupon (plancode, age, "year", couponrate, benefittype, benefitrate, premiumrate) VALUES('EN60', 49, 15, 8, 'A',800, 1.01);</v>
      </c>
      <c r="I131" s="6" t="str">
        <f t="shared" si="27"/>
        <v>{"age":"49", "year":"15", "couponrate":"8", "benefittype":"A", "benefitrate":"800", "premiumrate":"1.01"}</v>
      </c>
      <c r="J131" s="6" t="str">
        <f t="shared" si="28"/>
        <v>,</v>
      </c>
    </row>
    <row r="132" spans="1:10">
      <c r="A132" s="4" t="str">
        <f>'EN60'!A$3</f>
        <v>EN60</v>
      </c>
      <c r="B132" s="4">
        <f t="shared" si="29"/>
        <v>49</v>
      </c>
      <c r="C132" s="4">
        <f t="shared" si="30"/>
        <v>16</v>
      </c>
      <c r="D132" s="4">
        <f t="shared" si="24"/>
        <v>8</v>
      </c>
      <c r="E132" s="4" t="s">
        <v>27</v>
      </c>
      <c r="F132" s="4">
        <f t="shared" si="25"/>
        <v>800</v>
      </c>
      <c r="G132" s="5">
        <f t="shared" si="31"/>
        <v>1.01</v>
      </c>
      <c r="H132" s="6" t="str">
        <f t="shared" si="26"/>
        <v>INSERT INTO public.coupon (plancode, age, "year", couponrate, benefittype, benefitrate, premiumrate) VALUES('EN60', 49, 16, 8, 'A',800, 1.01);</v>
      </c>
      <c r="I132" s="6" t="str">
        <f t="shared" si="27"/>
        <v>{"age":"49", "year":"16", "couponrate":"8", "benefittype":"A", "benefitrate":"800", "premiumrate":"1.01"}</v>
      </c>
      <c r="J132" s="6" t="str">
        <f t="shared" si="28"/>
        <v>,</v>
      </c>
    </row>
    <row r="133" spans="1:10">
      <c r="A133" s="4" t="str">
        <f>'EN60'!A$3</f>
        <v>EN60</v>
      </c>
      <c r="B133" s="4">
        <f t="shared" si="29"/>
        <v>49</v>
      </c>
      <c r="C133" s="4">
        <f t="shared" si="30"/>
        <v>17</v>
      </c>
      <c r="D133" s="4">
        <f t="shared" si="24"/>
        <v>8</v>
      </c>
      <c r="E133" s="4" t="s">
        <v>27</v>
      </c>
      <c r="F133" s="4">
        <f t="shared" si="25"/>
        <v>800</v>
      </c>
      <c r="G133" s="5">
        <f t="shared" si="31"/>
        <v>1.01</v>
      </c>
      <c r="H133" s="6" t="str">
        <f t="shared" si="26"/>
        <v>INSERT INTO public.coupon (plancode, age, "year", couponrate, benefittype, benefitrate, premiumrate) VALUES('EN60', 49, 17, 8, 'A',800, 1.01);</v>
      </c>
      <c r="I133" s="6" t="str">
        <f t="shared" si="27"/>
        <v>{"age":"49", "year":"17", "couponrate":"8", "benefittype":"A", "benefitrate":"800", "premiumrate":"1.01"}</v>
      </c>
      <c r="J133" s="6" t="str">
        <f t="shared" si="28"/>
        <v>,</v>
      </c>
    </row>
    <row r="134" spans="1:10">
      <c r="A134" s="4" t="str">
        <f>'EN60'!A$3</f>
        <v>EN60</v>
      </c>
      <c r="B134" s="4">
        <f t="shared" si="29"/>
        <v>49</v>
      </c>
      <c r="C134" s="4">
        <f t="shared" si="30"/>
        <v>18</v>
      </c>
      <c r="D134" s="4">
        <f t="shared" si="24"/>
        <v>8</v>
      </c>
      <c r="E134" s="4" t="s">
        <v>27</v>
      </c>
      <c r="F134" s="4">
        <f t="shared" si="25"/>
        <v>800</v>
      </c>
      <c r="G134" s="5">
        <f t="shared" si="31"/>
        <v>1.01</v>
      </c>
      <c r="H134" s="6" t="str">
        <f t="shared" si="26"/>
        <v>INSERT INTO public.coupon (plancode, age, "year", couponrate, benefittype, benefitrate, premiumrate) VALUES('EN60', 49, 18, 8, 'A',800, 1.01);</v>
      </c>
      <c r="I134" s="6" t="str">
        <f t="shared" si="27"/>
        <v>{"age":"49", "year":"18", "couponrate":"8", "benefittype":"A", "benefitrate":"800", "premiumrate":"1.01"}</v>
      </c>
      <c r="J134" s="6" t="str">
        <f t="shared" si="28"/>
        <v>,</v>
      </c>
    </row>
    <row r="135" spans="1:10">
      <c r="A135" s="4" t="str">
        <f>'EN60'!A$3</f>
        <v>EN60</v>
      </c>
      <c r="B135" s="4">
        <f t="shared" si="29"/>
        <v>49</v>
      </c>
      <c r="C135" s="4">
        <f t="shared" si="30"/>
        <v>19</v>
      </c>
      <c r="D135" s="4">
        <f t="shared" si="24"/>
        <v>8</v>
      </c>
      <c r="E135" s="4" t="s">
        <v>27</v>
      </c>
      <c r="F135" s="4">
        <f t="shared" si="25"/>
        <v>800</v>
      </c>
      <c r="G135" s="5">
        <f t="shared" si="31"/>
        <v>1.01</v>
      </c>
      <c r="H135" s="6" t="str">
        <f t="shared" si="26"/>
        <v>INSERT INTO public.coupon (plancode, age, "year", couponrate, benefittype, benefitrate, premiumrate) VALUES('EN60', 49, 19, 8, 'A',800, 1.01);</v>
      </c>
      <c r="I135" s="6" t="str">
        <f t="shared" si="27"/>
        <v>{"age":"49", "year":"19", "couponrate":"8", "benefittype":"A", "benefitrate":"800", "premiumrate":"1.01"}</v>
      </c>
      <c r="J135" s="6" t="str">
        <f t="shared" si="28"/>
        <v>,</v>
      </c>
    </row>
    <row r="136" spans="1:10">
      <c r="A136" s="4" t="str">
        <f>'EN60'!A$3</f>
        <v>EN60</v>
      </c>
      <c r="B136" s="4">
        <f t="shared" si="29"/>
        <v>49</v>
      </c>
      <c r="C136" s="4">
        <f t="shared" si="30"/>
        <v>20</v>
      </c>
      <c r="D136" s="4">
        <f t="shared" si="24"/>
        <v>8</v>
      </c>
      <c r="E136" s="4" t="s">
        <v>27</v>
      </c>
      <c r="F136" s="4">
        <f t="shared" si="25"/>
        <v>800</v>
      </c>
      <c r="G136" s="5">
        <f t="shared" si="31"/>
        <v>1.01</v>
      </c>
      <c r="H136" s="6" t="str">
        <f t="shared" si="26"/>
        <v>INSERT INTO public.coupon (plancode, age, "year", couponrate, benefittype, benefitrate, premiumrate) VALUES('EN60', 49, 20, 8, 'A',800, 1.01);</v>
      </c>
      <c r="I136" s="6" t="str">
        <f t="shared" si="27"/>
        <v>{"age":"49", "year":"20", "couponrate":"8", "benefittype":"A", "benefitrate":"800", "premiumrate":"1.01"}</v>
      </c>
      <c r="J136" s="6" t="str">
        <f t="shared" si="28"/>
        <v>,</v>
      </c>
    </row>
    <row r="137" spans="1:10">
      <c r="A137" s="4" t="str">
        <f>'EN60'!A$3</f>
        <v>EN60</v>
      </c>
      <c r="B137" s="4">
        <f t="shared" si="29"/>
        <v>49</v>
      </c>
      <c r="C137" s="4">
        <f t="shared" si="30"/>
        <v>21</v>
      </c>
      <c r="D137" s="4">
        <f t="shared" si="24"/>
        <v>8</v>
      </c>
      <c r="E137" s="4" t="s">
        <v>27</v>
      </c>
      <c r="F137" s="4">
        <f t="shared" si="25"/>
        <v>800</v>
      </c>
      <c r="G137" s="5">
        <f t="shared" si="31"/>
        <v>1.01</v>
      </c>
      <c r="H137" s="6" t="str">
        <f t="shared" si="26"/>
        <v>INSERT INTO public.coupon (plancode, age, "year", couponrate, benefittype, benefitrate, premiumrate) VALUES('EN60', 49, 21, 8, 'A',800, 1.01);</v>
      </c>
      <c r="I137" s="6" t="str">
        <f t="shared" si="27"/>
        <v>{"age":"49", "year":"21", "couponrate":"8", "benefittype":"A", "benefitrate":"800", "premiumrate":"1.01"}</v>
      </c>
      <c r="J137" s="6" t="str">
        <f t="shared" si="28"/>
        <v>,</v>
      </c>
    </row>
    <row r="138" spans="1:10">
      <c r="A138" s="4" t="str">
        <f>'EN60'!A$3</f>
        <v>EN60</v>
      </c>
      <c r="B138" s="4">
        <f t="shared" si="29"/>
        <v>49</v>
      </c>
      <c r="C138" s="4">
        <f t="shared" si="30"/>
        <v>22</v>
      </c>
      <c r="D138" s="4">
        <f t="shared" si="24"/>
        <v>8</v>
      </c>
      <c r="E138" s="4" t="s">
        <v>27</v>
      </c>
      <c r="F138" s="4">
        <f t="shared" si="25"/>
        <v>800</v>
      </c>
      <c r="G138" s="5">
        <f t="shared" si="31"/>
        <v>1.01</v>
      </c>
      <c r="H138" s="6" t="str">
        <f t="shared" si="26"/>
        <v>INSERT INTO public.coupon (plancode, age, "year", couponrate, benefittype, benefitrate, premiumrate) VALUES('EN60', 49, 22, 8, 'A',800, 1.01);</v>
      </c>
      <c r="I138" s="6" t="str">
        <f t="shared" si="27"/>
        <v>{"age":"49", "year":"22", "couponrate":"8", "benefittype":"A", "benefitrate":"800", "premiumrate":"1.01"}</v>
      </c>
      <c r="J138" s="6" t="str">
        <f t="shared" si="28"/>
        <v>,</v>
      </c>
    </row>
    <row r="139" spans="1:10">
      <c r="A139" s="4" t="str">
        <f>'EN60'!A$3</f>
        <v>EN60</v>
      </c>
      <c r="B139" s="4">
        <f t="shared" si="29"/>
        <v>49</v>
      </c>
      <c r="C139" s="4">
        <f t="shared" si="30"/>
        <v>23</v>
      </c>
      <c r="D139" s="4">
        <f t="shared" si="24"/>
        <v>8</v>
      </c>
      <c r="E139" s="4" t="s">
        <v>27</v>
      </c>
      <c r="F139" s="4">
        <f t="shared" si="25"/>
        <v>800</v>
      </c>
      <c r="G139" s="5">
        <f t="shared" si="31"/>
        <v>1.01</v>
      </c>
      <c r="H139" s="6" t="str">
        <f t="shared" si="26"/>
        <v>INSERT INTO public.coupon (plancode, age, "year", couponrate, benefittype, benefitrate, premiumrate) VALUES('EN60', 49, 23, 8, 'A',800, 1.01);</v>
      </c>
      <c r="I139" s="6" t="str">
        <f t="shared" si="27"/>
        <v>{"age":"49", "year":"23", "couponrate":"8", "benefittype":"A", "benefitrate":"800", "premiumrate":"1.01"}</v>
      </c>
      <c r="J139" s="6" t="str">
        <f t="shared" si="28"/>
        <v>,</v>
      </c>
    </row>
    <row r="140" spans="1:10">
      <c r="A140" s="4" t="str">
        <f>'EN60'!A$3</f>
        <v>EN60</v>
      </c>
      <c r="B140" s="4">
        <f t="shared" si="29"/>
        <v>49</v>
      </c>
      <c r="C140" s="4">
        <f t="shared" si="30"/>
        <v>24</v>
      </c>
      <c r="D140" s="4">
        <f t="shared" si="24"/>
        <v>8</v>
      </c>
      <c r="E140" s="4" t="s">
        <v>27</v>
      </c>
      <c r="F140" s="4">
        <f t="shared" si="25"/>
        <v>800</v>
      </c>
      <c r="G140" s="5">
        <f t="shared" si="31"/>
        <v>1.01</v>
      </c>
      <c r="H140" s="6" t="str">
        <f t="shared" si="26"/>
        <v>INSERT INTO public.coupon (plancode, age, "year", couponrate, benefittype, benefitrate, premiumrate) VALUES('EN60', 49, 24, 8, 'A',800, 1.01);</v>
      </c>
      <c r="I140" s="6" t="str">
        <f t="shared" si="27"/>
        <v>{"age":"49", "year":"24", "couponrate":"8", "benefittype":"A", "benefitrate":"800", "premiumrate":"1.01"}</v>
      </c>
      <c r="J140" s="6" t="str">
        <f t="shared" si="28"/>
        <v>,</v>
      </c>
    </row>
    <row r="141" spans="1:10">
      <c r="A141" s="4" t="str">
        <f>'EN60'!A$3</f>
        <v>EN60</v>
      </c>
      <c r="B141" s="4">
        <f t="shared" si="29"/>
        <v>49</v>
      </c>
      <c r="C141" s="4">
        <f t="shared" si="30"/>
        <v>25</v>
      </c>
      <c r="D141" s="4">
        <f t="shared" si="24"/>
        <v>8</v>
      </c>
      <c r="E141" s="4" t="s">
        <v>27</v>
      </c>
      <c r="F141" s="4">
        <f t="shared" si="25"/>
        <v>800</v>
      </c>
      <c r="G141" s="5">
        <f t="shared" si="31"/>
        <v>1.01</v>
      </c>
      <c r="H141" s="6" t="str">
        <f t="shared" si="26"/>
        <v>INSERT INTO public.coupon (plancode, age, "year", couponrate, benefittype, benefitrate, premiumrate) VALUES('EN60', 49, 25, 8, 'A',800, 1.01);</v>
      </c>
      <c r="I141" s="6" t="str">
        <f t="shared" si="27"/>
        <v>{"age":"49", "year":"25", "couponrate":"8", "benefittype":"A", "benefitrate":"800", "premiumrate":"1.01"}</v>
      </c>
      <c r="J141" s="6" t="str">
        <f t="shared" si="28"/>
        <v>,</v>
      </c>
    </row>
    <row r="142" spans="1:10">
      <c r="A142" s="4" t="str">
        <f>'EN60'!A$3</f>
        <v>EN60</v>
      </c>
      <c r="B142" s="4">
        <f t="shared" si="29"/>
        <v>49</v>
      </c>
      <c r="C142" s="4">
        <f t="shared" si="30"/>
        <v>26</v>
      </c>
      <c r="D142" s="4">
        <f t="shared" si="24"/>
        <v>8</v>
      </c>
      <c r="E142" s="4" t="s">
        <v>27</v>
      </c>
      <c r="F142" s="4">
        <f t="shared" si="25"/>
        <v>800</v>
      </c>
      <c r="G142" s="5">
        <f t="shared" si="31"/>
        <v>1.01</v>
      </c>
      <c r="H142" s="6" t="str">
        <f t="shared" si="26"/>
        <v>INSERT INTO public.coupon (plancode, age, "year", couponrate, benefittype, benefitrate, premiumrate) VALUES('EN60', 49, 26, 8, 'A',800, 1.01);</v>
      </c>
      <c r="I142" s="6" t="str">
        <f t="shared" si="27"/>
        <v>{"age":"49", "year":"26", "couponrate":"8", "benefittype":"A", "benefitrate":"800", "premiumrate":"1.01"}</v>
      </c>
      <c r="J142" s="6" t="str">
        <f t="shared" si="28"/>
        <v>,</v>
      </c>
    </row>
    <row r="143" spans="1:10">
      <c r="A143" s="4" t="str">
        <f>'EN60'!A$3</f>
        <v>EN60</v>
      </c>
      <c r="B143" s="4">
        <f t="shared" si="29"/>
        <v>49</v>
      </c>
      <c r="C143" s="4">
        <f t="shared" si="30"/>
        <v>27</v>
      </c>
      <c r="D143" s="4">
        <f t="shared" si="24"/>
        <v>8</v>
      </c>
      <c r="E143" s="4" t="s">
        <v>27</v>
      </c>
      <c r="F143" s="4">
        <f t="shared" si="25"/>
        <v>800</v>
      </c>
      <c r="G143" s="5">
        <f t="shared" si="31"/>
        <v>1.01</v>
      </c>
      <c r="H143" s="6" t="str">
        <f t="shared" si="26"/>
        <v>INSERT INTO public.coupon (plancode, age, "year", couponrate, benefittype, benefitrate, premiumrate) VALUES('EN60', 49, 27, 8, 'A',800, 1.01);</v>
      </c>
      <c r="I143" s="6" t="str">
        <f t="shared" si="27"/>
        <v>{"age":"49", "year":"27", "couponrate":"8", "benefittype":"A", "benefitrate":"800", "premiumrate":"1.01"}</v>
      </c>
      <c r="J143" s="6" t="str">
        <f t="shared" si="28"/>
        <v>,</v>
      </c>
    </row>
    <row r="144" spans="1:10">
      <c r="A144" s="4" t="str">
        <f>'EN60'!A$3</f>
        <v>EN60</v>
      </c>
      <c r="B144" s="4">
        <f t="shared" si="29"/>
        <v>49</v>
      </c>
      <c r="C144" s="4">
        <f t="shared" si="30"/>
        <v>28</v>
      </c>
      <c r="D144" s="4">
        <f t="shared" si="24"/>
        <v>8</v>
      </c>
      <c r="E144" s="4" t="s">
        <v>27</v>
      </c>
      <c r="F144" s="4">
        <f t="shared" si="25"/>
        <v>800</v>
      </c>
      <c r="G144" s="5">
        <f t="shared" si="31"/>
        <v>1.01</v>
      </c>
      <c r="H144" s="6" t="str">
        <f t="shared" si="26"/>
        <v>INSERT INTO public.coupon (plancode, age, "year", couponrate, benefittype, benefitrate, premiumrate) VALUES('EN60', 49, 28, 8, 'A',800, 1.01);</v>
      </c>
      <c r="I144" s="6" t="str">
        <f t="shared" si="27"/>
        <v>{"age":"49", "year":"28", "couponrate":"8", "benefittype":"A", "benefitrate":"800", "premiumrate":"1.01"}</v>
      </c>
      <c r="J144" s="6" t="str">
        <f t="shared" si="28"/>
        <v>,</v>
      </c>
    </row>
    <row r="145" spans="1:10">
      <c r="A145" s="4" t="str">
        <f>'EN60'!A$3</f>
        <v>EN60</v>
      </c>
      <c r="B145" s="4">
        <f t="shared" si="29"/>
        <v>49</v>
      </c>
      <c r="C145" s="4">
        <f t="shared" si="30"/>
        <v>29</v>
      </c>
      <c r="D145" s="4">
        <f t="shared" si="24"/>
        <v>8</v>
      </c>
      <c r="E145" s="4" t="s">
        <v>27</v>
      </c>
      <c r="F145" s="4">
        <f t="shared" si="25"/>
        <v>800</v>
      </c>
      <c r="G145" s="5">
        <f t="shared" si="31"/>
        <v>1.01</v>
      </c>
      <c r="H145" s="6" t="str">
        <f t="shared" si="26"/>
        <v>INSERT INTO public.coupon (plancode, age, "year", couponrate, benefittype, benefitrate, premiumrate) VALUES('EN60', 49, 29, 8, 'A',800, 1.01);</v>
      </c>
      <c r="I145" s="6" t="str">
        <f t="shared" si="27"/>
        <v>{"age":"49", "year":"29", "couponrate":"8", "benefittype":"A", "benefitrate":"800", "premiumrate":"1.01"}</v>
      </c>
      <c r="J145" s="6" t="str">
        <f t="shared" si="28"/>
        <v>,</v>
      </c>
    </row>
    <row r="146" spans="1:10">
      <c r="A146" s="4" t="str">
        <f>'EN60'!A$3</f>
        <v>EN60</v>
      </c>
      <c r="B146" s="4">
        <f t="shared" si="29"/>
        <v>49</v>
      </c>
      <c r="C146" s="4">
        <f t="shared" si="30"/>
        <v>30</v>
      </c>
      <c r="D146" s="4">
        <f t="shared" si="24"/>
        <v>8</v>
      </c>
      <c r="E146" s="4" t="s">
        <v>27</v>
      </c>
      <c r="F146" s="4">
        <f t="shared" si="25"/>
        <v>800</v>
      </c>
      <c r="G146" s="5">
        <f t="shared" si="31"/>
        <v>1.01</v>
      </c>
      <c r="H146" s="6" t="str">
        <f t="shared" si="26"/>
        <v>INSERT INTO public.coupon (plancode, age, "year", couponrate, benefittype, benefitrate, premiumrate) VALUES('EN60', 49, 30, 8, 'A',800, 1.01);</v>
      </c>
      <c r="I146" s="6" t="str">
        <f t="shared" si="27"/>
        <v>{"age":"49", "year":"30", "couponrate":"8", "benefittype":"A", "benefitrate":"800", "premiumrate":"1.01"}</v>
      </c>
      <c r="J146" s="6" t="str">
        <f t="shared" si="28"/>
        <v>,</v>
      </c>
    </row>
    <row r="147" spans="1:10">
      <c r="A147" s="4" t="str">
        <f>'EN60'!A$3</f>
        <v>EN60</v>
      </c>
      <c r="B147" s="4">
        <f t="shared" si="29"/>
        <v>49</v>
      </c>
      <c r="C147" s="4">
        <f t="shared" si="30"/>
        <v>31</v>
      </c>
      <c r="D147" s="4">
        <f t="shared" si="24"/>
        <v>0</v>
      </c>
      <c r="E147" s="4" t="s">
        <v>27</v>
      </c>
      <c r="F147" s="4">
        <f t="shared" si="25"/>
        <v>800</v>
      </c>
      <c r="G147" s="5">
        <f t="shared" si="31"/>
        <v>1.01</v>
      </c>
      <c r="H147" s="6" t="str">
        <f t="shared" si="26"/>
        <v>INSERT INTO public.coupon (plancode, age, "year", couponrate, benefittype, benefitrate, premiumrate) VALUES('EN60', 49, 31, 0, 'A',800, 1.01);</v>
      </c>
      <c r="I147" s="6" t="str">
        <f t="shared" si="27"/>
        <v>{"age":"49", "year":"31", "couponrate":"0", "benefittype":"A", "benefitrate":"800", "premiumrate":"1.01"}</v>
      </c>
    </row>
    <row r="148" spans="1:10">
      <c r="C148" s="6"/>
      <c r="I148" s="6" t="s">
        <v>28</v>
      </c>
    </row>
    <row r="149" spans="1:10">
      <c r="A149" s="3" t="s">
        <v>2</v>
      </c>
      <c r="B149" s="3" t="s">
        <v>23</v>
      </c>
      <c r="C149" s="3" t="s">
        <v>24</v>
      </c>
      <c r="D149" s="3" t="s">
        <v>25</v>
      </c>
      <c r="E149" s="3" t="s">
        <v>8</v>
      </c>
      <c r="F149" s="3" t="s">
        <v>26</v>
      </c>
      <c r="G149" s="3" t="s">
        <v>4</v>
      </c>
      <c r="I149" s="6" t="str">
        <f>"[{""plancode"":"""&amp;A150&amp;""",""returncash"":"""&amp;B$7&amp;""",""ytable"":"""&amp;C$7&amp;""",""maturerate"":"""&amp;B$3&amp;""",""maturepmrate"":"""&amp;C$3&amp;""",""coupon"":["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150" spans="1:10">
      <c r="A150" s="4" t="str">
        <f>'EN60'!A$3</f>
        <v>EN60</v>
      </c>
      <c r="B150" s="8">
        <v>50</v>
      </c>
      <c r="C150" s="4">
        <v>1</v>
      </c>
      <c r="D150" s="4">
        <f t="shared" ref="D150:D179" si="32">IF(C150+B150=80,0,8)</f>
        <v>8</v>
      </c>
      <c r="E150" s="4" t="s">
        <v>27</v>
      </c>
      <c r="F150" s="4">
        <f t="shared" ref="F150:F179" si="33">IF(C150&gt;7, 800, C150*100)</f>
        <v>100</v>
      </c>
      <c r="G150" s="5">
        <f>'EN60'!C$3</f>
        <v>1.01</v>
      </c>
      <c r="H150" s="6" t="str">
        <f t="shared" ref="H150:H179" si="34">"INSERT INTO public.coupon ("&amp;A$11&amp;", "&amp;B$11&amp;", """&amp;C$11&amp;""", "&amp;D$11&amp;", "&amp;E$11&amp;", "&amp;F$11&amp;", "&amp;G$11&amp;") VALUES('"&amp;A150&amp;"', "&amp;B150&amp;", "&amp;C150&amp;", "&amp;D150&amp;", '"&amp;E150&amp;"',"&amp;F150&amp;", "&amp;G150&amp;");"</f>
        <v>INSERT INTO public.coupon (plancode, age, "year", couponrate, benefittype, benefitrate, premiumrate) VALUES('EN60', 50, 1, 8, 'A',100, 1.01);</v>
      </c>
      <c r="I150" s="6" t="str">
        <f t="shared" ref="I150:I179" si="35">"{""age"":"""&amp;B150&amp;""", ""year"":"""&amp;C150&amp;""", ""couponrate"":"""&amp;D150&amp;""", ""benefittype"":"""&amp;E150&amp;""", ""benefitrate"":"""&amp;F150&amp;""", """&amp;G$11&amp;""":"""&amp;G150&amp;"""}"</f>
        <v>{"age":"50", "year":"1", "couponrate":"8", "benefittype":"A", "benefitrate":"100", "premiumrate":"1.01"}</v>
      </c>
      <c r="J150" s="6" t="str">
        <f t="shared" ref="J150:J178" si="36">IF(OR(I151="]", I150="[", I150="]"), "", ",")</f>
        <v>,</v>
      </c>
    </row>
    <row r="151" spans="1:10">
      <c r="A151" s="4" t="str">
        <f>'EN60'!A$3</f>
        <v>EN60</v>
      </c>
      <c r="B151" s="4">
        <f t="shared" ref="B151:B179" si="37">B150</f>
        <v>50</v>
      </c>
      <c r="C151" s="4">
        <f t="shared" ref="C151:C179" si="38">IF(B151+C150+1&gt;80,"",C150+1)</f>
        <v>2</v>
      </c>
      <c r="D151" s="4">
        <f t="shared" si="32"/>
        <v>8</v>
      </c>
      <c r="E151" s="4" t="s">
        <v>27</v>
      </c>
      <c r="F151" s="4">
        <f t="shared" si="33"/>
        <v>200</v>
      </c>
      <c r="G151" s="5">
        <f t="shared" ref="G151:G179" si="39">G150</f>
        <v>1.01</v>
      </c>
      <c r="H151" s="6" t="str">
        <f t="shared" si="34"/>
        <v>INSERT INTO public.coupon (plancode, age, "year", couponrate, benefittype, benefitrate, premiumrate) VALUES('EN60', 50, 2, 8, 'A',200, 1.01);</v>
      </c>
      <c r="I151" s="6" t="str">
        <f t="shared" si="35"/>
        <v>{"age":"50", "year":"2", "couponrate":"8", "benefittype":"A", "benefitrate":"200", "premiumrate":"1.01"}</v>
      </c>
      <c r="J151" s="6" t="str">
        <f t="shared" si="36"/>
        <v>,</v>
      </c>
    </row>
    <row r="152" spans="1:10">
      <c r="A152" s="4" t="str">
        <f>'EN60'!A$3</f>
        <v>EN60</v>
      </c>
      <c r="B152" s="4">
        <f t="shared" si="37"/>
        <v>50</v>
      </c>
      <c r="C152" s="4">
        <f t="shared" si="38"/>
        <v>3</v>
      </c>
      <c r="D152" s="4">
        <f t="shared" si="32"/>
        <v>8</v>
      </c>
      <c r="E152" s="4" t="s">
        <v>27</v>
      </c>
      <c r="F152" s="4">
        <f t="shared" si="33"/>
        <v>300</v>
      </c>
      <c r="G152" s="5">
        <f t="shared" si="39"/>
        <v>1.01</v>
      </c>
      <c r="H152" s="6" t="str">
        <f t="shared" si="34"/>
        <v>INSERT INTO public.coupon (plancode, age, "year", couponrate, benefittype, benefitrate, premiumrate) VALUES('EN60', 50, 3, 8, 'A',300, 1.01);</v>
      </c>
      <c r="I152" s="6" t="str">
        <f t="shared" si="35"/>
        <v>{"age":"50", "year":"3", "couponrate":"8", "benefittype":"A", "benefitrate":"300", "premiumrate":"1.01"}</v>
      </c>
      <c r="J152" s="6" t="str">
        <f t="shared" si="36"/>
        <v>,</v>
      </c>
    </row>
    <row r="153" spans="1:10">
      <c r="A153" s="4" t="str">
        <f>'EN60'!A$3</f>
        <v>EN60</v>
      </c>
      <c r="B153" s="4">
        <f t="shared" si="37"/>
        <v>50</v>
      </c>
      <c r="C153" s="4">
        <f t="shared" si="38"/>
        <v>4</v>
      </c>
      <c r="D153" s="4">
        <f t="shared" si="32"/>
        <v>8</v>
      </c>
      <c r="E153" s="4" t="s">
        <v>27</v>
      </c>
      <c r="F153" s="4">
        <f t="shared" si="33"/>
        <v>400</v>
      </c>
      <c r="G153" s="5">
        <f t="shared" si="39"/>
        <v>1.01</v>
      </c>
      <c r="H153" s="6" t="str">
        <f t="shared" si="34"/>
        <v>INSERT INTO public.coupon (plancode, age, "year", couponrate, benefittype, benefitrate, premiumrate) VALUES('EN60', 50, 4, 8, 'A',400, 1.01);</v>
      </c>
      <c r="I153" s="6" t="str">
        <f t="shared" si="35"/>
        <v>{"age":"50", "year":"4", "couponrate":"8", "benefittype":"A", "benefitrate":"400", "premiumrate":"1.01"}</v>
      </c>
      <c r="J153" s="6" t="str">
        <f t="shared" si="36"/>
        <v>,</v>
      </c>
    </row>
    <row r="154" spans="1:10">
      <c r="A154" s="4" t="str">
        <f>'EN60'!A$3</f>
        <v>EN60</v>
      </c>
      <c r="B154" s="4">
        <f t="shared" si="37"/>
        <v>50</v>
      </c>
      <c r="C154" s="4">
        <f t="shared" si="38"/>
        <v>5</v>
      </c>
      <c r="D154" s="4">
        <f t="shared" si="32"/>
        <v>8</v>
      </c>
      <c r="E154" s="4" t="s">
        <v>27</v>
      </c>
      <c r="F154" s="4">
        <f t="shared" si="33"/>
        <v>500</v>
      </c>
      <c r="G154" s="5">
        <f t="shared" si="39"/>
        <v>1.01</v>
      </c>
      <c r="H154" s="6" t="str">
        <f t="shared" si="34"/>
        <v>INSERT INTO public.coupon (plancode, age, "year", couponrate, benefittype, benefitrate, premiumrate) VALUES('EN60', 50, 5, 8, 'A',500, 1.01);</v>
      </c>
      <c r="I154" s="6" t="str">
        <f t="shared" si="35"/>
        <v>{"age":"50", "year":"5", "couponrate":"8", "benefittype":"A", "benefitrate":"500", "premiumrate":"1.01"}</v>
      </c>
      <c r="J154" s="6" t="str">
        <f t="shared" si="36"/>
        <v>,</v>
      </c>
    </row>
    <row r="155" spans="1:10">
      <c r="A155" s="4" t="str">
        <f>'EN60'!A$3</f>
        <v>EN60</v>
      </c>
      <c r="B155" s="4">
        <f t="shared" si="37"/>
        <v>50</v>
      </c>
      <c r="C155" s="4">
        <f t="shared" si="38"/>
        <v>6</v>
      </c>
      <c r="D155" s="4">
        <f t="shared" si="32"/>
        <v>8</v>
      </c>
      <c r="E155" s="4" t="s">
        <v>27</v>
      </c>
      <c r="F155" s="4">
        <f t="shared" si="33"/>
        <v>600</v>
      </c>
      <c r="G155" s="5">
        <f t="shared" si="39"/>
        <v>1.01</v>
      </c>
      <c r="H155" s="6" t="str">
        <f t="shared" si="34"/>
        <v>INSERT INTO public.coupon (plancode, age, "year", couponrate, benefittype, benefitrate, premiumrate) VALUES('EN60', 50, 6, 8, 'A',600, 1.01);</v>
      </c>
      <c r="I155" s="6" t="str">
        <f t="shared" si="35"/>
        <v>{"age":"50", "year":"6", "couponrate":"8", "benefittype":"A", "benefitrate":"600", "premiumrate":"1.01"}</v>
      </c>
      <c r="J155" s="6" t="str">
        <f t="shared" si="36"/>
        <v>,</v>
      </c>
    </row>
    <row r="156" spans="1:10">
      <c r="A156" s="4" t="str">
        <f>'EN60'!A$3</f>
        <v>EN60</v>
      </c>
      <c r="B156" s="4">
        <f t="shared" si="37"/>
        <v>50</v>
      </c>
      <c r="C156" s="4">
        <f t="shared" si="38"/>
        <v>7</v>
      </c>
      <c r="D156" s="4">
        <f t="shared" si="32"/>
        <v>8</v>
      </c>
      <c r="E156" s="4" t="s">
        <v>27</v>
      </c>
      <c r="F156" s="4">
        <f t="shared" si="33"/>
        <v>700</v>
      </c>
      <c r="G156" s="5">
        <f t="shared" si="39"/>
        <v>1.01</v>
      </c>
      <c r="H156" s="6" t="str">
        <f t="shared" si="34"/>
        <v>INSERT INTO public.coupon (plancode, age, "year", couponrate, benefittype, benefitrate, premiumrate) VALUES('EN60', 50, 7, 8, 'A',700, 1.01);</v>
      </c>
      <c r="I156" s="6" t="str">
        <f t="shared" si="35"/>
        <v>{"age":"50", "year":"7", "couponrate":"8", "benefittype":"A", "benefitrate":"700", "premiumrate":"1.01"}</v>
      </c>
      <c r="J156" s="6" t="str">
        <f t="shared" si="36"/>
        <v>,</v>
      </c>
    </row>
    <row r="157" spans="1:10">
      <c r="A157" s="4" t="str">
        <f>'EN60'!A$3</f>
        <v>EN60</v>
      </c>
      <c r="B157" s="4">
        <f t="shared" si="37"/>
        <v>50</v>
      </c>
      <c r="C157" s="4">
        <f t="shared" si="38"/>
        <v>8</v>
      </c>
      <c r="D157" s="4">
        <f t="shared" si="32"/>
        <v>8</v>
      </c>
      <c r="E157" s="4" t="s">
        <v>27</v>
      </c>
      <c r="F157" s="4">
        <f t="shared" si="33"/>
        <v>800</v>
      </c>
      <c r="G157" s="5">
        <f t="shared" si="39"/>
        <v>1.01</v>
      </c>
      <c r="H157" s="6" t="str">
        <f t="shared" si="34"/>
        <v>INSERT INTO public.coupon (plancode, age, "year", couponrate, benefittype, benefitrate, premiumrate) VALUES('EN60', 50, 8, 8, 'A',800, 1.01);</v>
      </c>
      <c r="I157" s="6" t="str">
        <f t="shared" si="35"/>
        <v>{"age":"50", "year":"8", "couponrate":"8", "benefittype":"A", "benefitrate":"800", "premiumrate":"1.01"}</v>
      </c>
      <c r="J157" s="6" t="str">
        <f t="shared" si="36"/>
        <v>,</v>
      </c>
    </row>
    <row r="158" spans="1:10">
      <c r="A158" s="4" t="str">
        <f>'EN60'!A$3</f>
        <v>EN60</v>
      </c>
      <c r="B158" s="4">
        <f t="shared" si="37"/>
        <v>50</v>
      </c>
      <c r="C158" s="4">
        <f t="shared" si="38"/>
        <v>9</v>
      </c>
      <c r="D158" s="4">
        <f t="shared" si="32"/>
        <v>8</v>
      </c>
      <c r="E158" s="4" t="s">
        <v>27</v>
      </c>
      <c r="F158" s="4">
        <f t="shared" si="33"/>
        <v>800</v>
      </c>
      <c r="G158" s="5">
        <f t="shared" si="39"/>
        <v>1.01</v>
      </c>
      <c r="H158" s="6" t="str">
        <f t="shared" si="34"/>
        <v>INSERT INTO public.coupon (plancode, age, "year", couponrate, benefittype, benefitrate, premiumrate) VALUES('EN60', 50, 9, 8, 'A',800, 1.01);</v>
      </c>
      <c r="I158" s="6" t="str">
        <f t="shared" si="35"/>
        <v>{"age":"50", "year":"9", "couponrate":"8", "benefittype":"A", "benefitrate":"800", "premiumrate":"1.01"}</v>
      </c>
      <c r="J158" s="6" t="str">
        <f t="shared" si="36"/>
        <v>,</v>
      </c>
    </row>
    <row r="159" spans="1:10">
      <c r="A159" s="4" t="str">
        <f>'EN60'!A$3</f>
        <v>EN60</v>
      </c>
      <c r="B159" s="4">
        <f t="shared" si="37"/>
        <v>50</v>
      </c>
      <c r="C159" s="4">
        <f t="shared" si="38"/>
        <v>10</v>
      </c>
      <c r="D159" s="4">
        <f t="shared" si="32"/>
        <v>8</v>
      </c>
      <c r="E159" s="4" t="s">
        <v>27</v>
      </c>
      <c r="F159" s="4">
        <f t="shared" si="33"/>
        <v>800</v>
      </c>
      <c r="G159" s="5">
        <f t="shared" si="39"/>
        <v>1.01</v>
      </c>
      <c r="H159" s="6" t="str">
        <f t="shared" si="34"/>
        <v>INSERT INTO public.coupon (plancode, age, "year", couponrate, benefittype, benefitrate, premiumrate) VALUES('EN60', 50, 10, 8, 'A',800, 1.01);</v>
      </c>
      <c r="I159" s="6" t="str">
        <f t="shared" si="35"/>
        <v>{"age":"50", "year":"10", "couponrate":"8", "benefittype":"A", "benefitrate":"800", "premiumrate":"1.01"}</v>
      </c>
      <c r="J159" s="6" t="str">
        <f t="shared" si="36"/>
        <v>,</v>
      </c>
    </row>
    <row r="160" spans="1:10">
      <c r="A160" s="4" t="str">
        <f>'EN60'!A$3</f>
        <v>EN60</v>
      </c>
      <c r="B160" s="4">
        <f t="shared" si="37"/>
        <v>50</v>
      </c>
      <c r="C160" s="4">
        <f t="shared" si="38"/>
        <v>11</v>
      </c>
      <c r="D160" s="4">
        <f t="shared" si="32"/>
        <v>8</v>
      </c>
      <c r="E160" s="4" t="s">
        <v>27</v>
      </c>
      <c r="F160" s="4">
        <f t="shared" si="33"/>
        <v>800</v>
      </c>
      <c r="G160" s="5">
        <f t="shared" si="39"/>
        <v>1.01</v>
      </c>
      <c r="H160" s="6" t="str">
        <f t="shared" si="34"/>
        <v>INSERT INTO public.coupon (plancode, age, "year", couponrate, benefittype, benefitrate, premiumrate) VALUES('EN60', 50, 11, 8, 'A',800, 1.01);</v>
      </c>
      <c r="I160" s="6" t="str">
        <f t="shared" si="35"/>
        <v>{"age":"50", "year":"11", "couponrate":"8", "benefittype":"A", "benefitrate":"800", "premiumrate":"1.01"}</v>
      </c>
      <c r="J160" s="6" t="str">
        <f t="shared" si="36"/>
        <v>,</v>
      </c>
    </row>
    <row r="161" spans="1:10">
      <c r="A161" s="4" t="str">
        <f>'EN60'!A$3</f>
        <v>EN60</v>
      </c>
      <c r="B161" s="4">
        <f t="shared" si="37"/>
        <v>50</v>
      </c>
      <c r="C161" s="4">
        <f t="shared" si="38"/>
        <v>12</v>
      </c>
      <c r="D161" s="4">
        <f t="shared" si="32"/>
        <v>8</v>
      </c>
      <c r="E161" s="4" t="s">
        <v>27</v>
      </c>
      <c r="F161" s="4">
        <f t="shared" si="33"/>
        <v>800</v>
      </c>
      <c r="G161" s="5">
        <f t="shared" si="39"/>
        <v>1.01</v>
      </c>
      <c r="H161" s="6" t="str">
        <f t="shared" si="34"/>
        <v>INSERT INTO public.coupon (plancode, age, "year", couponrate, benefittype, benefitrate, premiumrate) VALUES('EN60', 50, 12, 8, 'A',800, 1.01);</v>
      </c>
      <c r="I161" s="6" t="str">
        <f t="shared" si="35"/>
        <v>{"age":"50", "year":"12", "couponrate":"8", "benefittype":"A", "benefitrate":"800", "premiumrate":"1.01"}</v>
      </c>
      <c r="J161" s="6" t="str">
        <f t="shared" si="36"/>
        <v>,</v>
      </c>
    </row>
    <row r="162" spans="1:10">
      <c r="A162" s="4" t="str">
        <f>'EN60'!A$3</f>
        <v>EN60</v>
      </c>
      <c r="B162" s="4">
        <f t="shared" si="37"/>
        <v>50</v>
      </c>
      <c r="C162" s="4">
        <f t="shared" si="38"/>
        <v>13</v>
      </c>
      <c r="D162" s="4">
        <f t="shared" si="32"/>
        <v>8</v>
      </c>
      <c r="E162" s="4" t="s">
        <v>27</v>
      </c>
      <c r="F162" s="4">
        <f t="shared" si="33"/>
        <v>800</v>
      </c>
      <c r="G162" s="5">
        <f t="shared" si="39"/>
        <v>1.01</v>
      </c>
      <c r="H162" s="6" t="str">
        <f t="shared" si="34"/>
        <v>INSERT INTO public.coupon (plancode, age, "year", couponrate, benefittype, benefitrate, premiumrate) VALUES('EN60', 50, 13, 8, 'A',800, 1.01);</v>
      </c>
      <c r="I162" s="6" t="str">
        <f t="shared" si="35"/>
        <v>{"age":"50", "year":"13", "couponrate":"8", "benefittype":"A", "benefitrate":"800", "premiumrate":"1.01"}</v>
      </c>
      <c r="J162" s="6" t="str">
        <f t="shared" si="36"/>
        <v>,</v>
      </c>
    </row>
    <row r="163" spans="1:10">
      <c r="A163" s="4" t="str">
        <f>'EN60'!A$3</f>
        <v>EN60</v>
      </c>
      <c r="B163" s="4">
        <f t="shared" si="37"/>
        <v>50</v>
      </c>
      <c r="C163" s="4">
        <f t="shared" si="38"/>
        <v>14</v>
      </c>
      <c r="D163" s="4">
        <f t="shared" si="32"/>
        <v>8</v>
      </c>
      <c r="E163" s="4" t="s">
        <v>27</v>
      </c>
      <c r="F163" s="4">
        <f t="shared" si="33"/>
        <v>800</v>
      </c>
      <c r="G163" s="5">
        <f t="shared" si="39"/>
        <v>1.01</v>
      </c>
      <c r="H163" s="6" t="str">
        <f t="shared" si="34"/>
        <v>INSERT INTO public.coupon (plancode, age, "year", couponrate, benefittype, benefitrate, premiumrate) VALUES('EN60', 50, 14, 8, 'A',800, 1.01);</v>
      </c>
      <c r="I163" s="6" t="str">
        <f t="shared" si="35"/>
        <v>{"age":"50", "year":"14", "couponrate":"8", "benefittype":"A", "benefitrate":"800", "premiumrate":"1.01"}</v>
      </c>
      <c r="J163" s="6" t="str">
        <f t="shared" si="36"/>
        <v>,</v>
      </c>
    </row>
    <row r="164" spans="1:10">
      <c r="A164" s="4" t="str">
        <f>'EN60'!A$3</f>
        <v>EN60</v>
      </c>
      <c r="B164" s="4">
        <f t="shared" si="37"/>
        <v>50</v>
      </c>
      <c r="C164" s="4">
        <f t="shared" si="38"/>
        <v>15</v>
      </c>
      <c r="D164" s="4">
        <f t="shared" si="32"/>
        <v>8</v>
      </c>
      <c r="E164" s="4" t="s">
        <v>27</v>
      </c>
      <c r="F164" s="4">
        <f t="shared" si="33"/>
        <v>800</v>
      </c>
      <c r="G164" s="5">
        <f t="shared" si="39"/>
        <v>1.01</v>
      </c>
      <c r="H164" s="6" t="str">
        <f t="shared" si="34"/>
        <v>INSERT INTO public.coupon (plancode, age, "year", couponrate, benefittype, benefitrate, premiumrate) VALUES('EN60', 50, 15, 8, 'A',800, 1.01);</v>
      </c>
      <c r="I164" s="6" t="str">
        <f t="shared" si="35"/>
        <v>{"age":"50", "year":"15", "couponrate":"8", "benefittype":"A", "benefitrate":"800", "premiumrate":"1.01"}</v>
      </c>
      <c r="J164" s="6" t="str">
        <f t="shared" si="36"/>
        <v>,</v>
      </c>
    </row>
    <row r="165" spans="1:10">
      <c r="A165" s="4" t="str">
        <f>'EN60'!A$3</f>
        <v>EN60</v>
      </c>
      <c r="B165" s="4">
        <f t="shared" si="37"/>
        <v>50</v>
      </c>
      <c r="C165" s="4">
        <f t="shared" si="38"/>
        <v>16</v>
      </c>
      <c r="D165" s="4">
        <f t="shared" si="32"/>
        <v>8</v>
      </c>
      <c r="E165" s="4" t="s">
        <v>27</v>
      </c>
      <c r="F165" s="4">
        <f t="shared" si="33"/>
        <v>800</v>
      </c>
      <c r="G165" s="5">
        <f t="shared" si="39"/>
        <v>1.01</v>
      </c>
      <c r="H165" s="6" t="str">
        <f t="shared" si="34"/>
        <v>INSERT INTO public.coupon (plancode, age, "year", couponrate, benefittype, benefitrate, premiumrate) VALUES('EN60', 50, 16, 8, 'A',800, 1.01);</v>
      </c>
      <c r="I165" s="6" t="str">
        <f t="shared" si="35"/>
        <v>{"age":"50", "year":"16", "couponrate":"8", "benefittype":"A", "benefitrate":"800", "premiumrate":"1.01"}</v>
      </c>
      <c r="J165" s="6" t="str">
        <f t="shared" si="36"/>
        <v>,</v>
      </c>
    </row>
    <row r="166" spans="1:10">
      <c r="A166" s="4" t="str">
        <f>'EN60'!A$3</f>
        <v>EN60</v>
      </c>
      <c r="B166" s="4">
        <f t="shared" si="37"/>
        <v>50</v>
      </c>
      <c r="C166" s="4">
        <f t="shared" si="38"/>
        <v>17</v>
      </c>
      <c r="D166" s="4">
        <f t="shared" si="32"/>
        <v>8</v>
      </c>
      <c r="E166" s="4" t="s">
        <v>27</v>
      </c>
      <c r="F166" s="4">
        <f t="shared" si="33"/>
        <v>800</v>
      </c>
      <c r="G166" s="5">
        <f t="shared" si="39"/>
        <v>1.01</v>
      </c>
      <c r="H166" s="6" t="str">
        <f t="shared" si="34"/>
        <v>INSERT INTO public.coupon (plancode, age, "year", couponrate, benefittype, benefitrate, premiumrate) VALUES('EN60', 50, 17, 8, 'A',800, 1.01);</v>
      </c>
      <c r="I166" s="6" t="str">
        <f t="shared" si="35"/>
        <v>{"age":"50", "year":"17", "couponrate":"8", "benefittype":"A", "benefitrate":"800", "premiumrate":"1.01"}</v>
      </c>
      <c r="J166" s="6" t="str">
        <f t="shared" si="36"/>
        <v>,</v>
      </c>
    </row>
    <row r="167" spans="1:10">
      <c r="A167" s="4" t="str">
        <f>'EN60'!A$3</f>
        <v>EN60</v>
      </c>
      <c r="B167" s="4">
        <f t="shared" si="37"/>
        <v>50</v>
      </c>
      <c r="C167" s="4">
        <f t="shared" si="38"/>
        <v>18</v>
      </c>
      <c r="D167" s="4">
        <f t="shared" si="32"/>
        <v>8</v>
      </c>
      <c r="E167" s="4" t="s">
        <v>27</v>
      </c>
      <c r="F167" s="4">
        <f t="shared" si="33"/>
        <v>800</v>
      </c>
      <c r="G167" s="5">
        <f t="shared" si="39"/>
        <v>1.01</v>
      </c>
      <c r="H167" s="6" t="str">
        <f t="shared" si="34"/>
        <v>INSERT INTO public.coupon (plancode, age, "year", couponrate, benefittype, benefitrate, premiumrate) VALUES('EN60', 50, 18, 8, 'A',800, 1.01);</v>
      </c>
      <c r="I167" s="6" t="str">
        <f t="shared" si="35"/>
        <v>{"age":"50", "year":"18", "couponrate":"8", "benefittype":"A", "benefitrate":"800", "premiumrate":"1.01"}</v>
      </c>
      <c r="J167" s="6" t="str">
        <f t="shared" si="36"/>
        <v>,</v>
      </c>
    </row>
    <row r="168" spans="1:10">
      <c r="A168" s="4" t="str">
        <f>'EN60'!A$3</f>
        <v>EN60</v>
      </c>
      <c r="B168" s="4">
        <f t="shared" si="37"/>
        <v>50</v>
      </c>
      <c r="C168" s="4">
        <f t="shared" si="38"/>
        <v>19</v>
      </c>
      <c r="D168" s="4">
        <f t="shared" si="32"/>
        <v>8</v>
      </c>
      <c r="E168" s="4" t="s">
        <v>27</v>
      </c>
      <c r="F168" s="4">
        <f t="shared" si="33"/>
        <v>800</v>
      </c>
      <c r="G168" s="5">
        <f t="shared" si="39"/>
        <v>1.01</v>
      </c>
      <c r="H168" s="6" t="str">
        <f t="shared" si="34"/>
        <v>INSERT INTO public.coupon (plancode, age, "year", couponrate, benefittype, benefitrate, premiumrate) VALUES('EN60', 50, 19, 8, 'A',800, 1.01);</v>
      </c>
      <c r="I168" s="6" t="str">
        <f t="shared" si="35"/>
        <v>{"age":"50", "year":"19", "couponrate":"8", "benefittype":"A", "benefitrate":"800", "premiumrate":"1.01"}</v>
      </c>
      <c r="J168" s="6" t="str">
        <f t="shared" si="36"/>
        <v>,</v>
      </c>
    </row>
    <row r="169" spans="1:10">
      <c r="A169" s="4" t="str">
        <f>'EN60'!A$3</f>
        <v>EN60</v>
      </c>
      <c r="B169" s="4">
        <f t="shared" si="37"/>
        <v>50</v>
      </c>
      <c r="C169" s="4">
        <f t="shared" si="38"/>
        <v>20</v>
      </c>
      <c r="D169" s="4">
        <f t="shared" si="32"/>
        <v>8</v>
      </c>
      <c r="E169" s="4" t="s">
        <v>27</v>
      </c>
      <c r="F169" s="4">
        <f t="shared" si="33"/>
        <v>800</v>
      </c>
      <c r="G169" s="5">
        <f t="shared" si="39"/>
        <v>1.01</v>
      </c>
      <c r="H169" s="6" t="str">
        <f t="shared" si="34"/>
        <v>INSERT INTO public.coupon (plancode, age, "year", couponrate, benefittype, benefitrate, premiumrate) VALUES('EN60', 50, 20, 8, 'A',800, 1.01);</v>
      </c>
      <c r="I169" s="6" t="str">
        <f t="shared" si="35"/>
        <v>{"age":"50", "year":"20", "couponrate":"8", "benefittype":"A", "benefitrate":"800", "premiumrate":"1.01"}</v>
      </c>
      <c r="J169" s="6" t="str">
        <f t="shared" si="36"/>
        <v>,</v>
      </c>
    </row>
    <row r="170" spans="1:10">
      <c r="A170" s="4" t="str">
        <f>'EN60'!A$3</f>
        <v>EN60</v>
      </c>
      <c r="B170" s="4">
        <f t="shared" si="37"/>
        <v>50</v>
      </c>
      <c r="C170" s="4">
        <f t="shared" si="38"/>
        <v>21</v>
      </c>
      <c r="D170" s="4">
        <f t="shared" si="32"/>
        <v>8</v>
      </c>
      <c r="E170" s="4" t="s">
        <v>27</v>
      </c>
      <c r="F170" s="4">
        <f t="shared" si="33"/>
        <v>800</v>
      </c>
      <c r="G170" s="5">
        <f t="shared" si="39"/>
        <v>1.01</v>
      </c>
      <c r="H170" s="6" t="str">
        <f t="shared" si="34"/>
        <v>INSERT INTO public.coupon (plancode, age, "year", couponrate, benefittype, benefitrate, premiumrate) VALUES('EN60', 50, 21, 8, 'A',800, 1.01);</v>
      </c>
      <c r="I170" s="6" t="str">
        <f t="shared" si="35"/>
        <v>{"age":"50", "year":"21", "couponrate":"8", "benefittype":"A", "benefitrate":"800", "premiumrate":"1.01"}</v>
      </c>
      <c r="J170" s="6" t="str">
        <f t="shared" si="36"/>
        <v>,</v>
      </c>
    </row>
    <row r="171" spans="1:10">
      <c r="A171" s="4" t="str">
        <f>'EN60'!A$3</f>
        <v>EN60</v>
      </c>
      <c r="B171" s="4">
        <f t="shared" si="37"/>
        <v>50</v>
      </c>
      <c r="C171" s="4">
        <f t="shared" si="38"/>
        <v>22</v>
      </c>
      <c r="D171" s="4">
        <f t="shared" si="32"/>
        <v>8</v>
      </c>
      <c r="E171" s="4" t="s">
        <v>27</v>
      </c>
      <c r="F171" s="4">
        <f t="shared" si="33"/>
        <v>800</v>
      </c>
      <c r="G171" s="5">
        <f t="shared" si="39"/>
        <v>1.01</v>
      </c>
      <c r="H171" s="6" t="str">
        <f t="shared" si="34"/>
        <v>INSERT INTO public.coupon (plancode, age, "year", couponrate, benefittype, benefitrate, premiumrate) VALUES('EN60', 50, 22, 8, 'A',800, 1.01);</v>
      </c>
      <c r="I171" s="6" t="str">
        <f t="shared" si="35"/>
        <v>{"age":"50", "year":"22", "couponrate":"8", "benefittype":"A", "benefitrate":"800", "premiumrate":"1.01"}</v>
      </c>
      <c r="J171" s="6" t="str">
        <f t="shared" si="36"/>
        <v>,</v>
      </c>
    </row>
    <row r="172" spans="1:10">
      <c r="A172" s="4" t="str">
        <f>'EN60'!A$3</f>
        <v>EN60</v>
      </c>
      <c r="B172" s="4">
        <f t="shared" si="37"/>
        <v>50</v>
      </c>
      <c r="C172" s="4">
        <f t="shared" si="38"/>
        <v>23</v>
      </c>
      <c r="D172" s="4">
        <f t="shared" si="32"/>
        <v>8</v>
      </c>
      <c r="E172" s="4" t="s">
        <v>27</v>
      </c>
      <c r="F172" s="4">
        <f t="shared" si="33"/>
        <v>800</v>
      </c>
      <c r="G172" s="5">
        <f t="shared" si="39"/>
        <v>1.01</v>
      </c>
      <c r="H172" s="6" t="str">
        <f t="shared" si="34"/>
        <v>INSERT INTO public.coupon (plancode, age, "year", couponrate, benefittype, benefitrate, premiumrate) VALUES('EN60', 50, 23, 8, 'A',800, 1.01);</v>
      </c>
      <c r="I172" s="6" t="str">
        <f t="shared" si="35"/>
        <v>{"age":"50", "year":"23", "couponrate":"8", "benefittype":"A", "benefitrate":"800", "premiumrate":"1.01"}</v>
      </c>
      <c r="J172" s="6" t="str">
        <f t="shared" si="36"/>
        <v>,</v>
      </c>
    </row>
    <row r="173" spans="1:10">
      <c r="A173" s="4" t="str">
        <f>'EN60'!A$3</f>
        <v>EN60</v>
      </c>
      <c r="B173" s="4">
        <f t="shared" si="37"/>
        <v>50</v>
      </c>
      <c r="C173" s="4">
        <f t="shared" si="38"/>
        <v>24</v>
      </c>
      <c r="D173" s="4">
        <f t="shared" si="32"/>
        <v>8</v>
      </c>
      <c r="E173" s="4" t="s">
        <v>27</v>
      </c>
      <c r="F173" s="4">
        <f t="shared" si="33"/>
        <v>800</v>
      </c>
      <c r="G173" s="5">
        <f t="shared" si="39"/>
        <v>1.01</v>
      </c>
      <c r="H173" s="6" t="str">
        <f t="shared" si="34"/>
        <v>INSERT INTO public.coupon (plancode, age, "year", couponrate, benefittype, benefitrate, premiumrate) VALUES('EN60', 50, 24, 8, 'A',800, 1.01);</v>
      </c>
      <c r="I173" s="6" t="str">
        <f t="shared" si="35"/>
        <v>{"age":"50", "year":"24", "couponrate":"8", "benefittype":"A", "benefitrate":"800", "premiumrate":"1.01"}</v>
      </c>
      <c r="J173" s="6" t="str">
        <f t="shared" si="36"/>
        <v>,</v>
      </c>
    </row>
    <row r="174" spans="1:10">
      <c r="A174" s="4" t="str">
        <f>'EN60'!A$3</f>
        <v>EN60</v>
      </c>
      <c r="B174" s="4">
        <f t="shared" si="37"/>
        <v>50</v>
      </c>
      <c r="C174" s="4">
        <f t="shared" si="38"/>
        <v>25</v>
      </c>
      <c r="D174" s="4">
        <f t="shared" si="32"/>
        <v>8</v>
      </c>
      <c r="E174" s="4" t="s">
        <v>27</v>
      </c>
      <c r="F174" s="4">
        <f t="shared" si="33"/>
        <v>800</v>
      </c>
      <c r="G174" s="5">
        <f t="shared" si="39"/>
        <v>1.01</v>
      </c>
      <c r="H174" s="6" t="str">
        <f t="shared" si="34"/>
        <v>INSERT INTO public.coupon (plancode, age, "year", couponrate, benefittype, benefitrate, premiumrate) VALUES('EN60', 50, 25, 8, 'A',800, 1.01);</v>
      </c>
      <c r="I174" s="6" t="str">
        <f t="shared" si="35"/>
        <v>{"age":"50", "year":"25", "couponrate":"8", "benefittype":"A", "benefitrate":"800", "premiumrate":"1.01"}</v>
      </c>
      <c r="J174" s="6" t="str">
        <f t="shared" si="36"/>
        <v>,</v>
      </c>
    </row>
    <row r="175" spans="1:10">
      <c r="A175" s="4" t="str">
        <f>'EN60'!A$3</f>
        <v>EN60</v>
      </c>
      <c r="B175" s="4">
        <f t="shared" si="37"/>
        <v>50</v>
      </c>
      <c r="C175" s="4">
        <f t="shared" si="38"/>
        <v>26</v>
      </c>
      <c r="D175" s="4">
        <f t="shared" si="32"/>
        <v>8</v>
      </c>
      <c r="E175" s="4" t="s">
        <v>27</v>
      </c>
      <c r="F175" s="4">
        <f t="shared" si="33"/>
        <v>800</v>
      </c>
      <c r="G175" s="5">
        <f t="shared" si="39"/>
        <v>1.01</v>
      </c>
      <c r="H175" s="6" t="str">
        <f t="shared" si="34"/>
        <v>INSERT INTO public.coupon (plancode, age, "year", couponrate, benefittype, benefitrate, premiumrate) VALUES('EN60', 50, 26, 8, 'A',800, 1.01);</v>
      </c>
      <c r="I175" s="6" t="str">
        <f t="shared" si="35"/>
        <v>{"age":"50", "year":"26", "couponrate":"8", "benefittype":"A", "benefitrate":"800", "premiumrate":"1.01"}</v>
      </c>
      <c r="J175" s="6" t="str">
        <f t="shared" si="36"/>
        <v>,</v>
      </c>
    </row>
    <row r="176" spans="1:10">
      <c r="A176" s="4" t="str">
        <f>'EN60'!A$3</f>
        <v>EN60</v>
      </c>
      <c r="B176" s="4">
        <f t="shared" si="37"/>
        <v>50</v>
      </c>
      <c r="C176" s="4">
        <f t="shared" si="38"/>
        <v>27</v>
      </c>
      <c r="D176" s="4">
        <f t="shared" si="32"/>
        <v>8</v>
      </c>
      <c r="E176" s="4" t="s">
        <v>27</v>
      </c>
      <c r="F176" s="4">
        <f t="shared" si="33"/>
        <v>800</v>
      </c>
      <c r="G176" s="5">
        <f t="shared" si="39"/>
        <v>1.01</v>
      </c>
      <c r="H176" s="6" t="str">
        <f t="shared" si="34"/>
        <v>INSERT INTO public.coupon (plancode, age, "year", couponrate, benefittype, benefitrate, premiumrate) VALUES('EN60', 50, 27, 8, 'A',800, 1.01);</v>
      </c>
      <c r="I176" s="6" t="str">
        <f t="shared" si="35"/>
        <v>{"age":"50", "year":"27", "couponrate":"8", "benefittype":"A", "benefitrate":"800", "premiumrate":"1.01"}</v>
      </c>
      <c r="J176" s="6" t="str">
        <f t="shared" si="36"/>
        <v>,</v>
      </c>
    </row>
    <row r="177" spans="1:10">
      <c r="A177" s="4" t="str">
        <f>'EN60'!A$3</f>
        <v>EN60</v>
      </c>
      <c r="B177" s="4">
        <f t="shared" si="37"/>
        <v>50</v>
      </c>
      <c r="C177" s="4">
        <f t="shared" si="38"/>
        <v>28</v>
      </c>
      <c r="D177" s="4">
        <f t="shared" si="32"/>
        <v>8</v>
      </c>
      <c r="E177" s="4" t="s">
        <v>27</v>
      </c>
      <c r="F177" s="4">
        <f t="shared" si="33"/>
        <v>800</v>
      </c>
      <c r="G177" s="5">
        <f t="shared" si="39"/>
        <v>1.01</v>
      </c>
      <c r="H177" s="6" t="str">
        <f t="shared" si="34"/>
        <v>INSERT INTO public.coupon (plancode, age, "year", couponrate, benefittype, benefitrate, premiumrate) VALUES('EN60', 50, 28, 8, 'A',800, 1.01);</v>
      </c>
      <c r="I177" s="6" t="str">
        <f t="shared" si="35"/>
        <v>{"age":"50", "year":"28", "couponrate":"8", "benefittype":"A", "benefitrate":"800", "premiumrate":"1.01"}</v>
      </c>
      <c r="J177" s="6" t="str">
        <f t="shared" si="36"/>
        <v>,</v>
      </c>
    </row>
    <row r="178" spans="1:10">
      <c r="A178" s="4" t="str">
        <f>'EN60'!A$3</f>
        <v>EN60</v>
      </c>
      <c r="B178" s="4">
        <f t="shared" si="37"/>
        <v>50</v>
      </c>
      <c r="C178" s="4">
        <f t="shared" si="38"/>
        <v>29</v>
      </c>
      <c r="D178" s="4">
        <f t="shared" si="32"/>
        <v>8</v>
      </c>
      <c r="E178" s="4" t="s">
        <v>27</v>
      </c>
      <c r="F178" s="4">
        <f t="shared" si="33"/>
        <v>800</v>
      </c>
      <c r="G178" s="5">
        <f t="shared" si="39"/>
        <v>1.01</v>
      </c>
      <c r="H178" s="6" t="str">
        <f t="shared" si="34"/>
        <v>INSERT INTO public.coupon (plancode, age, "year", couponrate, benefittype, benefitrate, premiumrate) VALUES('EN60', 50, 29, 8, 'A',800, 1.01);</v>
      </c>
      <c r="I178" s="6" t="str">
        <f t="shared" si="35"/>
        <v>{"age":"50", "year":"29", "couponrate":"8", "benefittype":"A", "benefitrate":"800", "premiumrate":"1.01"}</v>
      </c>
      <c r="J178" s="6" t="str">
        <f t="shared" si="36"/>
        <v>,</v>
      </c>
    </row>
    <row r="179" spans="1:10">
      <c r="A179" s="4" t="str">
        <f>'EN60'!A$3</f>
        <v>EN60</v>
      </c>
      <c r="B179" s="4">
        <f t="shared" si="37"/>
        <v>50</v>
      </c>
      <c r="C179" s="4">
        <f t="shared" si="38"/>
        <v>30</v>
      </c>
      <c r="D179" s="4">
        <f t="shared" si="32"/>
        <v>0</v>
      </c>
      <c r="E179" s="4" t="s">
        <v>27</v>
      </c>
      <c r="F179" s="4">
        <f t="shared" si="33"/>
        <v>800</v>
      </c>
      <c r="G179" s="5">
        <f t="shared" si="39"/>
        <v>1.01</v>
      </c>
      <c r="H179" s="6" t="str">
        <f t="shared" si="34"/>
        <v>INSERT INTO public.coupon (plancode, age, "year", couponrate, benefittype, benefitrate, premiumrate) VALUES('EN60', 50, 30, 0, 'A',800, 1.01);</v>
      </c>
      <c r="I179" s="6" t="str">
        <f t="shared" si="35"/>
        <v>{"age":"50", "year":"30", "couponrate":"0", "benefittype":"A", "benefitrate":"800", "premiumrate":"1.01"}</v>
      </c>
    </row>
    <row r="180" spans="1:10">
      <c r="C180" s="6"/>
      <c r="I180" s="6" t="s">
        <v>28</v>
      </c>
    </row>
    <row r="181" spans="1:10">
      <c r="A181" s="3" t="s">
        <v>2</v>
      </c>
      <c r="B181" s="3" t="s">
        <v>23</v>
      </c>
      <c r="C181" s="3" t="s">
        <v>24</v>
      </c>
      <c r="D181" s="3" t="s">
        <v>25</v>
      </c>
      <c r="E181" s="3" t="s">
        <v>8</v>
      </c>
      <c r="F181" s="3" t="s">
        <v>26</v>
      </c>
      <c r="G181" s="3" t="s">
        <v>4</v>
      </c>
      <c r="I181" s="6" t="str">
        <f>"[{""plancode"":"""&amp;A182&amp;""",""returncash"":"""&amp;B$7&amp;""",""ytable"":"""&amp;C$7&amp;""",""maturerate"":"""&amp;B$3&amp;""",""maturepmrate"":"""&amp;C$3&amp;""",""coupon"":["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182" spans="1:10">
      <c r="A182" s="4" t="str">
        <f>'EN60'!A$3</f>
        <v>EN60</v>
      </c>
      <c r="B182" s="8">
        <v>51</v>
      </c>
      <c r="C182" s="4">
        <v>1</v>
      </c>
      <c r="D182" s="4">
        <f t="shared" ref="D182:D210" si="40">IF(C182+B182=80,0,8)</f>
        <v>8</v>
      </c>
      <c r="E182" s="4" t="s">
        <v>27</v>
      </c>
      <c r="F182" s="4">
        <f t="shared" ref="F182:F210" si="41">IF(C182&gt;7, 800, C182*100)</f>
        <v>100</v>
      </c>
      <c r="G182" s="5">
        <f>'EN60'!C$3</f>
        <v>1.01</v>
      </c>
      <c r="H182" s="6" t="str">
        <f t="shared" ref="H182:H210" si="42">"INSERT INTO public.coupon ("&amp;A$11&amp;", "&amp;B$11&amp;", """&amp;C$11&amp;""", "&amp;D$11&amp;", "&amp;E$11&amp;", "&amp;F$11&amp;", "&amp;G$11&amp;") VALUES('"&amp;A182&amp;"', "&amp;B182&amp;", "&amp;C182&amp;", "&amp;D182&amp;", '"&amp;E182&amp;"',"&amp;F182&amp;", "&amp;G182&amp;");"</f>
        <v>INSERT INTO public.coupon (plancode, age, "year", couponrate, benefittype, benefitrate, premiumrate) VALUES('EN60', 51, 1, 8, 'A',100, 1.01);</v>
      </c>
      <c r="I182" s="6" t="str">
        <f t="shared" ref="I182:I210" si="43">"{""age"":"""&amp;B182&amp;""", ""year"":"""&amp;C182&amp;""", ""couponrate"":"""&amp;D182&amp;""", ""benefittype"":"""&amp;E182&amp;""", ""benefitrate"":"""&amp;F182&amp;""", """&amp;G$11&amp;""":"""&amp;G182&amp;"""}"</f>
        <v>{"age":"51", "year":"1", "couponrate":"8", "benefittype":"A", "benefitrate":"100", "premiumrate":"1.01"}</v>
      </c>
      <c r="J182" s="6" t="str">
        <f t="shared" ref="J182:J209" si="44">IF(OR(I183="]", I182="[", I182="]"), "", ",")</f>
        <v>,</v>
      </c>
    </row>
    <row r="183" spans="1:10">
      <c r="A183" s="4" t="str">
        <f>'EN60'!A$3</f>
        <v>EN60</v>
      </c>
      <c r="B183" s="4">
        <f t="shared" ref="B183:B210" si="45">B182</f>
        <v>51</v>
      </c>
      <c r="C183" s="4">
        <f t="shared" ref="C183:C210" si="46">IF(B183+C182+1&gt;80,"",C182+1)</f>
        <v>2</v>
      </c>
      <c r="D183" s="4">
        <f t="shared" si="40"/>
        <v>8</v>
      </c>
      <c r="E183" s="4" t="s">
        <v>27</v>
      </c>
      <c r="F183" s="4">
        <f t="shared" si="41"/>
        <v>200</v>
      </c>
      <c r="G183" s="5">
        <f t="shared" ref="G183:G210" si="47">G182</f>
        <v>1.01</v>
      </c>
      <c r="H183" s="6" t="str">
        <f t="shared" si="42"/>
        <v>INSERT INTO public.coupon (plancode, age, "year", couponrate, benefittype, benefitrate, premiumrate) VALUES('EN60', 51, 2, 8, 'A',200, 1.01);</v>
      </c>
      <c r="I183" s="6" t="str">
        <f t="shared" si="43"/>
        <v>{"age":"51", "year":"2", "couponrate":"8", "benefittype":"A", "benefitrate":"200", "premiumrate":"1.01"}</v>
      </c>
      <c r="J183" s="6" t="str">
        <f t="shared" si="44"/>
        <v>,</v>
      </c>
    </row>
    <row r="184" spans="1:10">
      <c r="A184" s="4" t="str">
        <f>'EN60'!A$3</f>
        <v>EN60</v>
      </c>
      <c r="B184" s="4">
        <f t="shared" si="45"/>
        <v>51</v>
      </c>
      <c r="C184" s="4">
        <f t="shared" si="46"/>
        <v>3</v>
      </c>
      <c r="D184" s="4">
        <f t="shared" si="40"/>
        <v>8</v>
      </c>
      <c r="E184" s="4" t="s">
        <v>27</v>
      </c>
      <c r="F184" s="4">
        <f t="shared" si="41"/>
        <v>300</v>
      </c>
      <c r="G184" s="5">
        <f t="shared" si="47"/>
        <v>1.01</v>
      </c>
      <c r="H184" s="6" t="str">
        <f t="shared" si="42"/>
        <v>INSERT INTO public.coupon (plancode, age, "year", couponrate, benefittype, benefitrate, premiumrate) VALUES('EN60', 51, 3, 8, 'A',300, 1.01);</v>
      </c>
      <c r="I184" s="6" t="str">
        <f t="shared" si="43"/>
        <v>{"age":"51", "year":"3", "couponrate":"8", "benefittype":"A", "benefitrate":"300", "premiumrate":"1.01"}</v>
      </c>
      <c r="J184" s="6" t="str">
        <f t="shared" si="44"/>
        <v>,</v>
      </c>
    </row>
    <row r="185" spans="1:10">
      <c r="A185" s="4" t="str">
        <f>'EN60'!A$3</f>
        <v>EN60</v>
      </c>
      <c r="B185" s="4">
        <f t="shared" si="45"/>
        <v>51</v>
      </c>
      <c r="C185" s="4">
        <f t="shared" si="46"/>
        <v>4</v>
      </c>
      <c r="D185" s="4">
        <f t="shared" si="40"/>
        <v>8</v>
      </c>
      <c r="E185" s="4" t="s">
        <v>27</v>
      </c>
      <c r="F185" s="4">
        <f t="shared" si="41"/>
        <v>400</v>
      </c>
      <c r="G185" s="5">
        <f t="shared" si="47"/>
        <v>1.01</v>
      </c>
      <c r="H185" s="6" t="str">
        <f t="shared" si="42"/>
        <v>INSERT INTO public.coupon (plancode, age, "year", couponrate, benefittype, benefitrate, premiumrate) VALUES('EN60', 51, 4, 8, 'A',400, 1.01);</v>
      </c>
      <c r="I185" s="6" t="str">
        <f t="shared" si="43"/>
        <v>{"age":"51", "year":"4", "couponrate":"8", "benefittype":"A", "benefitrate":"400", "premiumrate":"1.01"}</v>
      </c>
      <c r="J185" s="6" t="str">
        <f t="shared" si="44"/>
        <v>,</v>
      </c>
    </row>
    <row r="186" spans="1:10">
      <c r="A186" s="4" t="str">
        <f>'EN60'!A$3</f>
        <v>EN60</v>
      </c>
      <c r="B186" s="4">
        <f t="shared" si="45"/>
        <v>51</v>
      </c>
      <c r="C186" s="4">
        <f t="shared" si="46"/>
        <v>5</v>
      </c>
      <c r="D186" s="4">
        <f t="shared" si="40"/>
        <v>8</v>
      </c>
      <c r="E186" s="4" t="s">
        <v>27</v>
      </c>
      <c r="F186" s="4">
        <f t="shared" si="41"/>
        <v>500</v>
      </c>
      <c r="G186" s="5">
        <f t="shared" si="47"/>
        <v>1.01</v>
      </c>
      <c r="H186" s="6" t="str">
        <f t="shared" si="42"/>
        <v>INSERT INTO public.coupon (plancode, age, "year", couponrate, benefittype, benefitrate, premiumrate) VALUES('EN60', 51, 5, 8, 'A',500, 1.01);</v>
      </c>
      <c r="I186" s="6" t="str">
        <f t="shared" si="43"/>
        <v>{"age":"51", "year":"5", "couponrate":"8", "benefittype":"A", "benefitrate":"500", "premiumrate":"1.01"}</v>
      </c>
      <c r="J186" s="6" t="str">
        <f t="shared" si="44"/>
        <v>,</v>
      </c>
    </row>
    <row r="187" spans="1:10">
      <c r="A187" s="4" t="str">
        <f>'EN60'!A$3</f>
        <v>EN60</v>
      </c>
      <c r="B187" s="4">
        <f t="shared" si="45"/>
        <v>51</v>
      </c>
      <c r="C187" s="4">
        <f t="shared" si="46"/>
        <v>6</v>
      </c>
      <c r="D187" s="4">
        <f t="shared" si="40"/>
        <v>8</v>
      </c>
      <c r="E187" s="4" t="s">
        <v>27</v>
      </c>
      <c r="F187" s="4">
        <f t="shared" si="41"/>
        <v>600</v>
      </c>
      <c r="G187" s="5">
        <f t="shared" si="47"/>
        <v>1.01</v>
      </c>
      <c r="H187" s="6" t="str">
        <f t="shared" si="42"/>
        <v>INSERT INTO public.coupon (plancode, age, "year", couponrate, benefittype, benefitrate, premiumrate) VALUES('EN60', 51, 6, 8, 'A',600, 1.01);</v>
      </c>
      <c r="I187" s="6" t="str">
        <f t="shared" si="43"/>
        <v>{"age":"51", "year":"6", "couponrate":"8", "benefittype":"A", "benefitrate":"600", "premiumrate":"1.01"}</v>
      </c>
      <c r="J187" s="6" t="str">
        <f t="shared" si="44"/>
        <v>,</v>
      </c>
    </row>
    <row r="188" spans="1:10">
      <c r="A188" s="4" t="str">
        <f>'EN60'!A$3</f>
        <v>EN60</v>
      </c>
      <c r="B188" s="4">
        <f t="shared" si="45"/>
        <v>51</v>
      </c>
      <c r="C188" s="4">
        <f t="shared" si="46"/>
        <v>7</v>
      </c>
      <c r="D188" s="4">
        <f t="shared" si="40"/>
        <v>8</v>
      </c>
      <c r="E188" s="4" t="s">
        <v>27</v>
      </c>
      <c r="F188" s="4">
        <f t="shared" si="41"/>
        <v>700</v>
      </c>
      <c r="G188" s="5">
        <f t="shared" si="47"/>
        <v>1.01</v>
      </c>
      <c r="H188" s="6" t="str">
        <f t="shared" si="42"/>
        <v>INSERT INTO public.coupon (plancode, age, "year", couponrate, benefittype, benefitrate, premiumrate) VALUES('EN60', 51, 7, 8, 'A',700, 1.01);</v>
      </c>
      <c r="I188" s="6" t="str">
        <f t="shared" si="43"/>
        <v>{"age":"51", "year":"7", "couponrate":"8", "benefittype":"A", "benefitrate":"700", "premiumrate":"1.01"}</v>
      </c>
      <c r="J188" s="6" t="str">
        <f t="shared" si="44"/>
        <v>,</v>
      </c>
    </row>
    <row r="189" spans="1:10">
      <c r="A189" s="4" t="str">
        <f>'EN60'!A$3</f>
        <v>EN60</v>
      </c>
      <c r="B189" s="4">
        <f t="shared" si="45"/>
        <v>51</v>
      </c>
      <c r="C189" s="4">
        <f t="shared" si="46"/>
        <v>8</v>
      </c>
      <c r="D189" s="4">
        <f t="shared" si="40"/>
        <v>8</v>
      </c>
      <c r="E189" s="4" t="s">
        <v>27</v>
      </c>
      <c r="F189" s="4">
        <f t="shared" si="41"/>
        <v>800</v>
      </c>
      <c r="G189" s="5">
        <f t="shared" si="47"/>
        <v>1.01</v>
      </c>
      <c r="H189" s="6" t="str">
        <f t="shared" si="42"/>
        <v>INSERT INTO public.coupon (plancode, age, "year", couponrate, benefittype, benefitrate, premiumrate) VALUES('EN60', 51, 8, 8, 'A',800, 1.01);</v>
      </c>
      <c r="I189" s="6" t="str">
        <f t="shared" si="43"/>
        <v>{"age":"51", "year":"8", "couponrate":"8", "benefittype":"A", "benefitrate":"800", "premiumrate":"1.01"}</v>
      </c>
      <c r="J189" s="6" t="str">
        <f t="shared" si="44"/>
        <v>,</v>
      </c>
    </row>
    <row r="190" spans="1:10">
      <c r="A190" s="4" t="str">
        <f>'EN60'!A$3</f>
        <v>EN60</v>
      </c>
      <c r="B190" s="4">
        <f t="shared" si="45"/>
        <v>51</v>
      </c>
      <c r="C190" s="4">
        <f t="shared" si="46"/>
        <v>9</v>
      </c>
      <c r="D190" s="4">
        <f t="shared" si="40"/>
        <v>8</v>
      </c>
      <c r="E190" s="4" t="s">
        <v>27</v>
      </c>
      <c r="F190" s="4">
        <f t="shared" si="41"/>
        <v>800</v>
      </c>
      <c r="G190" s="5">
        <f t="shared" si="47"/>
        <v>1.01</v>
      </c>
      <c r="H190" s="6" t="str">
        <f t="shared" si="42"/>
        <v>INSERT INTO public.coupon (plancode, age, "year", couponrate, benefittype, benefitrate, premiumrate) VALUES('EN60', 51, 9, 8, 'A',800, 1.01);</v>
      </c>
      <c r="I190" s="6" t="str">
        <f t="shared" si="43"/>
        <v>{"age":"51", "year":"9", "couponrate":"8", "benefittype":"A", "benefitrate":"800", "premiumrate":"1.01"}</v>
      </c>
      <c r="J190" s="6" t="str">
        <f t="shared" si="44"/>
        <v>,</v>
      </c>
    </row>
    <row r="191" spans="1:10">
      <c r="A191" s="4" t="str">
        <f>'EN60'!A$3</f>
        <v>EN60</v>
      </c>
      <c r="B191" s="4">
        <f t="shared" si="45"/>
        <v>51</v>
      </c>
      <c r="C191" s="4">
        <f t="shared" si="46"/>
        <v>10</v>
      </c>
      <c r="D191" s="4">
        <f t="shared" si="40"/>
        <v>8</v>
      </c>
      <c r="E191" s="4" t="s">
        <v>27</v>
      </c>
      <c r="F191" s="4">
        <f t="shared" si="41"/>
        <v>800</v>
      </c>
      <c r="G191" s="5">
        <f t="shared" si="47"/>
        <v>1.01</v>
      </c>
      <c r="H191" s="6" t="str">
        <f t="shared" si="42"/>
        <v>INSERT INTO public.coupon (plancode, age, "year", couponrate, benefittype, benefitrate, premiumrate) VALUES('EN60', 51, 10, 8, 'A',800, 1.01);</v>
      </c>
      <c r="I191" s="6" t="str">
        <f t="shared" si="43"/>
        <v>{"age":"51", "year":"10", "couponrate":"8", "benefittype":"A", "benefitrate":"800", "premiumrate":"1.01"}</v>
      </c>
      <c r="J191" s="6" t="str">
        <f t="shared" si="44"/>
        <v>,</v>
      </c>
    </row>
    <row r="192" spans="1:10">
      <c r="A192" s="4" t="str">
        <f>'EN60'!A$3</f>
        <v>EN60</v>
      </c>
      <c r="B192" s="4">
        <f t="shared" si="45"/>
        <v>51</v>
      </c>
      <c r="C192" s="4">
        <f t="shared" si="46"/>
        <v>11</v>
      </c>
      <c r="D192" s="4">
        <f t="shared" si="40"/>
        <v>8</v>
      </c>
      <c r="E192" s="4" t="s">
        <v>27</v>
      </c>
      <c r="F192" s="4">
        <f t="shared" si="41"/>
        <v>800</v>
      </c>
      <c r="G192" s="5">
        <f t="shared" si="47"/>
        <v>1.01</v>
      </c>
      <c r="H192" s="6" t="str">
        <f t="shared" si="42"/>
        <v>INSERT INTO public.coupon (plancode, age, "year", couponrate, benefittype, benefitrate, premiumrate) VALUES('EN60', 51, 11, 8, 'A',800, 1.01);</v>
      </c>
      <c r="I192" s="6" t="str">
        <f t="shared" si="43"/>
        <v>{"age":"51", "year":"11", "couponrate":"8", "benefittype":"A", "benefitrate":"800", "premiumrate":"1.01"}</v>
      </c>
      <c r="J192" s="6" t="str">
        <f t="shared" si="44"/>
        <v>,</v>
      </c>
    </row>
    <row r="193" spans="1:10">
      <c r="A193" s="4" t="str">
        <f>'EN60'!A$3</f>
        <v>EN60</v>
      </c>
      <c r="B193" s="4">
        <f t="shared" si="45"/>
        <v>51</v>
      </c>
      <c r="C193" s="4">
        <f t="shared" si="46"/>
        <v>12</v>
      </c>
      <c r="D193" s="4">
        <f t="shared" si="40"/>
        <v>8</v>
      </c>
      <c r="E193" s="4" t="s">
        <v>27</v>
      </c>
      <c r="F193" s="4">
        <f t="shared" si="41"/>
        <v>800</v>
      </c>
      <c r="G193" s="5">
        <f t="shared" si="47"/>
        <v>1.01</v>
      </c>
      <c r="H193" s="6" t="str">
        <f t="shared" si="42"/>
        <v>INSERT INTO public.coupon (plancode, age, "year", couponrate, benefittype, benefitrate, premiumrate) VALUES('EN60', 51, 12, 8, 'A',800, 1.01);</v>
      </c>
      <c r="I193" s="6" t="str">
        <f t="shared" si="43"/>
        <v>{"age":"51", "year":"12", "couponrate":"8", "benefittype":"A", "benefitrate":"800", "premiumrate":"1.01"}</v>
      </c>
      <c r="J193" s="6" t="str">
        <f t="shared" si="44"/>
        <v>,</v>
      </c>
    </row>
    <row r="194" spans="1:10">
      <c r="A194" s="4" t="str">
        <f>'EN60'!A$3</f>
        <v>EN60</v>
      </c>
      <c r="B194" s="4">
        <f t="shared" si="45"/>
        <v>51</v>
      </c>
      <c r="C194" s="4">
        <f t="shared" si="46"/>
        <v>13</v>
      </c>
      <c r="D194" s="4">
        <f t="shared" si="40"/>
        <v>8</v>
      </c>
      <c r="E194" s="4" t="s">
        <v>27</v>
      </c>
      <c r="F194" s="4">
        <f t="shared" si="41"/>
        <v>800</v>
      </c>
      <c r="G194" s="5">
        <f t="shared" si="47"/>
        <v>1.01</v>
      </c>
      <c r="H194" s="6" t="str">
        <f t="shared" si="42"/>
        <v>INSERT INTO public.coupon (plancode, age, "year", couponrate, benefittype, benefitrate, premiumrate) VALUES('EN60', 51, 13, 8, 'A',800, 1.01);</v>
      </c>
      <c r="I194" s="6" t="str">
        <f t="shared" si="43"/>
        <v>{"age":"51", "year":"13", "couponrate":"8", "benefittype":"A", "benefitrate":"800", "premiumrate":"1.01"}</v>
      </c>
      <c r="J194" s="6" t="str">
        <f t="shared" si="44"/>
        <v>,</v>
      </c>
    </row>
    <row r="195" spans="1:10">
      <c r="A195" s="4" t="str">
        <f>'EN60'!A$3</f>
        <v>EN60</v>
      </c>
      <c r="B195" s="4">
        <f t="shared" si="45"/>
        <v>51</v>
      </c>
      <c r="C195" s="4">
        <f t="shared" si="46"/>
        <v>14</v>
      </c>
      <c r="D195" s="4">
        <f t="shared" si="40"/>
        <v>8</v>
      </c>
      <c r="E195" s="4" t="s">
        <v>27</v>
      </c>
      <c r="F195" s="4">
        <f t="shared" si="41"/>
        <v>800</v>
      </c>
      <c r="G195" s="5">
        <f t="shared" si="47"/>
        <v>1.01</v>
      </c>
      <c r="H195" s="6" t="str">
        <f t="shared" si="42"/>
        <v>INSERT INTO public.coupon (plancode, age, "year", couponrate, benefittype, benefitrate, premiumrate) VALUES('EN60', 51, 14, 8, 'A',800, 1.01);</v>
      </c>
      <c r="I195" s="6" t="str">
        <f t="shared" si="43"/>
        <v>{"age":"51", "year":"14", "couponrate":"8", "benefittype":"A", "benefitrate":"800", "premiumrate":"1.01"}</v>
      </c>
      <c r="J195" s="6" t="str">
        <f t="shared" si="44"/>
        <v>,</v>
      </c>
    </row>
    <row r="196" spans="1:10">
      <c r="A196" s="4" t="str">
        <f>'EN60'!A$3</f>
        <v>EN60</v>
      </c>
      <c r="B196" s="4">
        <f t="shared" si="45"/>
        <v>51</v>
      </c>
      <c r="C196" s="4">
        <f t="shared" si="46"/>
        <v>15</v>
      </c>
      <c r="D196" s="4">
        <f t="shared" si="40"/>
        <v>8</v>
      </c>
      <c r="E196" s="4" t="s">
        <v>27</v>
      </c>
      <c r="F196" s="4">
        <f t="shared" si="41"/>
        <v>800</v>
      </c>
      <c r="G196" s="5">
        <f t="shared" si="47"/>
        <v>1.01</v>
      </c>
      <c r="H196" s="6" t="str">
        <f t="shared" si="42"/>
        <v>INSERT INTO public.coupon (plancode, age, "year", couponrate, benefittype, benefitrate, premiumrate) VALUES('EN60', 51, 15, 8, 'A',800, 1.01);</v>
      </c>
      <c r="I196" s="6" t="str">
        <f t="shared" si="43"/>
        <v>{"age":"51", "year":"15", "couponrate":"8", "benefittype":"A", "benefitrate":"800", "premiumrate":"1.01"}</v>
      </c>
      <c r="J196" s="6" t="str">
        <f t="shared" si="44"/>
        <v>,</v>
      </c>
    </row>
    <row r="197" spans="1:10">
      <c r="A197" s="4" t="str">
        <f>'EN60'!A$3</f>
        <v>EN60</v>
      </c>
      <c r="B197" s="4">
        <f t="shared" si="45"/>
        <v>51</v>
      </c>
      <c r="C197" s="4">
        <f t="shared" si="46"/>
        <v>16</v>
      </c>
      <c r="D197" s="4">
        <f t="shared" si="40"/>
        <v>8</v>
      </c>
      <c r="E197" s="4" t="s">
        <v>27</v>
      </c>
      <c r="F197" s="4">
        <f t="shared" si="41"/>
        <v>800</v>
      </c>
      <c r="G197" s="5">
        <f t="shared" si="47"/>
        <v>1.01</v>
      </c>
      <c r="H197" s="6" t="str">
        <f t="shared" si="42"/>
        <v>INSERT INTO public.coupon (plancode, age, "year", couponrate, benefittype, benefitrate, premiumrate) VALUES('EN60', 51, 16, 8, 'A',800, 1.01);</v>
      </c>
      <c r="I197" s="6" t="str">
        <f t="shared" si="43"/>
        <v>{"age":"51", "year":"16", "couponrate":"8", "benefittype":"A", "benefitrate":"800", "premiumrate":"1.01"}</v>
      </c>
      <c r="J197" s="6" t="str">
        <f t="shared" si="44"/>
        <v>,</v>
      </c>
    </row>
    <row r="198" spans="1:10">
      <c r="A198" s="4" t="str">
        <f>'EN60'!A$3</f>
        <v>EN60</v>
      </c>
      <c r="B198" s="4">
        <f t="shared" si="45"/>
        <v>51</v>
      </c>
      <c r="C198" s="4">
        <f t="shared" si="46"/>
        <v>17</v>
      </c>
      <c r="D198" s="4">
        <f t="shared" si="40"/>
        <v>8</v>
      </c>
      <c r="E198" s="4" t="s">
        <v>27</v>
      </c>
      <c r="F198" s="4">
        <f t="shared" si="41"/>
        <v>800</v>
      </c>
      <c r="G198" s="5">
        <f t="shared" si="47"/>
        <v>1.01</v>
      </c>
      <c r="H198" s="6" t="str">
        <f t="shared" si="42"/>
        <v>INSERT INTO public.coupon (plancode, age, "year", couponrate, benefittype, benefitrate, premiumrate) VALUES('EN60', 51, 17, 8, 'A',800, 1.01);</v>
      </c>
      <c r="I198" s="6" t="str">
        <f t="shared" si="43"/>
        <v>{"age":"51", "year":"17", "couponrate":"8", "benefittype":"A", "benefitrate":"800", "premiumrate":"1.01"}</v>
      </c>
      <c r="J198" s="6" t="str">
        <f t="shared" si="44"/>
        <v>,</v>
      </c>
    </row>
    <row r="199" spans="1:10">
      <c r="A199" s="4" t="str">
        <f>'EN60'!A$3</f>
        <v>EN60</v>
      </c>
      <c r="B199" s="4">
        <f t="shared" si="45"/>
        <v>51</v>
      </c>
      <c r="C199" s="4">
        <f t="shared" si="46"/>
        <v>18</v>
      </c>
      <c r="D199" s="4">
        <f t="shared" si="40"/>
        <v>8</v>
      </c>
      <c r="E199" s="4" t="s">
        <v>27</v>
      </c>
      <c r="F199" s="4">
        <f t="shared" si="41"/>
        <v>800</v>
      </c>
      <c r="G199" s="5">
        <f t="shared" si="47"/>
        <v>1.01</v>
      </c>
      <c r="H199" s="6" t="str">
        <f t="shared" si="42"/>
        <v>INSERT INTO public.coupon (plancode, age, "year", couponrate, benefittype, benefitrate, premiumrate) VALUES('EN60', 51, 18, 8, 'A',800, 1.01);</v>
      </c>
      <c r="I199" s="6" t="str">
        <f t="shared" si="43"/>
        <v>{"age":"51", "year":"18", "couponrate":"8", "benefittype":"A", "benefitrate":"800", "premiumrate":"1.01"}</v>
      </c>
      <c r="J199" s="6" t="str">
        <f t="shared" si="44"/>
        <v>,</v>
      </c>
    </row>
    <row r="200" spans="1:10">
      <c r="A200" s="4" t="str">
        <f>'EN60'!A$3</f>
        <v>EN60</v>
      </c>
      <c r="B200" s="4">
        <f t="shared" si="45"/>
        <v>51</v>
      </c>
      <c r="C200" s="4">
        <f t="shared" si="46"/>
        <v>19</v>
      </c>
      <c r="D200" s="4">
        <f t="shared" si="40"/>
        <v>8</v>
      </c>
      <c r="E200" s="4" t="s">
        <v>27</v>
      </c>
      <c r="F200" s="4">
        <f t="shared" si="41"/>
        <v>800</v>
      </c>
      <c r="G200" s="5">
        <f t="shared" si="47"/>
        <v>1.01</v>
      </c>
      <c r="H200" s="6" t="str">
        <f t="shared" si="42"/>
        <v>INSERT INTO public.coupon (plancode, age, "year", couponrate, benefittype, benefitrate, premiumrate) VALUES('EN60', 51, 19, 8, 'A',800, 1.01);</v>
      </c>
      <c r="I200" s="6" t="str">
        <f t="shared" si="43"/>
        <v>{"age":"51", "year":"19", "couponrate":"8", "benefittype":"A", "benefitrate":"800", "premiumrate":"1.01"}</v>
      </c>
      <c r="J200" s="6" t="str">
        <f t="shared" si="44"/>
        <v>,</v>
      </c>
    </row>
    <row r="201" spans="1:10">
      <c r="A201" s="4" t="str">
        <f>'EN60'!A$3</f>
        <v>EN60</v>
      </c>
      <c r="B201" s="4">
        <f t="shared" si="45"/>
        <v>51</v>
      </c>
      <c r="C201" s="4">
        <f t="shared" si="46"/>
        <v>20</v>
      </c>
      <c r="D201" s="4">
        <f t="shared" si="40"/>
        <v>8</v>
      </c>
      <c r="E201" s="4" t="s">
        <v>27</v>
      </c>
      <c r="F201" s="4">
        <f t="shared" si="41"/>
        <v>800</v>
      </c>
      <c r="G201" s="5">
        <f t="shared" si="47"/>
        <v>1.01</v>
      </c>
      <c r="H201" s="6" t="str">
        <f t="shared" si="42"/>
        <v>INSERT INTO public.coupon (plancode, age, "year", couponrate, benefittype, benefitrate, premiumrate) VALUES('EN60', 51, 20, 8, 'A',800, 1.01);</v>
      </c>
      <c r="I201" s="6" t="str">
        <f t="shared" si="43"/>
        <v>{"age":"51", "year":"20", "couponrate":"8", "benefittype":"A", "benefitrate":"800", "premiumrate":"1.01"}</v>
      </c>
      <c r="J201" s="6" t="str">
        <f t="shared" si="44"/>
        <v>,</v>
      </c>
    </row>
    <row r="202" spans="1:10">
      <c r="A202" s="4" t="str">
        <f>'EN60'!A$3</f>
        <v>EN60</v>
      </c>
      <c r="B202" s="4">
        <f t="shared" si="45"/>
        <v>51</v>
      </c>
      <c r="C202" s="4">
        <f t="shared" si="46"/>
        <v>21</v>
      </c>
      <c r="D202" s="4">
        <f t="shared" si="40"/>
        <v>8</v>
      </c>
      <c r="E202" s="4" t="s">
        <v>27</v>
      </c>
      <c r="F202" s="4">
        <f t="shared" si="41"/>
        <v>800</v>
      </c>
      <c r="G202" s="5">
        <f t="shared" si="47"/>
        <v>1.01</v>
      </c>
      <c r="H202" s="6" t="str">
        <f t="shared" si="42"/>
        <v>INSERT INTO public.coupon (plancode, age, "year", couponrate, benefittype, benefitrate, premiumrate) VALUES('EN60', 51, 21, 8, 'A',800, 1.01);</v>
      </c>
      <c r="I202" s="6" t="str">
        <f t="shared" si="43"/>
        <v>{"age":"51", "year":"21", "couponrate":"8", "benefittype":"A", "benefitrate":"800", "premiumrate":"1.01"}</v>
      </c>
      <c r="J202" s="6" t="str">
        <f t="shared" si="44"/>
        <v>,</v>
      </c>
    </row>
    <row r="203" spans="1:10">
      <c r="A203" s="4" t="str">
        <f>'EN60'!A$3</f>
        <v>EN60</v>
      </c>
      <c r="B203" s="4">
        <f t="shared" si="45"/>
        <v>51</v>
      </c>
      <c r="C203" s="4">
        <f t="shared" si="46"/>
        <v>22</v>
      </c>
      <c r="D203" s="4">
        <f t="shared" si="40"/>
        <v>8</v>
      </c>
      <c r="E203" s="4" t="s">
        <v>27</v>
      </c>
      <c r="F203" s="4">
        <f t="shared" si="41"/>
        <v>800</v>
      </c>
      <c r="G203" s="5">
        <f t="shared" si="47"/>
        <v>1.01</v>
      </c>
      <c r="H203" s="6" t="str">
        <f t="shared" si="42"/>
        <v>INSERT INTO public.coupon (plancode, age, "year", couponrate, benefittype, benefitrate, premiumrate) VALUES('EN60', 51, 22, 8, 'A',800, 1.01);</v>
      </c>
      <c r="I203" s="6" t="str">
        <f t="shared" si="43"/>
        <v>{"age":"51", "year":"22", "couponrate":"8", "benefittype":"A", "benefitrate":"800", "premiumrate":"1.01"}</v>
      </c>
      <c r="J203" s="6" t="str">
        <f t="shared" si="44"/>
        <v>,</v>
      </c>
    </row>
    <row r="204" spans="1:10">
      <c r="A204" s="4" t="str">
        <f>'EN60'!A$3</f>
        <v>EN60</v>
      </c>
      <c r="B204" s="4">
        <f t="shared" si="45"/>
        <v>51</v>
      </c>
      <c r="C204" s="4">
        <f t="shared" si="46"/>
        <v>23</v>
      </c>
      <c r="D204" s="4">
        <f t="shared" si="40"/>
        <v>8</v>
      </c>
      <c r="E204" s="4" t="s">
        <v>27</v>
      </c>
      <c r="F204" s="4">
        <f t="shared" si="41"/>
        <v>800</v>
      </c>
      <c r="G204" s="5">
        <f t="shared" si="47"/>
        <v>1.01</v>
      </c>
      <c r="H204" s="6" t="str">
        <f t="shared" si="42"/>
        <v>INSERT INTO public.coupon (plancode, age, "year", couponrate, benefittype, benefitrate, premiumrate) VALUES('EN60', 51, 23, 8, 'A',800, 1.01);</v>
      </c>
      <c r="I204" s="6" t="str">
        <f t="shared" si="43"/>
        <v>{"age":"51", "year":"23", "couponrate":"8", "benefittype":"A", "benefitrate":"800", "premiumrate":"1.01"}</v>
      </c>
      <c r="J204" s="6" t="str">
        <f t="shared" si="44"/>
        <v>,</v>
      </c>
    </row>
    <row r="205" spans="1:10">
      <c r="A205" s="4" t="str">
        <f>'EN60'!A$3</f>
        <v>EN60</v>
      </c>
      <c r="B205" s="4">
        <f t="shared" si="45"/>
        <v>51</v>
      </c>
      <c r="C205" s="4">
        <f t="shared" si="46"/>
        <v>24</v>
      </c>
      <c r="D205" s="4">
        <f t="shared" si="40"/>
        <v>8</v>
      </c>
      <c r="E205" s="4" t="s">
        <v>27</v>
      </c>
      <c r="F205" s="4">
        <f t="shared" si="41"/>
        <v>800</v>
      </c>
      <c r="G205" s="5">
        <f t="shared" si="47"/>
        <v>1.01</v>
      </c>
      <c r="H205" s="6" t="str">
        <f t="shared" si="42"/>
        <v>INSERT INTO public.coupon (plancode, age, "year", couponrate, benefittype, benefitrate, premiumrate) VALUES('EN60', 51, 24, 8, 'A',800, 1.01);</v>
      </c>
      <c r="I205" s="6" t="str">
        <f t="shared" si="43"/>
        <v>{"age":"51", "year":"24", "couponrate":"8", "benefittype":"A", "benefitrate":"800", "premiumrate":"1.01"}</v>
      </c>
      <c r="J205" s="6" t="str">
        <f t="shared" si="44"/>
        <v>,</v>
      </c>
    </row>
    <row r="206" spans="1:10">
      <c r="A206" s="4" t="str">
        <f>'EN60'!A$3</f>
        <v>EN60</v>
      </c>
      <c r="B206" s="4">
        <f t="shared" si="45"/>
        <v>51</v>
      </c>
      <c r="C206" s="4">
        <f t="shared" si="46"/>
        <v>25</v>
      </c>
      <c r="D206" s="4">
        <f t="shared" si="40"/>
        <v>8</v>
      </c>
      <c r="E206" s="4" t="s">
        <v>27</v>
      </c>
      <c r="F206" s="4">
        <f t="shared" si="41"/>
        <v>800</v>
      </c>
      <c r="G206" s="5">
        <f t="shared" si="47"/>
        <v>1.01</v>
      </c>
      <c r="H206" s="6" t="str">
        <f t="shared" si="42"/>
        <v>INSERT INTO public.coupon (plancode, age, "year", couponrate, benefittype, benefitrate, premiumrate) VALUES('EN60', 51, 25, 8, 'A',800, 1.01);</v>
      </c>
      <c r="I206" s="6" t="str">
        <f t="shared" si="43"/>
        <v>{"age":"51", "year":"25", "couponrate":"8", "benefittype":"A", "benefitrate":"800", "premiumrate":"1.01"}</v>
      </c>
      <c r="J206" s="6" t="str">
        <f t="shared" si="44"/>
        <v>,</v>
      </c>
    </row>
    <row r="207" spans="1:10">
      <c r="A207" s="4" t="str">
        <f>'EN60'!A$3</f>
        <v>EN60</v>
      </c>
      <c r="B207" s="4">
        <f t="shared" si="45"/>
        <v>51</v>
      </c>
      <c r="C207" s="4">
        <f t="shared" si="46"/>
        <v>26</v>
      </c>
      <c r="D207" s="4">
        <f t="shared" si="40"/>
        <v>8</v>
      </c>
      <c r="E207" s="4" t="s">
        <v>27</v>
      </c>
      <c r="F207" s="4">
        <f t="shared" si="41"/>
        <v>800</v>
      </c>
      <c r="G207" s="5">
        <f t="shared" si="47"/>
        <v>1.01</v>
      </c>
      <c r="H207" s="6" t="str">
        <f t="shared" si="42"/>
        <v>INSERT INTO public.coupon (plancode, age, "year", couponrate, benefittype, benefitrate, premiumrate) VALUES('EN60', 51, 26, 8, 'A',800, 1.01);</v>
      </c>
      <c r="I207" s="6" t="str">
        <f t="shared" si="43"/>
        <v>{"age":"51", "year":"26", "couponrate":"8", "benefittype":"A", "benefitrate":"800", "premiumrate":"1.01"}</v>
      </c>
      <c r="J207" s="6" t="str">
        <f t="shared" si="44"/>
        <v>,</v>
      </c>
    </row>
    <row r="208" spans="1:10">
      <c r="A208" s="4" t="str">
        <f>'EN60'!A$3</f>
        <v>EN60</v>
      </c>
      <c r="B208" s="4">
        <f t="shared" si="45"/>
        <v>51</v>
      </c>
      <c r="C208" s="4">
        <f t="shared" si="46"/>
        <v>27</v>
      </c>
      <c r="D208" s="4">
        <f t="shared" si="40"/>
        <v>8</v>
      </c>
      <c r="E208" s="4" t="s">
        <v>27</v>
      </c>
      <c r="F208" s="4">
        <f t="shared" si="41"/>
        <v>800</v>
      </c>
      <c r="G208" s="5">
        <f t="shared" si="47"/>
        <v>1.01</v>
      </c>
      <c r="H208" s="6" t="str">
        <f t="shared" si="42"/>
        <v>INSERT INTO public.coupon (plancode, age, "year", couponrate, benefittype, benefitrate, premiumrate) VALUES('EN60', 51, 27, 8, 'A',800, 1.01);</v>
      </c>
      <c r="I208" s="6" t="str">
        <f t="shared" si="43"/>
        <v>{"age":"51", "year":"27", "couponrate":"8", "benefittype":"A", "benefitrate":"800", "premiumrate":"1.01"}</v>
      </c>
      <c r="J208" s="6" t="str">
        <f t="shared" si="44"/>
        <v>,</v>
      </c>
    </row>
    <row r="209" spans="1:10">
      <c r="A209" s="4" t="str">
        <f>'EN60'!A$3</f>
        <v>EN60</v>
      </c>
      <c r="B209" s="4">
        <f t="shared" si="45"/>
        <v>51</v>
      </c>
      <c r="C209" s="4">
        <f t="shared" si="46"/>
        <v>28</v>
      </c>
      <c r="D209" s="4">
        <f t="shared" si="40"/>
        <v>8</v>
      </c>
      <c r="E209" s="4" t="s">
        <v>27</v>
      </c>
      <c r="F209" s="4">
        <f t="shared" si="41"/>
        <v>800</v>
      </c>
      <c r="G209" s="5">
        <f t="shared" si="47"/>
        <v>1.01</v>
      </c>
      <c r="H209" s="6" t="str">
        <f t="shared" si="42"/>
        <v>INSERT INTO public.coupon (plancode, age, "year", couponrate, benefittype, benefitrate, premiumrate) VALUES('EN60', 51, 28, 8, 'A',800, 1.01);</v>
      </c>
      <c r="I209" s="6" t="str">
        <f t="shared" si="43"/>
        <v>{"age":"51", "year":"28", "couponrate":"8", "benefittype":"A", "benefitrate":"800", "premiumrate":"1.01"}</v>
      </c>
      <c r="J209" s="6" t="str">
        <f t="shared" si="44"/>
        <v>,</v>
      </c>
    </row>
    <row r="210" spans="1:10">
      <c r="A210" s="4" t="str">
        <f>'EN60'!A$3</f>
        <v>EN60</v>
      </c>
      <c r="B210" s="4">
        <f t="shared" si="45"/>
        <v>51</v>
      </c>
      <c r="C210" s="4">
        <f t="shared" si="46"/>
        <v>29</v>
      </c>
      <c r="D210" s="4">
        <f t="shared" si="40"/>
        <v>0</v>
      </c>
      <c r="E210" s="4" t="s">
        <v>27</v>
      </c>
      <c r="F210" s="4">
        <f t="shared" si="41"/>
        <v>800</v>
      </c>
      <c r="G210" s="5">
        <f t="shared" si="47"/>
        <v>1.01</v>
      </c>
      <c r="H210" s="6" t="str">
        <f t="shared" si="42"/>
        <v>INSERT INTO public.coupon (plancode, age, "year", couponrate, benefittype, benefitrate, premiumrate) VALUES('EN60', 51, 29, 0, 'A',800, 1.01);</v>
      </c>
      <c r="I210" s="6" t="str">
        <f t="shared" si="43"/>
        <v>{"age":"51", "year":"29", "couponrate":"0", "benefittype":"A", "benefitrate":"800", "premiumrate":"1.01"}</v>
      </c>
    </row>
    <row r="211" spans="1:10">
      <c r="C211" s="6"/>
      <c r="I211" s="6" t="s">
        <v>28</v>
      </c>
    </row>
    <row r="212" spans="1:10">
      <c r="A212" s="3" t="s">
        <v>2</v>
      </c>
      <c r="B212" s="3" t="s">
        <v>23</v>
      </c>
      <c r="C212" s="3" t="s">
        <v>24</v>
      </c>
      <c r="D212" s="3" t="s">
        <v>25</v>
      </c>
      <c r="E212" s="3" t="s">
        <v>8</v>
      </c>
      <c r="F212" s="3" t="s">
        <v>26</v>
      </c>
      <c r="G212" s="3" t="s">
        <v>4</v>
      </c>
      <c r="I212" s="6" t="str">
        <f>"[{""plancode"":"""&amp;A213&amp;""",""returncash"":"""&amp;B$7&amp;""",""ytable"":"""&amp;C$7&amp;""",""maturerate"":"""&amp;B$3&amp;""",""maturepmrate"":"""&amp;C$3&amp;""",""coupon"":["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213" spans="1:10">
      <c r="A213" s="4" t="str">
        <f>'EN60'!A$3</f>
        <v>EN60</v>
      </c>
      <c r="B213" s="8">
        <v>52</v>
      </c>
      <c r="C213" s="4">
        <v>1</v>
      </c>
      <c r="D213" s="4">
        <f t="shared" ref="D213:D240" si="48">IF(C213+B213=80,0,8)</f>
        <v>8</v>
      </c>
      <c r="E213" s="4" t="s">
        <v>27</v>
      </c>
      <c r="F213" s="4">
        <f t="shared" ref="F213:F240" si="49">IF(C213&gt;7, 800, C213*100)</f>
        <v>100</v>
      </c>
      <c r="G213" s="5">
        <f>'EN60'!C$3</f>
        <v>1.01</v>
      </c>
      <c r="H213" s="6" t="str">
        <f t="shared" ref="H213:H240" si="50">"INSERT INTO public.coupon ("&amp;A$11&amp;", "&amp;B$11&amp;", """&amp;C$11&amp;""", "&amp;D$11&amp;", "&amp;E$11&amp;", "&amp;F$11&amp;", "&amp;G$11&amp;") VALUES('"&amp;A213&amp;"', "&amp;B213&amp;", "&amp;C213&amp;", "&amp;D213&amp;", '"&amp;E213&amp;"',"&amp;F213&amp;", "&amp;G213&amp;");"</f>
        <v>INSERT INTO public.coupon (plancode, age, "year", couponrate, benefittype, benefitrate, premiumrate) VALUES('EN60', 52, 1, 8, 'A',100, 1.01);</v>
      </c>
      <c r="I213" s="6" t="str">
        <f t="shared" ref="I213:I240" si="51">"{""age"":"""&amp;B213&amp;""", ""year"":"""&amp;C213&amp;""", ""couponrate"":"""&amp;D213&amp;""", ""benefittype"":"""&amp;E213&amp;""", ""benefitrate"":"""&amp;F213&amp;""", """&amp;G$11&amp;""":"""&amp;G213&amp;"""}"</f>
        <v>{"age":"52", "year":"1", "couponrate":"8", "benefittype":"A", "benefitrate":"100", "premiumrate":"1.01"}</v>
      </c>
      <c r="J213" s="6" t="str">
        <f t="shared" ref="J213:J239" si="52">IF(OR(I214="]", I213="[", I213="]"), "", ",")</f>
        <v>,</v>
      </c>
    </row>
    <row r="214" spans="1:10">
      <c r="A214" s="4" t="str">
        <f>'EN60'!A$3</f>
        <v>EN60</v>
      </c>
      <c r="B214" s="4">
        <f t="shared" ref="B214:B240" si="53">B213</f>
        <v>52</v>
      </c>
      <c r="C214" s="4">
        <f t="shared" ref="C214:C240" si="54">IF(B214+C213+1&gt;80,"",C213+1)</f>
        <v>2</v>
      </c>
      <c r="D214" s="4">
        <f t="shared" si="48"/>
        <v>8</v>
      </c>
      <c r="E214" s="4" t="s">
        <v>27</v>
      </c>
      <c r="F214" s="4">
        <f t="shared" si="49"/>
        <v>200</v>
      </c>
      <c r="G214" s="5">
        <f t="shared" ref="G214:G240" si="55">G213</f>
        <v>1.01</v>
      </c>
      <c r="H214" s="6" t="str">
        <f t="shared" si="50"/>
        <v>INSERT INTO public.coupon (plancode, age, "year", couponrate, benefittype, benefitrate, premiumrate) VALUES('EN60', 52, 2, 8, 'A',200, 1.01);</v>
      </c>
      <c r="I214" s="6" t="str">
        <f t="shared" si="51"/>
        <v>{"age":"52", "year":"2", "couponrate":"8", "benefittype":"A", "benefitrate":"200", "premiumrate":"1.01"}</v>
      </c>
      <c r="J214" s="6" t="str">
        <f t="shared" si="52"/>
        <v>,</v>
      </c>
    </row>
    <row r="215" spans="1:10">
      <c r="A215" s="4" t="str">
        <f>'EN60'!A$3</f>
        <v>EN60</v>
      </c>
      <c r="B215" s="4">
        <f t="shared" si="53"/>
        <v>52</v>
      </c>
      <c r="C215" s="4">
        <f t="shared" si="54"/>
        <v>3</v>
      </c>
      <c r="D215" s="4">
        <f t="shared" si="48"/>
        <v>8</v>
      </c>
      <c r="E215" s="4" t="s">
        <v>27</v>
      </c>
      <c r="F215" s="4">
        <f t="shared" si="49"/>
        <v>300</v>
      </c>
      <c r="G215" s="5">
        <f t="shared" si="55"/>
        <v>1.01</v>
      </c>
      <c r="H215" s="6" t="str">
        <f t="shared" si="50"/>
        <v>INSERT INTO public.coupon (plancode, age, "year", couponrate, benefittype, benefitrate, premiumrate) VALUES('EN60', 52, 3, 8, 'A',300, 1.01);</v>
      </c>
      <c r="I215" s="6" t="str">
        <f t="shared" si="51"/>
        <v>{"age":"52", "year":"3", "couponrate":"8", "benefittype":"A", "benefitrate":"300", "premiumrate":"1.01"}</v>
      </c>
      <c r="J215" s="6" t="str">
        <f t="shared" si="52"/>
        <v>,</v>
      </c>
    </row>
    <row r="216" spans="1:10">
      <c r="A216" s="4" t="str">
        <f>'EN60'!A$3</f>
        <v>EN60</v>
      </c>
      <c r="B216" s="4">
        <f t="shared" si="53"/>
        <v>52</v>
      </c>
      <c r="C216" s="4">
        <f t="shared" si="54"/>
        <v>4</v>
      </c>
      <c r="D216" s="4">
        <f t="shared" si="48"/>
        <v>8</v>
      </c>
      <c r="E216" s="4" t="s">
        <v>27</v>
      </c>
      <c r="F216" s="4">
        <f t="shared" si="49"/>
        <v>400</v>
      </c>
      <c r="G216" s="5">
        <f t="shared" si="55"/>
        <v>1.01</v>
      </c>
      <c r="H216" s="6" t="str">
        <f t="shared" si="50"/>
        <v>INSERT INTO public.coupon (plancode, age, "year", couponrate, benefittype, benefitrate, premiumrate) VALUES('EN60', 52, 4, 8, 'A',400, 1.01);</v>
      </c>
      <c r="I216" s="6" t="str">
        <f t="shared" si="51"/>
        <v>{"age":"52", "year":"4", "couponrate":"8", "benefittype":"A", "benefitrate":"400", "premiumrate":"1.01"}</v>
      </c>
      <c r="J216" s="6" t="str">
        <f t="shared" si="52"/>
        <v>,</v>
      </c>
    </row>
    <row r="217" spans="1:10">
      <c r="A217" s="4" t="str">
        <f>'EN60'!A$3</f>
        <v>EN60</v>
      </c>
      <c r="B217" s="4">
        <f t="shared" si="53"/>
        <v>52</v>
      </c>
      <c r="C217" s="4">
        <f t="shared" si="54"/>
        <v>5</v>
      </c>
      <c r="D217" s="4">
        <f t="shared" si="48"/>
        <v>8</v>
      </c>
      <c r="E217" s="4" t="s">
        <v>27</v>
      </c>
      <c r="F217" s="4">
        <f t="shared" si="49"/>
        <v>500</v>
      </c>
      <c r="G217" s="5">
        <f t="shared" si="55"/>
        <v>1.01</v>
      </c>
      <c r="H217" s="6" t="str">
        <f t="shared" si="50"/>
        <v>INSERT INTO public.coupon (plancode, age, "year", couponrate, benefittype, benefitrate, premiumrate) VALUES('EN60', 52, 5, 8, 'A',500, 1.01);</v>
      </c>
      <c r="I217" s="6" t="str">
        <f t="shared" si="51"/>
        <v>{"age":"52", "year":"5", "couponrate":"8", "benefittype":"A", "benefitrate":"500", "premiumrate":"1.01"}</v>
      </c>
      <c r="J217" s="6" t="str">
        <f t="shared" si="52"/>
        <v>,</v>
      </c>
    </row>
    <row r="218" spans="1:10">
      <c r="A218" s="4" t="str">
        <f>'EN60'!A$3</f>
        <v>EN60</v>
      </c>
      <c r="B218" s="4">
        <f t="shared" si="53"/>
        <v>52</v>
      </c>
      <c r="C218" s="4">
        <f t="shared" si="54"/>
        <v>6</v>
      </c>
      <c r="D218" s="4">
        <f t="shared" si="48"/>
        <v>8</v>
      </c>
      <c r="E218" s="4" t="s">
        <v>27</v>
      </c>
      <c r="F218" s="4">
        <f t="shared" si="49"/>
        <v>600</v>
      </c>
      <c r="G218" s="5">
        <f t="shared" si="55"/>
        <v>1.01</v>
      </c>
      <c r="H218" s="6" t="str">
        <f t="shared" si="50"/>
        <v>INSERT INTO public.coupon (plancode, age, "year", couponrate, benefittype, benefitrate, premiumrate) VALUES('EN60', 52, 6, 8, 'A',600, 1.01);</v>
      </c>
      <c r="I218" s="6" t="str">
        <f t="shared" si="51"/>
        <v>{"age":"52", "year":"6", "couponrate":"8", "benefittype":"A", "benefitrate":"600", "premiumrate":"1.01"}</v>
      </c>
      <c r="J218" s="6" t="str">
        <f t="shared" si="52"/>
        <v>,</v>
      </c>
    </row>
    <row r="219" spans="1:10">
      <c r="A219" s="4" t="str">
        <f>'EN60'!A$3</f>
        <v>EN60</v>
      </c>
      <c r="B219" s="4">
        <f t="shared" si="53"/>
        <v>52</v>
      </c>
      <c r="C219" s="4">
        <f t="shared" si="54"/>
        <v>7</v>
      </c>
      <c r="D219" s="4">
        <f t="shared" si="48"/>
        <v>8</v>
      </c>
      <c r="E219" s="4" t="s">
        <v>27</v>
      </c>
      <c r="F219" s="4">
        <f t="shared" si="49"/>
        <v>700</v>
      </c>
      <c r="G219" s="5">
        <f t="shared" si="55"/>
        <v>1.01</v>
      </c>
      <c r="H219" s="6" t="str">
        <f t="shared" si="50"/>
        <v>INSERT INTO public.coupon (plancode, age, "year", couponrate, benefittype, benefitrate, premiumrate) VALUES('EN60', 52, 7, 8, 'A',700, 1.01);</v>
      </c>
      <c r="I219" s="6" t="str">
        <f t="shared" si="51"/>
        <v>{"age":"52", "year":"7", "couponrate":"8", "benefittype":"A", "benefitrate":"700", "premiumrate":"1.01"}</v>
      </c>
      <c r="J219" s="6" t="str">
        <f t="shared" si="52"/>
        <v>,</v>
      </c>
    </row>
    <row r="220" spans="1:10">
      <c r="A220" s="4" t="str">
        <f>'EN60'!A$3</f>
        <v>EN60</v>
      </c>
      <c r="B220" s="4">
        <f t="shared" si="53"/>
        <v>52</v>
      </c>
      <c r="C220" s="4">
        <f t="shared" si="54"/>
        <v>8</v>
      </c>
      <c r="D220" s="4">
        <f t="shared" si="48"/>
        <v>8</v>
      </c>
      <c r="E220" s="4" t="s">
        <v>27</v>
      </c>
      <c r="F220" s="4">
        <f t="shared" si="49"/>
        <v>800</v>
      </c>
      <c r="G220" s="5">
        <f t="shared" si="55"/>
        <v>1.01</v>
      </c>
      <c r="H220" s="6" t="str">
        <f t="shared" si="50"/>
        <v>INSERT INTO public.coupon (plancode, age, "year", couponrate, benefittype, benefitrate, premiumrate) VALUES('EN60', 52, 8, 8, 'A',800, 1.01);</v>
      </c>
      <c r="I220" s="6" t="str">
        <f t="shared" si="51"/>
        <v>{"age":"52", "year":"8", "couponrate":"8", "benefittype":"A", "benefitrate":"800", "premiumrate":"1.01"}</v>
      </c>
      <c r="J220" s="6" t="str">
        <f t="shared" si="52"/>
        <v>,</v>
      </c>
    </row>
    <row r="221" spans="1:10">
      <c r="A221" s="4" t="str">
        <f>'EN60'!A$3</f>
        <v>EN60</v>
      </c>
      <c r="B221" s="4">
        <f t="shared" si="53"/>
        <v>52</v>
      </c>
      <c r="C221" s="4">
        <f t="shared" si="54"/>
        <v>9</v>
      </c>
      <c r="D221" s="4">
        <f t="shared" si="48"/>
        <v>8</v>
      </c>
      <c r="E221" s="4" t="s">
        <v>27</v>
      </c>
      <c r="F221" s="4">
        <f t="shared" si="49"/>
        <v>800</v>
      </c>
      <c r="G221" s="5">
        <f t="shared" si="55"/>
        <v>1.01</v>
      </c>
      <c r="H221" s="6" t="str">
        <f t="shared" si="50"/>
        <v>INSERT INTO public.coupon (plancode, age, "year", couponrate, benefittype, benefitrate, premiumrate) VALUES('EN60', 52, 9, 8, 'A',800, 1.01);</v>
      </c>
      <c r="I221" s="6" t="str">
        <f t="shared" si="51"/>
        <v>{"age":"52", "year":"9", "couponrate":"8", "benefittype":"A", "benefitrate":"800", "premiumrate":"1.01"}</v>
      </c>
      <c r="J221" s="6" t="str">
        <f t="shared" si="52"/>
        <v>,</v>
      </c>
    </row>
    <row r="222" spans="1:10">
      <c r="A222" s="4" t="str">
        <f>'EN60'!A$3</f>
        <v>EN60</v>
      </c>
      <c r="B222" s="4">
        <f t="shared" si="53"/>
        <v>52</v>
      </c>
      <c r="C222" s="4">
        <f t="shared" si="54"/>
        <v>10</v>
      </c>
      <c r="D222" s="4">
        <f t="shared" si="48"/>
        <v>8</v>
      </c>
      <c r="E222" s="4" t="s">
        <v>27</v>
      </c>
      <c r="F222" s="4">
        <f t="shared" si="49"/>
        <v>800</v>
      </c>
      <c r="G222" s="5">
        <f t="shared" si="55"/>
        <v>1.01</v>
      </c>
      <c r="H222" s="6" t="str">
        <f t="shared" si="50"/>
        <v>INSERT INTO public.coupon (plancode, age, "year", couponrate, benefittype, benefitrate, premiumrate) VALUES('EN60', 52, 10, 8, 'A',800, 1.01);</v>
      </c>
      <c r="I222" s="6" t="str">
        <f t="shared" si="51"/>
        <v>{"age":"52", "year":"10", "couponrate":"8", "benefittype":"A", "benefitrate":"800", "premiumrate":"1.01"}</v>
      </c>
      <c r="J222" s="6" t="str">
        <f t="shared" si="52"/>
        <v>,</v>
      </c>
    </row>
    <row r="223" spans="1:10">
      <c r="A223" s="4" t="str">
        <f>'EN60'!A$3</f>
        <v>EN60</v>
      </c>
      <c r="B223" s="4">
        <f t="shared" si="53"/>
        <v>52</v>
      </c>
      <c r="C223" s="4">
        <f t="shared" si="54"/>
        <v>11</v>
      </c>
      <c r="D223" s="4">
        <f t="shared" si="48"/>
        <v>8</v>
      </c>
      <c r="E223" s="4" t="s">
        <v>27</v>
      </c>
      <c r="F223" s="4">
        <f t="shared" si="49"/>
        <v>800</v>
      </c>
      <c r="G223" s="5">
        <f t="shared" si="55"/>
        <v>1.01</v>
      </c>
      <c r="H223" s="6" t="str">
        <f t="shared" si="50"/>
        <v>INSERT INTO public.coupon (plancode, age, "year", couponrate, benefittype, benefitrate, premiumrate) VALUES('EN60', 52, 11, 8, 'A',800, 1.01);</v>
      </c>
      <c r="I223" s="6" t="str">
        <f t="shared" si="51"/>
        <v>{"age":"52", "year":"11", "couponrate":"8", "benefittype":"A", "benefitrate":"800", "premiumrate":"1.01"}</v>
      </c>
      <c r="J223" s="6" t="str">
        <f t="shared" si="52"/>
        <v>,</v>
      </c>
    </row>
    <row r="224" spans="1:10">
      <c r="A224" s="4" t="str">
        <f>'EN60'!A$3</f>
        <v>EN60</v>
      </c>
      <c r="B224" s="4">
        <f t="shared" si="53"/>
        <v>52</v>
      </c>
      <c r="C224" s="4">
        <f t="shared" si="54"/>
        <v>12</v>
      </c>
      <c r="D224" s="4">
        <f t="shared" si="48"/>
        <v>8</v>
      </c>
      <c r="E224" s="4" t="s">
        <v>27</v>
      </c>
      <c r="F224" s="4">
        <f t="shared" si="49"/>
        <v>800</v>
      </c>
      <c r="G224" s="5">
        <f t="shared" si="55"/>
        <v>1.01</v>
      </c>
      <c r="H224" s="6" t="str">
        <f t="shared" si="50"/>
        <v>INSERT INTO public.coupon (plancode, age, "year", couponrate, benefittype, benefitrate, premiumrate) VALUES('EN60', 52, 12, 8, 'A',800, 1.01);</v>
      </c>
      <c r="I224" s="6" t="str">
        <f t="shared" si="51"/>
        <v>{"age":"52", "year":"12", "couponrate":"8", "benefittype":"A", "benefitrate":"800", "premiumrate":"1.01"}</v>
      </c>
      <c r="J224" s="6" t="str">
        <f t="shared" si="52"/>
        <v>,</v>
      </c>
    </row>
    <row r="225" spans="1:10">
      <c r="A225" s="4" t="str">
        <f>'EN60'!A$3</f>
        <v>EN60</v>
      </c>
      <c r="B225" s="4">
        <f t="shared" si="53"/>
        <v>52</v>
      </c>
      <c r="C225" s="4">
        <f t="shared" si="54"/>
        <v>13</v>
      </c>
      <c r="D225" s="4">
        <f t="shared" si="48"/>
        <v>8</v>
      </c>
      <c r="E225" s="4" t="s">
        <v>27</v>
      </c>
      <c r="F225" s="4">
        <f t="shared" si="49"/>
        <v>800</v>
      </c>
      <c r="G225" s="5">
        <f t="shared" si="55"/>
        <v>1.01</v>
      </c>
      <c r="H225" s="6" t="str">
        <f t="shared" si="50"/>
        <v>INSERT INTO public.coupon (plancode, age, "year", couponrate, benefittype, benefitrate, premiumrate) VALUES('EN60', 52, 13, 8, 'A',800, 1.01);</v>
      </c>
      <c r="I225" s="6" t="str">
        <f t="shared" si="51"/>
        <v>{"age":"52", "year":"13", "couponrate":"8", "benefittype":"A", "benefitrate":"800", "premiumrate":"1.01"}</v>
      </c>
      <c r="J225" s="6" t="str">
        <f t="shared" si="52"/>
        <v>,</v>
      </c>
    </row>
    <row r="226" spans="1:10">
      <c r="A226" s="4" t="str">
        <f>'EN60'!A$3</f>
        <v>EN60</v>
      </c>
      <c r="B226" s="4">
        <f t="shared" si="53"/>
        <v>52</v>
      </c>
      <c r="C226" s="4">
        <f t="shared" si="54"/>
        <v>14</v>
      </c>
      <c r="D226" s="4">
        <f t="shared" si="48"/>
        <v>8</v>
      </c>
      <c r="E226" s="4" t="s">
        <v>27</v>
      </c>
      <c r="F226" s="4">
        <f t="shared" si="49"/>
        <v>800</v>
      </c>
      <c r="G226" s="5">
        <f t="shared" si="55"/>
        <v>1.01</v>
      </c>
      <c r="H226" s="6" t="str">
        <f t="shared" si="50"/>
        <v>INSERT INTO public.coupon (plancode, age, "year", couponrate, benefittype, benefitrate, premiumrate) VALUES('EN60', 52, 14, 8, 'A',800, 1.01);</v>
      </c>
      <c r="I226" s="6" t="str">
        <f t="shared" si="51"/>
        <v>{"age":"52", "year":"14", "couponrate":"8", "benefittype":"A", "benefitrate":"800", "premiumrate":"1.01"}</v>
      </c>
      <c r="J226" s="6" t="str">
        <f t="shared" si="52"/>
        <v>,</v>
      </c>
    </row>
    <row r="227" spans="1:10">
      <c r="A227" s="4" t="str">
        <f>'EN60'!A$3</f>
        <v>EN60</v>
      </c>
      <c r="B227" s="4">
        <f t="shared" si="53"/>
        <v>52</v>
      </c>
      <c r="C227" s="4">
        <f t="shared" si="54"/>
        <v>15</v>
      </c>
      <c r="D227" s="4">
        <f t="shared" si="48"/>
        <v>8</v>
      </c>
      <c r="E227" s="4" t="s">
        <v>27</v>
      </c>
      <c r="F227" s="4">
        <f t="shared" si="49"/>
        <v>800</v>
      </c>
      <c r="G227" s="5">
        <f t="shared" si="55"/>
        <v>1.01</v>
      </c>
      <c r="H227" s="6" t="str">
        <f t="shared" si="50"/>
        <v>INSERT INTO public.coupon (plancode, age, "year", couponrate, benefittype, benefitrate, premiumrate) VALUES('EN60', 52, 15, 8, 'A',800, 1.01);</v>
      </c>
      <c r="I227" s="6" t="str">
        <f t="shared" si="51"/>
        <v>{"age":"52", "year":"15", "couponrate":"8", "benefittype":"A", "benefitrate":"800", "premiumrate":"1.01"}</v>
      </c>
      <c r="J227" s="6" t="str">
        <f t="shared" si="52"/>
        <v>,</v>
      </c>
    </row>
    <row r="228" spans="1:10">
      <c r="A228" s="4" t="str">
        <f>'EN60'!A$3</f>
        <v>EN60</v>
      </c>
      <c r="B228" s="4">
        <f t="shared" si="53"/>
        <v>52</v>
      </c>
      <c r="C228" s="4">
        <f t="shared" si="54"/>
        <v>16</v>
      </c>
      <c r="D228" s="4">
        <f t="shared" si="48"/>
        <v>8</v>
      </c>
      <c r="E228" s="4" t="s">
        <v>27</v>
      </c>
      <c r="F228" s="4">
        <f t="shared" si="49"/>
        <v>800</v>
      </c>
      <c r="G228" s="5">
        <f t="shared" si="55"/>
        <v>1.01</v>
      </c>
      <c r="H228" s="6" t="str">
        <f t="shared" si="50"/>
        <v>INSERT INTO public.coupon (plancode, age, "year", couponrate, benefittype, benefitrate, premiumrate) VALUES('EN60', 52, 16, 8, 'A',800, 1.01);</v>
      </c>
      <c r="I228" s="6" t="str">
        <f t="shared" si="51"/>
        <v>{"age":"52", "year":"16", "couponrate":"8", "benefittype":"A", "benefitrate":"800", "premiumrate":"1.01"}</v>
      </c>
      <c r="J228" s="6" t="str">
        <f t="shared" si="52"/>
        <v>,</v>
      </c>
    </row>
    <row r="229" spans="1:10">
      <c r="A229" s="4" t="str">
        <f>'EN60'!A$3</f>
        <v>EN60</v>
      </c>
      <c r="B229" s="4">
        <f t="shared" si="53"/>
        <v>52</v>
      </c>
      <c r="C229" s="4">
        <f t="shared" si="54"/>
        <v>17</v>
      </c>
      <c r="D229" s="4">
        <f t="shared" si="48"/>
        <v>8</v>
      </c>
      <c r="E229" s="4" t="s">
        <v>27</v>
      </c>
      <c r="F229" s="4">
        <f t="shared" si="49"/>
        <v>800</v>
      </c>
      <c r="G229" s="5">
        <f t="shared" si="55"/>
        <v>1.01</v>
      </c>
      <c r="H229" s="6" t="str">
        <f t="shared" si="50"/>
        <v>INSERT INTO public.coupon (plancode, age, "year", couponrate, benefittype, benefitrate, premiumrate) VALUES('EN60', 52, 17, 8, 'A',800, 1.01);</v>
      </c>
      <c r="I229" s="6" t="str">
        <f t="shared" si="51"/>
        <v>{"age":"52", "year":"17", "couponrate":"8", "benefittype":"A", "benefitrate":"800", "premiumrate":"1.01"}</v>
      </c>
      <c r="J229" s="6" t="str">
        <f t="shared" si="52"/>
        <v>,</v>
      </c>
    </row>
    <row r="230" spans="1:10">
      <c r="A230" s="4" t="str">
        <f>'EN60'!A$3</f>
        <v>EN60</v>
      </c>
      <c r="B230" s="4">
        <f t="shared" si="53"/>
        <v>52</v>
      </c>
      <c r="C230" s="4">
        <f t="shared" si="54"/>
        <v>18</v>
      </c>
      <c r="D230" s="4">
        <f t="shared" si="48"/>
        <v>8</v>
      </c>
      <c r="E230" s="4" t="s">
        <v>27</v>
      </c>
      <c r="F230" s="4">
        <f t="shared" si="49"/>
        <v>800</v>
      </c>
      <c r="G230" s="5">
        <f t="shared" si="55"/>
        <v>1.01</v>
      </c>
      <c r="H230" s="6" t="str">
        <f t="shared" si="50"/>
        <v>INSERT INTO public.coupon (plancode, age, "year", couponrate, benefittype, benefitrate, premiumrate) VALUES('EN60', 52, 18, 8, 'A',800, 1.01);</v>
      </c>
      <c r="I230" s="6" t="str">
        <f t="shared" si="51"/>
        <v>{"age":"52", "year":"18", "couponrate":"8", "benefittype":"A", "benefitrate":"800", "premiumrate":"1.01"}</v>
      </c>
      <c r="J230" s="6" t="str">
        <f t="shared" si="52"/>
        <v>,</v>
      </c>
    </row>
    <row r="231" spans="1:10">
      <c r="A231" s="4" t="str">
        <f>'EN60'!A$3</f>
        <v>EN60</v>
      </c>
      <c r="B231" s="4">
        <f t="shared" si="53"/>
        <v>52</v>
      </c>
      <c r="C231" s="4">
        <f t="shared" si="54"/>
        <v>19</v>
      </c>
      <c r="D231" s="4">
        <f t="shared" si="48"/>
        <v>8</v>
      </c>
      <c r="E231" s="4" t="s">
        <v>27</v>
      </c>
      <c r="F231" s="4">
        <f t="shared" si="49"/>
        <v>800</v>
      </c>
      <c r="G231" s="5">
        <f t="shared" si="55"/>
        <v>1.01</v>
      </c>
      <c r="H231" s="6" t="str">
        <f t="shared" si="50"/>
        <v>INSERT INTO public.coupon (plancode, age, "year", couponrate, benefittype, benefitrate, premiumrate) VALUES('EN60', 52, 19, 8, 'A',800, 1.01);</v>
      </c>
      <c r="I231" s="6" t="str">
        <f t="shared" si="51"/>
        <v>{"age":"52", "year":"19", "couponrate":"8", "benefittype":"A", "benefitrate":"800", "premiumrate":"1.01"}</v>
      </c>
      <c r="J231" s="6" t="str">
        <f t="shared" si="52"/>
        <v>,</v>
      </c>
    </row>
    <row r="232" spans="1:10">
      <c r="A232" s="4" t="str">
        <f>'EN60'!A$3</f>
        <v>EN60</v>
      </c>
      <c r="B232" s="4">
        <f t="shared" si="53"/>
        <v>52</v>
      </c>
      <c r="C232" s="4">
        <f t="shared" si="54"/>
        <v>20</v>
      </c>
      <c r="D232" s="4">
        <f t="shared" si="48"/>
        <v>8</v>
      </c>
      <c r="E232" s="4" t="s">
        <v>27</v>
      </c>
      <c r="F232" s="4">
        <f t="shared" si="49"/>
        <v>800</v>
      </c>
      <c r="G232" s="5">
        <f t="shared" si="55"/>
        <v>1.01</v>
      </c>
      <c r="H232" s="6" t="str">
        <f t="shared" si="50"/>
        <v>INSERT INTO public.coupon (plancode, age, "year", couponrate, benefittype, benefitrate, premiumrate) VALUES('EN60', 52, 20, 8, 'A',800, 1.01);</v>
      </c>
      <c r="I232" s="6" t="str">
        <f t="shared" si="51"/>
        <v>{"age":"52", "year":"20", "couponrate":"8", "benefittype":"A", "benefitrate":"800", "premiumrate":"1.01"}</v>
      </c>
      <c r="J232" s="6" t="str">
        <f t="shared" si="52"/>
        <v>,</v>
      </c>
    </row>
    <row r="233" spans="1:10">
      <c r="A233" s="4" t="str">
        <f>'EN60'!A$3</f>
        <v>EN60</v>
      </c>
      <c r="B233" s="4">
        <f t="shared" si="53"/>
        <v>52</v>
      </c>
      <c r="C233" s="4">
        <f t="shared" si="54"/>
        <v>21</v>
      </c>
      <c r="D233" s="4">
        <f t="shared" si="48"/>
        <v>8</v>
      </c>
      <c r="E233" s="4" t="s">
        <v>27</v>
      </c>
      <c r="F233" s="4">
        <f t="shared" si="49"/>
        <v>800</v>
      </c>
      <c r="G233" s="5">
        <f t="shared" si="55"/>
        <v>1.01</v>
      </c>
      <c r="H233" s="6" t="str">
        <f t="shared" si="50"/>
        <v>INSERT INTO public.coupon (plancode, age, "year", couponrate, benefittype, benefitrate, premiumrate) VALUES('EN60', 52, 21, 8, 'A',800, 1.01);</v>
      </c>
      <c r="I233" s="6" t="str">
        <f t="shared" si="51"/>
        <v>{"age":"52", "year":"21", "couponrate":"8", "benefittype":"A", "benefitrate":"800", "premiumrate":"1.01"}</v>
      </c>
      <c r="J233" s="6" t="str">
        <f t="shared" si="52"/>
        <v>,</v>
      </c>
    </row>
    <row r="234" spans="1:10">
      <c r="A234" s="4" t="str">
        <f>'EN60'!A$3</f>
        <v>EN60</v>
      </c>
      <c r="B234" s="4">
        <f t="shared" si="53"/>
        <v>52</v>
      </c>
      <c r="C234" s="4">
        <f t="shared" si="54"/>
        <v>22</v>
      </c>
      <c r="D234" s="4">
        <f t="shared" si="48"/>
        <v>8</v>
      </c>
      <c r="E234" s="4" t="s">
        <v>27</v>
      </c>
      <c r="F234" s="4">
        <f t="shared" si="49"/>
        <v>800</v>
      </c>
      <c r="G234" s="5">
        <f t="shared" si="55"/>
        <v>1.01</v>
      </c>
      <c r="H234" s="6" t="str">
        <f t="shared" si="50"/>
        <v>INSERT INTO public.coupon (plancode, age, "year", couponrate, benefittype, benefitrate, premiumrate) VALUES('EN60', 52, 22, 8, 'A',800, 1.01);</v>
      </c>
      <c r="I234" s="6" t="str">
        <f t="shared" si="51"/>
        <v>{"age":"52", "year":"22", "couponrate":"8", "benefittype":"A", "benefitrate":"800", "premiumrate":"1.01"}</v>
      </c>
      <c r="J234" s="6" t="str">
        <f t="shared" si="52"/>
        <v>,</v>
      </c>
    </row>
    <row r="235" spans="1:10">
      <c r="A235" s="4" t="str">
        <f>'EN60'!A$3</f>
        <v>EN60</v>
      </c>
      <c r="B235" s="4">
        <f t="shared" si="53"/>
        <v>52</v>
      </c>
      <c r="C235" s="4">
        <f t="shared" si="54"/>
        <v>23</v>
      </c>
      <c r="D235" s="4">
        <f t="shared" si="48"/>
        <v>8</v>
      </c>
      <c r="E235" s="4" t="s">
        <v>27</v>
      </c>
      <c r="F235" s="4">
        <f t="shared" si="49"/>
        <v>800</v>
      </c>
      <c r="G235" s="5">
        <f t="shared" si="55"/>
        <v>1.01</v>
      </c>
      <c r="H235" s="6" t="str">
        <f t="shared" si="50"/>
        <v>INSERT INTO public.coupon (plancode, age, "year", couponrate, benefittype, benefitrate, premiumrate) VALUES('EN60', 52, 23, 8, 'A',800, 1.01);</v>
      </c>
      <c r="I235" s="6" t="str">
        <f t="shared" si="51"/>
        <v>{"age":"52", "year":"23", "couponrate":"8", "benefittype":"A", "benefitrate":"800", "premiumrate":"1.01"}</v>
      </c>
      <c r="J235" s="6" t="str">
        <f t="shared" si="52"/>
        <v>,</v>
      </c>
    </row>
    <row r="236" spans="1:10">
      <c r="A236" s="4" t="str">
        <f>'EN60'!A$3</f>
        <v>EN60</v>
      </c>
      <c r="B236" s="4">
        <f t="shared" si="53"/>
        <v>52</v>
      </c>
      <c r="C236" s="4">
        <f t="shared" si="54"/>
        <v>24</v>
      </c>
      <c r="D236" s="4">
        <f t="shared" si="48"/>
        <v>8</v>
      </c>
      <c r="E236" s="4" t="s">
        <v>27</v>
      </c>
      <c r="F236" s="4">
        <f t="shared" si="49"/>
        <v>800</v>
      </c>
      <c r="G236" s="5">
        <f t="shared" si="55"/>
        <v>1.01</v>
      </c>
      <c r="H236" s="6" t="str">
        <f t="shared" si="50"/>
        <v>INSERT INTO public.coupon (plancode, age, "year", couponrate, benefittype, benefitrate, premiumrate) VALUES('EN60', 52, 24, 8, 'A',800, 1.01);</v>
      </c>
      <c r="I236" s="6" t="str">
        <f t="shared" si="51"/>
        <v>{"age":"52", "year":"24", "couponrate":"8", "benefittype":"A", "benefitrate":"800", "premiumrate":"1.01"}</v>
      </c>
      <c r="J236" s="6" t="str">
        <f t="shared" si="52"/>
        <v>,</v>
      </c>
    </row>
    <row r="237" spans="1:10">
      <c r="A237" s="4" t="str">
        <f>'EN60'!A$3</f>
        <v>EN60</v>
      </c>
      <c r="B237" s="4">
        <f t="shared" si="53"/>
        <v>52</v>
      </c>
      <c r="C237" s="4">
        <f t="shared" si="54"/>
        <v>25</v>
      </c>
      <c r="D237" s="4">
        <f t="shared" si="48"/>
        <v>8</v>
      </c>
      <c r="E237" s="4" t="s">
        <v>27</v>
      </c>
      <c r="F237" s="4">
        <f t="shared" si="49"/>
        <v>800</v>
      </c>
      <c r="G237" s="5">
        <f t="shared" si="55"/>
        <v>1.01</v>
      </c>
      <c r="H237" s="6" t="str">
        <f t="shared" si="50"/>
        <v>INSERT INTO public.coupon (plancode, age, "year", couponrate, benefittype, benefitrate, premiumrate) VALUES('EN60', 52, 25, 8, 'A',800, 1.01);</v>
      </c>
      <c r="I237" s="6" t="str">
        <f t="shared" si="51"/>
        <v>{"age":"52", "year":"25", "couponrate":"8", "benefittype":"A", "benefitrate":"800", "premiumrate":"1.01"}</v>
      </c>
      <c r="J237" s="6" t="str">
        <f t="shared" si="52"/>
        <v>,</v>
      </c>
    </row>
    <row r="238" spans="1:10">
      <c r="A238" s="4" t="str">
        <f>'EN60'!A$3</f>
        <v>EN60</v>
      </c>
      <c r="B238" s="4">
        <f t="shared" si="53"/>
        <v>52</v>
      </c>
      <c r="C238" s="4">
        <f t="shared" si="54"/>
        <v>26</v>
      </c>
      <c r="D238" s="4">
        <f t="shared" si="48"/>
        <v>8</v>
      </c>
      <c r="E238" s="4" t="s">
        <v>27</v>
      </c>
      <c r="F238" s="4">
        <f t="shared" si="49"/>
        <v>800</v>
      </c>
      <c r="G238" s="5">
        <f t="shared" si="55"/>
        <v>1.01</v>
      </c>
      <c r="H238" s="6" t="str">
        <f t="shared" si="50"/>
        <v>INSERT INTO public.coupon (plancode, age, "year", couponrate, benefittype, benefitrate, premiumrate) VALUES('EN60', 52, 26, 8, 'A',800, 1.01);</v>
      </c>
      <c r="I238" s="6" t="str">
        <f t="shared" si="51"/>
        <v>{"age":"52", "year":"26", "couponrate":"8", "benefittype":"A", "benefitrate":"800", "premiumrate":"1.01"}</v>
      </c>
      <c r="J238" s="6" t="str">
        <f t="shared" si="52"/>
        <v>,</v>
      </c>
    </row>
    <row r="239" spans="1:10">
      <c r="A239" s="4" t="str">
        <f>'EN60'!A$3</f>
        <v>EN60</v>
      </c>
      <c r="B239" s="4">
        <f t="shared" si="53"/>
        <v>52</v>
      </c>
      <c r="C239" s="4">
        <f t="shared" si="54"/>
        <v>27</v>
      </c>
      <c r="D239" s="4">
        <f t="shared" si="48"/>
        <v>8</v>
      </c>
      <c r="E239" s="4" t="s">
        <v>27</v>
      </c>
      <c r="F239" s="4">
        <f t="shared" si="49"/>
        <v>800</v>
      </c>
      <c r="G239" s="5">
        <f t="shared" si="55"/>
        <v>1.01</v>
      </c>
      <c r="H239" s="6" t="str">
        <f t="shared" si="50"/>
        <v>INSERT INTO public.coupon (plancode, age, "year", couponrate, benefittype, benefitrate, premiumrate) VALUES('EN60', 52, 27, 8, 'A',800, 1.01);</v>
      </c>
      <c r="I239" s="6" t="str">
        <f t="shared" si="51"/>
        <v>{"age":"52", "year":"27", "couponrate":"8", "benefittype":"A", "benefitrate":"800", "premiumrate":"1.01"}</v>
      </c>
      <c r="J239" s="6" t="str">
        <f t="shared" si="52"/>
        <v>,</v>
      </c>
    </row>
    <row r="240" spans="1:10">
      <c r="A240" s="4" t="str">
        <f>'EN60'!A$3</f>
        <v>EN60</v>
      </c>
      <c r="B240" s="4">
        <f t="shared" si="53"/>
        <v>52</v>
      </c>
      <c r="C240" s="4">
        <f t="shared" si="54"/>
        <v>28</v>
      </c>
      <c r="D240" s="4">
        <f t="shared" si="48"/>
        <v>0</v>
      </c>
      <c r="E240" s="4" t="s">
        <v>27</v>
      </c>
      <c r="F240" s="4">
        <f t="shared" si="49"/>
        <v>800</v>
      </c>
      <c r="G240" s="5">
        <f t="shared" si="55"/>
        <v>1.01</v>
      </c>
      <c r="H240" s="6" t="str">
        <f t="shared" si="50"/>
        <v>INSERT INTO public.coupon (plancode, age, "year", couponrate, benefittype, benefitrate, premiumrate) VALUES('EN60', 52, 28, 0, 'A',800, 1.01);</v>
      </c>
      <c r="I240" s="6" t="str">
        <f t="shared" si="51"/>
        <v>{"age":"52", "year":"28", "couponrate":"0", "benefittype":"A", "benefitrate":"800", "premiumrate":"1.01"}</v>
      </c>
    </row>
    <row r="241" spans="1:10">
      <c r="C241" s="6"/>
      <c r="I241" s="6" t="s">
        <v>28</v>
      </c>
    </row>
    <row r="242" spans="1:10">
      <c r="A242" s="3" t="s">
        <v>2</v>
      </c>
      <c r="B242" s="3" t="s">
        <v>23</v>
      </c>
      <c r="C242" s="3" t="s">
        <v>24</v>
      </c>
      <c r="D242" s="3" t="s">
        <v>25</v>
      </c>
      <c r="E242" s="3" t="s">
        <v>8</v>
      </c>
      <c r="F242" s="3" t="s">
        <v>26</v>
      </c>
      <c r="G242" s="3" t="s">
        <v>4</v>
      </c>
      <c r="I242" s="6" t="str">
        <f>"[{""plancode"":"""&amp;A243&amp;""",""returncash"":"""&amp;B$7&amp;""",""ytable"":"""&amp;C$7&amp;""",""maturerate"":"""&amp;B$3&amp;""",""maturepmrate"":"""&amp;C$3&amp;""",""coupon"":["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243" spans="1:10">
      <c r="A243" s="4" t="str">
        <f>'EN60'!A$3</f>
        <v>EN60</v>
      </c>
      <c r="B243" s="8">
        <v>53</v>
      </c>
      <c r="C243" s="4">
        <v>1</v>
      </c>
      <c r="D243" s="4">
        <f t="shared" ref="D243:D269" si="56">IF(C243+B243=80,0,8)</f>
        <v>8</v>
      </c>
      <c r="E243" s="4" t="s">
        <v>27</v>
      </c>
      <c r="F243" s="4">
        <f t="shared" ref="F243:F269" si="57">IF(C243&gt;7, 800, C243*100)</f>
        <v>100</v>
      </c>
      <c r="G243" s="5">
        <f>'EN60'!C$3</f>
        <v>1.01</v>
      </c>
      <c r="H243" s="6" t="str">
        <f t="shared" ref="H243:H269" si="58">"INSERT INTO public.coupon ("&amp;A$11&amp;", "&amp;B$11&amp;", """&amp;C$11&amp;""", "&amp;D$11&amp;", "&amp;E$11&amp;", "&amp;F$11&amp;", "&amp;G$11&amp;") VALUES('"&amp;A243&amp;"', "&amp;B243&amp;", "&amp;C243&amp;", "&amp;D243&amp;", '"&amp;E243&amp;"',"&amp;F243&amp;", "&amp;G243&amp;");"</f>
        <v>INSERT INTO public.coupon (plancode, age, "year", couponrate, benefittype, benefitrate, premiumrate) VALUES('EN60', 53, 1, 8, 'A',100, 1.01);</v>
      </c>
      <c r="I243" s="6" t="str">
        <f t="shared" ref="I243:I269" si="59">"{""age"":"""&amp;B243&amp;""", ""year"":"""&amp;C243&amp;""", ""couponrate"":"""&amp;D243&amp;""", ""benefittype"":"""&amp;E243&amp;""", ""benefitrate"":"""&amp;F243&amp;""", """&amp;G$11&amp;""":"""&amp;G243&amp;"""}"</f>
        <v>{"age":"53", "year":"1", "couponrate":"8", "benefittype":"A", "benefitrate":"100", "premiumrate":"1.01"}</v>
      </c>
      <c r="J243" s="6" t="str">
        <f t="shared" ref="J243:J268" si="60">IF(OR(I244="]", I243="[", I243="]"), "", ",")</f>
        <v>,</v>
      </c>
    </row>
    <row r="244" spans="1:10">
      <c r="A244" s="4" t="str">
        <f>'EN60'!A$3</f>
        <v>EN60</v>
      </c>
      <c r="B244" s="4">
        <f t="shared" ref="B244:B269" si="61">B243</f>
        <v>53</v>
      </c>
      <c r="C244" s="4">
        <f t="shared" ref="C244:C269" si="62">IF(B244+C243+1&gt;80,"",C243+1)</f>
        <v>2</v>
      </c>
      <c r="D244" s="4">
        <f t="shared" si="56"/>
        <v>8</v>
      </c>
      <c r="E244" s="4" t="s">
        <v>27</v>
      </c>
      <c r="F244" s="4">
        <f t="shared" si="57"/>
        <v>200</v>
      </c>
      <c r="G244" s="5">
        <f t="shared" ref="G244:G269" si="63">G243</f>
        <v>1.01</v>
      </c>
      <c r="H244" s="6" t="str">
        <f t="shared" si="58"/>
        <v>INSERT INTO public.coupon (plancode, age, "year", couponrate, benefittype, benefitrate, premiumrate) VALUES('EN60', 53, 2, 8, 'A',200, 1.01);</v>
      </c>
      <c r="I244" s="6" t="str">
        <f t="shared" si="59"/>
        <v>{"age":"53", "year":"2", "couponrate":"8", "benefittype":"A", "benefitrate":"200", "premiumrate":"1.01"}</v>
      </c>
      <c r="J244" s="6" t="str">
        <f t="shared" si="60"/>
        <v>,</v>
      </c>
    </row>
    <row r="245" spans="1:10">
      <c r="A245" s="4" t="str">
        <f>'EN60'!A$3</f>
        <v>EN60</v>
      </c>
      <c r="B245" s="4">
        <f t="shared" si="61"/>
        <v>53</v>
      </c>
      <c r="C245" s="4">
        <f t="shared" si="62"/>
        <v>3</v>
      </c>
      <c r="D245" s="4">
        <f t="shared" si="56"/>
        <v>8</v>
      </c>
      <c r="E245" s="4" t="s">
        <v>27</v>
      </c>
      <c r="F245" s="4">
        <f t="shared" si="57"/>
        <v>300</v>
      </c>
      <c r="G245" s="5">
        <f t="shared" si="63"/>
        <v>1.01</v>
      </c>
      <c r="H245" s="6" t="str">
        <f t="shared" si="58"/>
        <v>INSERT INTO public.coupon (plancode, age, "year", couponrate, benefittype, benefitrate, premiumrate) VALUES('EN60', 53, 3, 8, 'A',300, 1.01);</v>
      </c>
      <c r="I245" s="6" t="str">
        <f t="shared" si="59"/>
        <v>{"age":"53", "year":"3", "couponrate":"8", "benefittype":"A", "benefitrate":"300", "premiumrate":"1.01"}</v>
      </c>
      <c r="J245" s="6" t="str">
        <f t="shared" si="60"/>
        <v>,</v>
      </c>
    </row>
    <row r="246" spans="1:10">
      <c r="A246" s="4" t="str">
        <f>'EN60'!A$3</f>
        <v>EN60</v>
      </c>
      <c r="B246" s="4">
        <f t="shared" si="61"/>
        <v>53</v>
      </c>
      <c r="C246" s="4">
        <f t="shared" si="62"/>
        <v>4</v>
      </c>
      <c r="D246" s="4">
        <f t="shared" si="56"/>
        <v>8</v>
      </c>
      <c r="E246" s="4" t="s">
        <v>27</v>
      </c>
      <c r="F246" s="4">
        <f t="shared" si="57"/>
        <v>400</v>
      </c>
      <c r="G246" s="5">
        <f t="shared" si="63"/>
        <v>1.01</v>
      </c>
      <c r="H246" s="6" t="str">
        <f t="shared" si="58"/>
        <v>INSERT INTO public.coupon (plancode, age, "year", couponrate, benefittype, benefitrate, premiumrate) VALUES('EN60', 53, 4, 8, 'A',400, 1.01);</v>
      </c>
      <c r="I246" s="6" t="str">
        <f t="shared" si="59"/>
        <v>{"age":"53", "year":"4", "couponrate":"8", "benefittype":"A", "benefitrate":"400", "premiumrate":"1.01"}</v>
      </c>
      <c r="J246" s="6" t="str">
        <f t="shared" si="60"/>
        <v>,</v>
      </c>
    </row>
    <row r="247" spans="1:10">
      <c r="A247" s="4" t="str">
        <f>'EN60'!A$3</f>
        <v>EN60</v>
      </c>
      <c r="B247" s="4">
        <f t="shared" si="61"/>
        <v>53</v>
      </c>
      <c r="C247" s="4">
        <f t="shared" si="62"/>
        <v>5</v>
      </c>
      <c r="D247" s="4">
        <f t="shared" si="56"/>
        <v>8</v>
      </c>
      <c r="E247" s="4" t="s">
        <v>27</v>
      </c>
      <c r="F247" s="4">
        <f t="shared" si="57"/>
        <v>500</v>
      </c>
      <c r="G247" s="5">
        <f t="shared" si="63"/>
        <v>1.01</v>
      </c>
      <c r="H247" s="6" t="str">
        <f t="shared" si="58"/>
        <v>INSERT INTO public.coupon (plancode, age, "year", couponrate, benefittype, benefitrate, premiumrate) VALUES('EN60', 53, 5, 8, 'A',500, 1.01);</v>
      </c>
      <c r="I247" s="6" t="str">
        <f t="shared" si="59"/>
        <v>{"age":"53", "year":"5", "couponrate":"8", "benefittype":"A", "benefitrate":"500", "premiumrate":"1.01"}</v>
      </c>
      <c r="J247" s="6" t="str">
        <f t="shared" si="60"/>
        <v>,</v>
      </c>
    </row>
    <row r="248" spans="1:10">
      <c r="A248" s="4" t="str">
        <f>'EN60'!A$3</f>
        <v>EN60</v>
      </c>
      <c r="B248" s="4">
        <f t="shared" si="61"/>
        <v>53</v>
      </c>
      <c r="C248" s="4">
        <f t="shared" si="62"/>
        <v>6</v>
      </c>
      <c r="D248" s="4">
        <f t="shared" si="56"/>
        <v>8</v>
      </c>
      <c r="E248" s="4" t="s">
        <v>27</v>
      </c>
      <c r="F248" s="4">
        <f t="shared" si="57"/>
        <v>600</v>
      </c>
      <c r="G248" s="5">
        <f t="shared" si="63"/>
        <v>1.01</v>
      </c>
      <c r="H248" s="6" t="str">
        <f t="shared" si="58"/>
        <v>INSERT INTO public.coupon (plancode, age, "year", couponrate, benefittype, benefitrate, premiumrate) VALUES('EN60', 53, 6, 8, 'A',600, 1.01);</v>
      </c>
      <c r="I248" s="6" t="str">
        <f t="shared" si="59"/>
        <v>{"age":"53", "year":"6", "couponrate":"8", "benefittype":"A", "benefitrate":"600", "premiumrate":"1.01"}</v>
      </c>
      <c r="J248" s="6" t="str">
        <f t="shared" si="60"/>
        <v>,</v>
      </c>
    </row>
    <row r="249" spans="1:10">
      <c r="A249" s="4" t="str">
        <f>'EN60'!A$3</f>
        <v>EN60</v>
      </c>
      <c r="B249" s="4">
        <f t="shared" si="61"/>
        <v>53</v>
      </c>
      <c r="C249" s="4">
        <f t="shared" si="62"/>
        <v>7</v>
      </c>
      <c r="D249" s="4">
        <f t="shared" si="56"/>
        <v>8</v>
      </c>
      <c r="E249" s="4" t="s">
        <v>27</v>
      </c>
      <c r="F249" s="4">
        <f t="shared" si="57"/>
        <v>700</v>
      </c>
      <c r="G249" s="5">
        <f t="shared" si="63"/>
        <v>1.01</v>
      </c>
      <c r="H249" s="6" t="str">
        <f t="shared" si="58"/>
        <v>INSERT INTO public.coupon (plancode, age, "year", couponrate, benefittype, benefitrate, premiumrate) VALUES('EN60', 53, 7, 8, 'A',700, 1.01);</v>
      </c>
      <c r="I249" s="6" t="str">
        <f t="shared" si="59"/>
        <v>{"age":"53", "year":"7", "couponrate":"8", "benefittype":"A", "benefitrate":"700", "premiumrate":"1.01"}</v>
      </c>
      <c r="J249" s="6" t="str">
        <f t="shared" si="60"/>
        <v>,</v>
      </c>
    </row>
    <row r="250" spans="1:10">
      <c r="A250" s="4" t="str">
        <f>'EN60'!A$3</f>
        <v>EN60</v>
      </c>
      <c r="B250" s="4">
        <f t="shared" si="61"/>
        <v>53</v>
      </c>
      <c r="C250" s="4">
        <f t="shared" si="62"/>
        <v>8</v>
      </c>
      <c r="D250" s="4">
        <f t="shared" si="56"/>
        <v>8</v>
      </c>
      <c r="E250" s="4" t="s">
        <v>27</v>
      </c>
      <c r="F250" s="4">
        <f t="shared" si="57"/>
        <v>800</v>
      </c>
      <c r="G250" s="5">
        <f t="shared" si="63"/>
        <v>1.01</v>
      </c>
      <c r="H250" s="6" t="str">
        <f t="shared" si="58"/>
        <v>INSERT INTO public.coupon (plancode, age, "year", couponrate, benefittype, benefitrate, premiumrate) VALUES('EN60', 53, 8, 8, 'A',800, 1.01);</v>
      </c>
      <c r="I250" s="6" t="str">
        <f t="shared" si="59"/>
        <v>{"age":"53", "year":"8", "couponrate":"8", "benefittype":"A", "benefitrate":"800", "premiumrate":"1.01"}</v>
      </c>
      <c r="J250" s="6" t="str">
        <f t="shared" si="60"/>
        <v>,</v>
      </c>
    </row>
    <row r="251" spans="1:10">
      <c r="A251" s="4" t="str">
        <f>'EN60'!A$3</f>
        <v>EN60</v>
      </c>
      <c r="B251" s="4">
        <f t="shared" si="61"/>
        <v>53</v>
      </c>
      <c r="C251" s="4">
        <f t="shared" si="62"/>
        <v>9</v>
      </c>
      <c r="D251" s="4">
        <f t="shared" si="56"/>
        <v>8</v>
      </c>
      <c r="E251" s="4" t="s">
        <v>27</v>
      </c>
      <c r="F251" s="4">
        <f t="shared" si="57"/>
        <v>800</v>
      </c>
      <c r="G251" s="5">
        <f t="shared" si="63"/>
        <v>1.01</v>
      </c>
      <c r="H251" s="6" t="str">
        <f t="shared" si="58"/>
        <v>INSERT INTO public.coupon (plancode, age, "year", couponrate, benefittype, benefitrate, premiumrate) VALUES('EN60', 53, 9, 8, 'A',800, 1.01);</v>
      </c>
      <c r="I251" s="6" t="str">
        <f t="shared" si="59"/>
        <v>{"age":"53", "year":"9", "couponrate":"8", "benefittype":"A", "benefitrate":"800", "premiumrate":"1.01"}</v>
      </c>
      <c r="J251" s="6" t="str">
        <f t="shared" si="60"/>
        <v>,</v>
      </c>
    </row>
    <row r="252" spans="1:10">
      <c r="A252" s="4" t="str">
        <f>'EN60'!A$3</f>
        <v>EN60</v>
      </c>
      <c r="B252" s="4">
        <f t="shared" si="61"/>
        <v>53</v>
      </c>
      <c r="C252" s="4">
        <f t="shared" si="62"/>
        <v>10</v>
      </c>
      <c r="D252" s="4">
        <f t="shared" si="56"/>
        <v>8</v>
      </c>
      <c r="E252" s="4" t="s">
        <v>27</v>
      </c>
      <c r="F252" s="4">
        <f t="shared" si="57"/>
        <v>800</v>
      </c>
      <c r="G252" s="5">
        <f t="shared" si="63"/>
        <v>1.01</v>
      </c>
      <c r="H252" s="6" t="str">
        <f t="shared" si="58"/>
        <v>INSERT INTO public.coupon (plancode, age, "year", couponrate, benefittype, benefitrate, premiumrate) VALUES('EN60', 53, 10, 8, 'A',800, 1.01);</v>
      </c>
      <c r="I252" s="6" t="str">
        <f t="shared" si="59"/>
        <v>{"age":"53", "year":"10", "couponrate":"8", "benefittype":"A", "benefitrate":"800", "premiumrate":"1.01"}</v>
      </c>
      <c r="J252" s="6" t="str">
        <f t="shared" si="60"/>
        <v>,</v>
      </c>
    </row>
    <row r="253" spans="1:10">
      <c r="A253" s="4" t="str">
        <f>'EN60'!A$3</f>
        <v>EN60</v>
      </c>
      <c r="B253" s="4">
        <f t="shared" si="61"/>
        <v>53</v>
      </c>
      <c r="C253" s="4">
        <f t="shared" si="62"/>
        <v>11</v>
      </c>
      <c r="D253" s="4">
        <f t="shared" si="56"/>
        <v>8</v>
      </c>
      <c r="E253" s="4" t="s">
        <v>27</v>
      </c>
      <c r="F253" s="4">
        <f t="shared" si="57"/>
        <v>800</v>
      </c>
      <c r="G253" s="5">
        <f t="shared" si="63"/>
        <v>1.01</v>
      </c>
      <c r="H253" s="6" t="str">
        <f t="shared" si="58"/>
        <v>INSERT INTO public.coupon (plancode, age, "year", couponrate, benefittype, benefitrate, premiumrate) VALUES('EN60', 53, 11, 8, 'A',800, 1.01);</v>
      </c>
      <c r="I253" s="6" t="str">
        <f t="shared" si="59"/>
        <v>{"age":"53", "year":"11", "couponrate":"8", "benefittype":"A", "benefitrate":"800", "premiumrate":"1.01"}</v>
      </c>
      <c r="J253" s="6" t="str">
        <f t="shared" si="60"/>
        <v>,</v>
      </c>
    </row>
    <row r="254" spans="1:10">
      <c r="A254" s="4" t="str">
        <f>'EN60'!A$3</f>
        <v>EN60</v>
      </c>
      <c r="B254" s="4">
        <f t="shared" si="61"/>
        <v>53</v>
      </c>
      <c r="C254" s="4">
        <f t="shared" si="62"/>
        <v>12</v>
      </c>
      <c r="D254" s="4">
        <f t="shared" si="56"/>
        <v>8</v>
      </c>
      <c r="E254" s="4" t="s">
        <v>27</v>
      </c>
      <c r="F254" s="4">
        <f t="shared" si="57"/>
        <v>800</v>
      </c>
      <c r="G254" s="5">
        <f t="shared" si="63"/>
        <v>1.01</v>
      </c>
      <c r="H254" s="6" t="str">
        <f t="shared" si="58"/>
        <v>INSERT INTO public.coupon (plancode, age, "year", couponrate, benefittype, benefitrate, premiumrate) VALUES('EN60', 53, 12, 8, 'A',800, 1.01);</v>
      </c>
      <c r="I254" s="6" t="str">
        <f t="shared" si="59"/>
        <v>{"age":"53", "year":"12", "couponrate":"8", "benefittype":"A", "benefitrate":"800", "premiumrate":"1.01"}</v>
      </c>
      <c r="J254" s="6" t="str">
        <f t="shared" si="60"/>
        <v>,</v>
      </c>
    </row>
    <row r="255" spans="1:10">
      <c r="A255" s="4" t="str">
        <f>'EN60'!A$3</f>
        <v>EN60</v>
      </c>
      <c r="B255" s="4">
        <f t="shared" si="61"/>
        <v>53</v>
      </c>
      <c r="C255" s="4">
        <f t="shared" si="62"/>
        <v>13</v>
      </c>
      <c r="D255" s="4">
        <f t="shared" si="56"/>
        <v>8</v>
      </c>
      <c r="E255" s="4" t="s">
        <v>27</v>
      </c>
      <c r="F255" s="4">
        <f t="shared" si="57"/>
        <v>800</v>
      </c>
      <c r="G255" s="5">
        <f t="shared" si="63"/>
        <v>1.01</v>
      </c>
      <c r="H255" s="6" t="str">
        <f t="shared" si="58"/>
        <v>INSERT INTO public.coupon (plancode, age, "year", couponrate, benefittype, benefitrate, premiumrate) VALUES('EN60', 53, 13, 8, 'A',800, 1.01);</v>
      </c>
      <c r="I255" s="6" t="str">
        <f t="shared" si="59"/>
        <v>{"age":"53", "year":"13", "couponrate":"8", "benefittype":"A", "benefitrate":"800", "premiumrate":"1.01"}</v>
      </c>
      <c r="J255" s="6" t="str">
        <f t="shared" si="60"/>
        <v>,</v>
      </c>
    </row>
    <row r="256" spans="1:10">
      <c r="A256" s="4" t="str">
        <f>'EN60'!A$3</f>
        <v>EN60</v>
      </c>
      <c r="B256" s="4">
        <f t="shared" si="61"/>
        <v>53</v>
      </c>
      <c r="C256" s="4">
        <f t="shared" si="62"/>
        <v>14</v>
      </c>
      <c r="D256" s="4">
        <f t="shared" si="56"/>
        <v>8</v>
      </c>
      <c r="E256" s="4" t="s">
        <v>27</v>
      </c>
      <c r="F256" s="4">
        <f t="shared" si="57"/>
        <v>800</v>
      </c>
      <c r="G256" s="5">
        <f t="shared" si="63"/>
        <v>1.01</v>
      </c>
      <c r="H256" s="6" t="str">
        <f t="shared" si="58"/>
        <v>INSERT INTO public.coupon (plancode, age, "year", couponrate, benefittype, benefitrate, premiumrate) VALUES('EN60', 53, 14, 8, 'A',800, 1.01);</v>
      </c>
      <c r="I256" s="6" t="str">
        <f t="shared" si="59"/>
        <v>{"age":"53", "year":"14", "couponrate":"8", "benefittype":"A", "benefitrate":"800", "premiumrate":"1.01"}</v>
      </c>
      <c r="J256" s="6" t="str">
        <f t="shared" si="60"/>
        <v>,</v>
      </c>
    </row>
    <row r="257" spans="1:10">
      <c r="A257" s="4" t="str">
        <f>'EN60'!A$3</f>
        <v>EN60</v>
      </c>
      <c r="B257" s="4">
        <f t="shared" si="61"/>
        <v>53</v>
      </c>
      <c r="C257" s="4">
        <f t="shared" si="62"/>
        <v>15</v>
      </c>
      <c r="D257" s="4">
        <f t="shared" si="56"/>
        <v>8</v>
      </c>
      <c r="E257" s="4" t="s">
        <v>27</v>
      </c>
      <c r="F257" s="4">
        <f t="shared" si="57"/>
        <v>800</v>
      </c>
      <c r="G257" s="5">
        <f t="shared" si="63"/>
        <v>1.01</v>
      </c>
      <c r="H257" s="6" t="str">
        <f t="shared" si="58"/>
        <v>INSERT INTO public.coupon (plancode, age, "year", couponrate, benefittype, benefitrate, premiumrate) VALUES('EN60', 53, 15, 8, 'A',800, 1.01);</v>
      </c>
      <c r="I257" s="6" t="str">
        <f t="shared" si="59"/>
        <v>{"age":"53", "year":"15", "couponrate":"8", "benefittype":"A", "benefitrate":"800", "premiumrate":"1.01"}</v>
      </c>
      <c r="J257" s="6" t="str">
        <f t="shared" si="60"/>
        <v>,</v>
      </c>
    </row>
    <row r="258" spans="1:10">
      <c r="A258" s="4" t="str">
        <f>'EN60'!A$3</f>
        <v>EN60</v>
      </c>
      <c r="B258" s="4">
        <f t="shared" si="61"/>
        <v>53</v>
      </c>
      <c r="C258" s="4">
        <f t="shared" si="62"/>
        <v>16</v>
      </c>
      <c r="D258" s="4">
        <f t="shared" si="56"/>
        <v>8</v>
      </c>
      <c r="E258" s="4" t="s">
        <v>27</v>
      </c>
      <c r="F258" s="4">
        <f t="shared" si="57"/>
        <v>800</v>
      </c>
      <c r="G258" s="5">
        <f t="shared" si="63"/>
        <v>1.01</v>
      </c>
      <c r="H258" s="6" t="str">
        <f t="shared" si="58"/>
        <v>INSERT INTO public.coupon (plancode, age, "year", couponrate, benefittype, benefitrate, premiumrate) VALUES('EN60', 53, 16, 8, 'A',800, 1.01);</v>
      </c>
      <c r="I258" s="6" t="str">
        <f t="shared" si="59"/>
        <v>{"age":"53", "year":"16", "couponrate":"8", "benefittype":"A", "benefitrate":"800", "premiumrate":"1.01"}</v>
      </c>
      <c r="J258" s="6" t="str">
        <f t="shared" si="60"/>
        <v>,</v>
      </c>
    </row>
    <row r="259" spans="1:10">
      <c r="A259" s="4" t="str">
        <f>'EN60'!A$3</f>
        <v>EN60</v>
      </c>
      <c r="B259" s="4">
        <f t="shared" si="61"/>
        <v>53</v>
      </c>
      <c r="C259" s="4">
        <f t="shared" si="62"/>
        <v>17</v>
      </c>
      <c r="D259" s="4">
        <f t="shared" si="56"/>
        <v>8</v>
      </c>
      <c r="E259" s="4" t="s">
        <v>27</v>
      </c>
      <c r="F259" s="4">
        <f t="shared" si="57"/>
        <v>800</v>
      </c>
      <c r="G259" s="5">
        <f t="shared" si="63"/>
        <v>1.01</v>
      </c>
      <c r="H259" s="6" t="str">
        <f t="shared" si="58"/>
        <v>INSERT INTO public.coupon (plancode, age, "year", couponrate, benefittype, benefitrate, premiumrate) VALUES('EN60', 53, 17, 8, 'A',800, 1.01);</v>
      </c>
      <c r="I259" s="6" t="str">
        <f t="shared" si="59"/>
        <v>{"age":"53", "year":"17", "couponrate":"8", "benefittype":"A", "benefitrate":"800", "premiumrate":"1.01"}</v>
      </c>
      <c r="J259" s="6" t="str">
        <f t="shared" si="60"/>
        <v>,</v>
      </c>
    </row>
    <row r="260" spans="1:10">
      <c r="A260" s="4" t="str">
        <f>'EN60'!A$3</f>
        <v>EN60</v>
      </c>
      <c r="B260" s="4">
        <f t="shared" si="61"/>
        <v>53</v>
      </c>
      <c r="C260" s="4">
        <f t="shared" si="62"/>
        <v>18</v>
      </c>
      <c r="D260" s="4">
        <f t="shared" si="56"/>
        <v>8</v>
      </c>
      <c r="E260" s="4" t="s">
        <v>27</v>
      </c>
      <c r="F260" s="4">
        <f t="shared" si="57"/>
        <v>800</v>
      </c>
      <c r="G260" s="5">
        <f t="shared" si="63"/>
        <v>1.01</v>
      </c>
      <c r="H260" s="6" t="str">
        <f t="shared" si="58"/>
        <v>INSERT INTO public.coupon (plancode, age, "year", couponrate, benefittype, benefitrate, premiumrate) VALUES('EN60', 53, 18, 8, 'A',800, 1.01);</v>
      </c>
      <c r="I260" s="6" t="str">
        <f t="shared" si="59"/>
        <v>{"age":"53", "year":"18", "couponrate":"8", "benefittype":"A", "benefitrate":"800", "premiumrate":"1.01"}</v>
      </c>
      <c r="J260" s="6" t="str">
        <f t="shared" si="60"/>
        <v>,</v>
      </c>
    </row>
    <row r="261" spans="1:10">
      <c r="A261" s="4" t="str">
        <f>'EN60'!A$3</f>
        <v>EN60</v>
      </c>
      <c r="B261" s="4">
        <f t="shared" si="61"/>
        <v>53</v>
      </c>
      <c r="C261" s="4">
        <f t="shared" si="62"/>
        <v>19</v>
      </c>
      <c r="D261" s="4">
        <f t="shared" si="56"/>
        <v>8</v>
      </c>
      <c r="E261" s="4" t="s">
        <v>27</v>
      </c>
      <c r="F261" s="4">
        <f t="shared" si="57"/>
        <v>800</v>
      </c>
      <c r="G261" s="5">
        <f t="shared" si="63"/>
        <v>1.01</v>
      </c>
      <c r="H261" s="6" t="str">
        <f t="shared" si="58"/>
        <v>INSERT INTO public.coupon (plancode, age, "year", couponrate, benefittype, benefitrate, premiumrate) VALUES('EN60', 53, 19, 8, 'A',800, 1.01);</v>
      </c>
      <c r="I261" s="6" t="str">
        <f t="shared" si="59"/>
        <v>{"age":"53", "year":"19", "couponrate":"8", "benefittype":"A", "benefitrate":"800", "premiumrate":"1.01"}</v>
      </c>
      <c r="J261" s="6" t="str">
        <f t="shared" si="60"/>
        <v>,</v>
      </c>
    </row>
    <row r="262" spans="1:10">
      <c r="A262" s="4" t="str">
        <f>'EN60'!A$3</f>
        <v>EN60</v>
      </c>
      <c r="B262" s="4">
        <f t="shared" si="61"/>
        <v>53</v>
      </c>
      <c r="C262" s="4">
        <f t="shared" si="62"/>
        <v>20</v>
      </c>
      <c r="D262" s="4">
        <f t="shared" si="56"/>
        <v>8</v>
      </c>
      <c r="E262" s="4" t="s">
        <v>27</v>
      </c>
      <c r="F262" s="4">
        <f t="shared" si="57"/>
        <v>800</v>
      </c>
      <c r="G262" s="5">
        <f t="shared" si="63"/>
        <v>1.01</v>
      </c>
      <c r="H262" s="6" t="str">
        <f t="shared" si="58"/>
        <v>INSERT INTO public.coupon (plancode, age, "year", couponrate, benefittype, benefitrate, premiumrate) VALUES('EN60', 53, 20, 8, 'A',800, 1.01);</v>
      </c>
      <c r="I262" s="6" t="str">
        <f t="shared" si="59"/>
        <v>{"age":"53", "year":"20", "couponrate":"8", "benefittype":"A", "benefitrate":"800", "premiumrate":"1.01"}</v>
      </c>
      <c r="J262" s="6" t="str">
        <f t="shared" si="60"/>
        <v>,</v>
      </c>
    </row>
    <row r="263" spans="1:10">
      <c r="A263" s="4" t="str">
        <f>'EN60'!A$3</f>
        <v>EN60</v>
      </c>
      <c r="B263" s="4">
        <f t="shared" si="61"/>
        <v>53</v>
      </c>
      <c r="C263" s="4">
        <f t="shared" si="62"/>
        <v>21</v>
      </c>
      <c r="D263" s="4">
        <f t="shared" si="56"/>
        <v>8</v>
      </c>
      <c r="E263" s="4" t="s">
        <v>27</v>
      </c>
      <c r="F263" s="4">
        <f t="shared" si="57"/>
        <v>800</v>
      </c>
      <c r="G263" s="5">
        <f t="shared" si="63"/>
        <v>1.01</v>
      </c>
      <c r="H263" s="6" t="str">
        <f t="shared" si="58"/>
        <v>INSERT INTO public.coupon (plancode, age, "year", couponrate, benefittype, benefitrate, premiumrate) VALUES('EN60', 53, 21, 8, 'A',800, 1.01);</v>
      </c>
      <c r="I263" s="6" t="str">
        <f t="shared" si="59"/>
        <v>{"age":"53", "year":"21", "couponrate":"8", "benefittype":"A", "benefitrate":"800", "premiumrate":"1.01"}</v>
      </c>
      <c r="J263" s="6" t="str">
        <f t="shared" si="60"/>
        <v>,</v>
      </c>
    </row>
    <row r="264" spans="1:10">
      <c r="A264" s="4" t="str">
        <f>'EN60'!A$3</f>
        <v>EN60</v>
      </c>
      <c r="B264" s="4">
        <f t="shared" si="61"/>
        <v>53</v>
      </c>
      <c r="C264" s="4">
        <f t="shared" si="62"/>
        <v>22</v>
      </c>
      <c r="D264" s="4">
        <f t="shared" si="56"/>
        <v>8</v>
      </c>
      <c r="E264" s="4" t="s">
        <v>27</v>
      </c>
      <c r="F264" s="4">
        <f t="shared" si="57"/>
        <v>800</v>
      </c>
      <c r="G264" s="5">
        <f t="shared" si="63"/>
        <v>1.01</v>
      </c>
      <c r="H264" s="6" t="str">
        <f t="shared" si="58"/>
        <v>INSERT INTO public.coupon (plancode, age, "year", couponrate, benefittype, benefitrate, premiumrate) VALUES('EN60', 53, 22, 8, 'A',800, 1.01);</v>
      </c>
      <c r="I264" s="6" t="str">
        <f t="shared" si="59"/>
        <v>{"age":"53", "year":"22", "couponrate":"8", "benefittype":"A", "benefitrate":"800", "premiumrate":"1.01"}</v>
      </c>
      <c r="J264" s="6" t="str">
        <f t="shared" si="60"/>
        <v>,</v>
      </c>
    </row>
    <row r="265" spans="1:10">
      <c r="A265" s="4" t="str">
        <f>'EN60'!A$3</f>
        <v>EN60</v>
      </c>
      <c r="B265" s="4">
        <f t="shared" si="61"/>
        <v>53</v>
      </c>
      <c r="C265" s="4">
        <f t="shared" si="62"/>
        <v>23</v>
      </c>
      <c r="D265" s="4">
        <f t="shared" si="56"/>
        <v>8</v>
      </c>
      <c r="E265" s="4" t="s">
        <v>27</v>
      </c>
      <c r="F265" s="4">
        <f t="shared" si="57"/>
        <v>800</v>
      </c>
      <c r="G265" s="5">
        <f t="shared" si="63"/>
        <v>1.01</v>
      </c>
      <c r="H265" s="6" t="str">
        <f t="shared" si="58"/>
        <v>INSERT INTO public.coupon (plancode, age, "year", couponrate, benefittype, benefitrate, premiumrate) VALUES('EN60', 53, 23, 8, 'A',800, 1.01);</v>
      </c>
      <c r="I265" s="6" t="str">
        <f t="shared" si="59"/>
        <v>{"age":"53", "year":"23", "couponrate":"8", "benefittype":"A", "benefitrate":"800", "premiumrate":"1.01"}</v>
      </c>
      <c r="J265" s="6" t="str">
        <f t="shared" si="60"/>
        <v>,</v>
      </c>
    </row>
    <row r="266" spans="1:10">
      <c r="A266" s="4" t="str">
        <f>'EN60'!A$3</f>
        <v>EN60</v>
      </c>
      <c r="B266" s="4">
        <f t="shared" si="61"/>
        <v>53</v>
      </c>
      <c r="C266" s="4">
        <f t="shared" si="62"/>
        <v>24</v>
      </c>
      <c r="D266" s="4">
        <f t="shared" si="56"/>
        <v>8</v>
      </c>
      <c r="E266" s="4" t="s">
        <v>27</v>
      </c>
      <c r="F266" s="4">
        <f t="shared" si="57"/>
        <v>800</v>
      </c>
      <c r="G266" s="5">
        <f t="shared" si="63"/>
        <v>1.01</v>
      </c>
      <c r="H266" s="6" t="str">
        <f t="shared" si="58"/>
        <v>INSERT INTO public.coupon (plancode, age, "year", couponrate, benefittype, benefitrate, premiumrate) VALUES('EN60', 53, 24, 8, 'A',800, 1.01);</v>
      </c>
      <c r="I266" s="6" t="str">
        <f t="shared" si="59"/>
        <v>{"age":"53", "year":"24", "couponrate":"8", "benefittype":"A", "benefitrate":"800", "premiumrate":"1.01"}</v>
      </c>
      <c r="J266" s="6" t="str">
        <f t="shared" si="60"/>
        <v>,</v>
      </c>
    </row>
    <row r="267" spans="1:10">
      <c r="A267" s="4" t="str">
        <f>'EN60'!A$3</f>
        <v>EN60</v>
      </c>
      <c r="B267" s="4">
        <f t="shared" si="61"/>
        <v>53</v>
      </c>
      <c r="C267" s="4">
        <f t="shared" si="62"/>
        <v>25</v>
      </c>
      <c r="D267" s="4">
        <f t="shared" si="56"/>
        <v>8</v>
      </c>
      <c r="E267" s="4" t="s">
        <v>27</v>
      </c>
      <c r="F267" s="4">
        <f t="shared" si="57"/>
        <v>800</v>
      </c>
      <c r="G267" s="5">
        <f t="shared" si="63"/>
        <v>1.01</v>
      </c>
      <c r="H267" s="6" t="str">
        <f t="shared" si="58"/>
        <v>INSERT INTO public.coupon (plancode, age, "year", couponrate, benefittype, benefitrate, premiumrate) VALUES('EN60', 53, 25, 8, 'A',800, 1.01);</v>
      </c>
      <c r="I267" s="6" t="str">
        <f t="shared" si="59"/>
        <v>{"age":"53", "year":"25", "couponrate":"8", "benefittype":"A", "benefitrate":"800", "premiumrate":"1.01"}</v>
      </c>
      <c r="J267" s="6" t="str">
        <f t="shared" si="60"/>
        <v>,</v>
      </c>
    </row>
    <row r="268" spans="1:10">
      <c r="A268" s="4" t="str">
        <f>'EN60'!A$3</f>
        <v>EN60</v>
      </c>
      <c r="B268" s="4">
        <f t="shared" si="61"/>
        <v>53</v>
      </c>
      <c r="C268" s="4">
        <f t="shared" si="62"/>
        <v>26</v>
      </c>
      <c r="D268" s="4">
        <f t="shared" si="56"/>
        <v>8</v>
      </c>
      <c r="E268" s="4" t="s">
        <v>27</v>
      </c>
      <c r="F268" s="4">
        <f t="shared" si="57"/>
        <v>800</v>
      </c>
      <c r="G268" s="5">
        <f t="shared" si="63"/>
        <v>1.01</v>
      </c>
      <c r="H268" s="6" t="str">
        <f t="shared" si="58"/>
        <v>INSERT INTO public.coupon (plancode, age, "year", couponrate, benefittype, benefitrate, premiumrate) VALUES('EN60', 53, 26, 8, 'A',800, 1.01);</v>
      </c>
      <c r="I268" s="6" t="str">
        <f t="shared" si="59"/>
        <v>{"age":"53", "year":"26", "couponrate":"8", "benefittype":"A", "benefitrate":"800", "premiumrate":"1.01"}</v>
      </c>
      <c r="J268" s="6" t="str">
        <f t="shared" si="60"/>
        <v>,</v>
      </c>
    </row>
    <row r="269" spans="1:10">
      <c r="A269" s="4" t="str">
        <f>'EN60'!A$3</f>
        <v>EN60</v>
      </c>
      <c r="B269" s="4">
        <f t="shared" si="61"/>
        <v>53</v>
      </c>
      <c r="C269" s="4">
        <f t="shared" si="62"/>
        <v>27</v>
      </c>
      <c r="D269" s="4">
        <f t="shared" si="56"/>
        <v>0</v>
      </c>
      <c r="E269" s="4" t="s">
        <v>27</v>
      </c>
      <c r="F269" s="4">
        <f t="shared" si="57"/>
        <v>800</v>
      </c>
      <c r="G269" s="5">
        <f t="shared" si="63"/>
        <v>1.01</v>
      </c>
      <c r="H269" s="6" t="str">
        <f t="shared" si="58"/>
        <v>INSERT INTO public.coupon (plancode, age, "year", couponrate, benefittype, benefitrate, premiumrate) VALUES('EN60', 53, 27, 0, 'A',800, 1.01);</v>
      </c>
      <c r="I269" s="6" t="str">
        <f t="shared" si="59"/>
        <v>{"age":"53", "year":"27", "couponrate":"0", "benefittype":"A", "benefitrate":"800", "premiumrate":"1.01"}</v>
      </c>
    </row>
    <row r="270" spans="1:10">
      <c r="C270" s="6"/>
      <c r="I270" s="6" t="s">
        <v>28</v>
      </c>
    </row>
    <row r="271" spans="1:10">
      <c r="A271" s="3" t="s">
        <v>2</v>
      </c>
      <c r="B271" s="3" t="s">
        <v>23</v>
      </c>
      <c r="C271" s="3" t="s">
        <v>24</v>
      </c>
      <c r="D271" s="3" t="s">
        <v>25</v>
      </c>
      <c r="E271" s="3" t="s">
        <v>8</v>
      </c>
      <c r="F271" s="3" t="s">
        <v>26</v>
      </c>
      <c r="G271" s="3" t="s">
        <v>4</v>
      </c>
      <c r="I271" s="6" t="str">
        <f>"[{""plancode"":"""&amp;A272&amp;""",""returncash"":"""&amp;B$7&amp;""",""ytable"":"""&amp;C$7&amp;""",""maturerate"":"""&amp;B$3&amp;""",""maturepmrate"":"""&amp;C$3&amp;""",""coupon"":["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272" spans="1:10">
      <c r="A272" s="4" t="str">
        <f>'EN60'!A$3</f>
        <v>EN60</v>
      </c>
      <c r="B272" s="8">
        <v>54</v>
      </c>
      <c r="C272" s="4">
        <v>1</v>
      </c>
      <c r="D272" s="4">
        <f t="shared" ref="D272:D297" si="64">IF(C272+B272=80,0,8)</f>
        <v>8</v>
      </c>
      <c r="E272" s="4" t="s">
        <v>27</v>
      </c>
      <c r="F272" s="4">
        <f t="shared" ref="F272:F297" si="65">IF(C272&gt;7, 800, C272*100)</f>
        <v>100</v>
      </c>
      <c r="G272" s="5">
        <f>'EN60'!C$3</f>
        <v>1.01</v>
      </c>
      <c r="H272" s="6" t="str">
        <f t="shared" ref="H272:H297" si="66">"INSERT INTO public.coupon ("&amp;A$11&amp;", "&amp;B$11&amp;", """&amp;C$11&amp;""", "&amp;D$11&amp;", "&amp;E$11&amp;", "&amp;F$11&amp;", "&amp;G$11&amp;") VALUES('"&amp;A272&amp;"', "&amp;B272&amp;", "&amp;C272&amp;", "&amp;D272&amp;", '"&amp;E272&amp;"',"&amp;F272&amp;", "&amp;G272&amp;");"</f>
        <v>INSERT INTO public.coupon (plancode, age, "year", couponrate, benefittype, benefitrate, premiumrate) VALUES('EN60', 54, 1, 8, 'A',100, 1.01);</v>
      </c>
      <c r="I272" s="6" t="str">
        <f t="shared" ref="I272:I297" si="67">"{""age"":"""&amp;B272&amp;""", ""year"":"""&amp;C272&amp;""", ""couponrate"":"""&amp;D272&amp;""", ""benefittype"":"""&amp;E272&amp;""", ""benefitrate"":"""&amp;F272&amp;""", """&amp;G$11&amp;""":"""&amp;G272&amp;"""}"</f>
        <v>{"age":"54", "year":"1", "couponrate":"8", "benefittype":"A", "benefitrate":"100", "premiumrate":"1.01"}</v>
      </c>
      <c r="J272" s="6" t="str">
        <f t="shared" ref="J272:J296" si="68">IF(OR(I273="]", I272="[", I272="]"), "", ",")</f>
        <v>,</v>
      </c>
    </row>
    <row r="273" spans="1:10">
      <c r="A273" s="4" t="str">
        <f>'EN60'!A$3</f>
        <v>EN60</v>
      </c>
      <c r="B273" s="4">
        <f t="shared" ref="B273:B297" si="69">B272</f>
        <v>54</v>
      </c>
      <c r="C273" s="4">
        <f t="shared" ref="C273:C297" si="70">IF(B273+C272+1&gt;80,"",C272+1)</f>
        <v>2</v>
      </c>
      <c r="D273" s="4">
        <f t="shared" si="64"/>
        <v>8</v>
      </c>
      <c r="E273" s="4" t="s">
        <v>27</v>
      </c>
      <c r="F273" s="4">
        <f t="shared" si="65"/>
        <v>200</v>
      </c>
      <c r="G273" s="5">
        <f t="shared" ref="G273:G297" si="71">G272</f>
        <v>1.01</v>
      </c>
      <c r="H273" s="6" t="str">
        <f t="shared" si="66"/>
        <v>INSERT INTO public.coupon (plancode, age, "year", couponrate, benefittype, benefitrate, premiumrate) VALUES('EN60', 54, 2, 8, 'A',200, 1.01);</v>
      </c>
      <c r="I273" s="6" t="str">
        <f t="shared" si="67"/>
        <v>{"age":"54", "year":"2", "couponrate":"8", "benefittype":"A", "benefitrate":"200", "premiumrate":"1.01"}</v>
      </c>
      <c r="J273" s="6" t="str">
        <f t="shared" si="68"/>
        <v>,</v>
      </c>
    </row>
    <row r="274" spans="1:10">
      <c r="A274" s="4" t="str">
        <f>'EN60'!A$3</f>
        <v>EN60</v>
      </c>
      <c r="B274" s="4">
        <f t="shared" si="69"/>
        <v>54</v>
      </c>
      <c r="C274" s="4">
        <f t="shared" si="70"/>
        <v>3</v>
      </c>
      <c r="D274" s="4">
        <f t="shared" si="64"/>
        <v>8</v>
      </c>
      <c r="E274" s="4" t="s">
        <v>27</v>
      </c>
      <c r="F274" s="4">
        <f t="shared" si="65"/>
        <v>300</v>
      </c>
      <c r="G274" s="5">
        <f t="shared" si="71"/>
        <v>1.01</v>
      </c>
      <c r="H274" s="6" t="str">
        <f t="shared" si="66"/>
        <v>INSERT INTO public.coupon (plancode, age, "year", couponrate, benefittype, benefitrate, premiumrate) VALUES('EN60', 54, 3, 8, 'A',300, 1.01);</v>
      </c>
      <c r="I274" s="6" t="str">
        <f t="shared" si="67"/>
        <v>{"age":"54", "year":"3", "couponrate":"8", "benefittype":"A", "benefitrate":"300", "premiumrate":"1.01"}</v>
      </c>
      <c r="J274" s="6" t="str">
        <f t="shared" si="68"/>
        <v>,</v>
      </c>
    </row>
    <row r="275" spans="1:10">
      <c r="A275" s="4" t="str">
        <f>'EN60'!A$3</f>
        <v>EN60</v>
      </c>
      <c r="B275" s="4">
        <f t="shared" si="69"/>
        <v>54</v>
      </c>
      <c r="C275" s="4">
        <f t="shared" si="70"/>
        <v>4</v>
      </c>
      <c r="D275" s="4">
        <f t="shared" si="64"/>
        <v>8</v>
      </c>
      <c r="E275" s="4" t="s">
        <v>27</v>
      </c>
      <c r="F275" s="4">
        <f t="shared" si="65"/>
        <v>400</v>
      </c>
      <c r="G275" s="5">
        <f t="shared" si="71"/>
        <v>1.01</v>
      </c>
      <c r="H275" s="6" t="str">
        <f t="shared" si="66"/>
        <v>INSERT INTO public.coupon (plancode, age, "year", couponrate, benefittype, benefitrate, premiumrate) VALUES('EN60', 54, 4, 8, 'A',400, 1.01);</v>
      </c>
      <c r="I275" s="6" t="str">
        <f t="shared" si="67"/>
        <v>{"age":"54", "year":"4", "couponrate":"8", "benefittype":"A", "benefitrate":"400", "premiumrate":"1.01"}</v>
      </c>
      <c r="J275" s="6" t="str">
        <f t="shared" si="68"/>
        <v>,</v>
      </c>
    </row>
    <row r="276" spans="1:10">
      <c r="A276" s="4" t="str">
        <f>'EN60'!A$3</f>
        <v>EN60</v>
      </c>
      <c r="B276" s="4">
        <f t="shared" si="69"/>
        <v>54</v>
      </c>
      <c r="C276" s="4">
        <f t="shared" si="70"/>
        <v>5</v>
      </c>
      <c r="D276" s="4">
        <f t="shared" si="64"/>
        <v>8</v>
      </c>
      <c r="E276" s="4" t="s">
        <v>27</v>
      </c>
      <c r="F276" s="4">
        <f t="shared" si="65"/>
        <v>500</v>
      </c>
      <c r="G276" s="5">
        <f t="shared" si="71"/>
        <v>1.01</v>
      </c>
      <c r="H276" s="6" t="str">
        <f t="shared" si="66"/>
        <v>INSERT INTO public.coupon (plancode, age, "year", couponrate, benefittype, benefitrate, premiumrate) VALUES('EN60', 54, 5, 8, 'A',500, 1.01);</v>
      </c>
      <c r="I276" s="6" t="str">
        <f t="shared" si="67"/>
        <v>{"age":"54", "year":"5", "couponrate":"8", "benefittype":"A", "benefitrate":"500", "premiumrate":"1.01"}</v>
      </c>
      <c r="J276" s="6" t="str">
        <f t="shared" si="68"/>
        <v>,</v>
      </c>
    </row>
    <row r="277" spans="1:10">
      <c r="A277" s="4" t="str">
        <f>'EN60'!A$3</f>
        <v>EN60</v>
      </c>
      <c r="B277" s="4">
        <f t="shared" si="69"/>
        <v>54</v>
      </c>
      <c r="C277" s="4">
        <f t="shared" si="70"/>
        <v>6</v>
      </c>
      <c r="D277" s="4">
        <f t="shared" si="64"/>
        <v>8</v>
      </c>
      <c r="E277" s="4" t="s">
        <v>27</v>
      </c>
      <c r="F277" s="4">
        <f t="shared" si="65"/>
        <v>600</v>
      </c>
      <c r="G277" s="5">
        <f t="shared" si="71"/>
        <v>1.01</v>
      </c>
      <c r="H277" s="6" t="str">
        <f t="shared" si="66"/>
        <v>INSERT INTO public.coupon (plancode, age, "year", couponrate, benefittype, benefitrate, premiumrate) VALUES('EN60', 54, 6, 8, 'A',600, 1.01);</v>
      </c>
      <c r="I277" s="6" t="str">
        <f t="shared" si="67"/>
        <v>{"age":"54", "year":"6", "couponrate":"8", "benefittype":"A", "benefitrate":"600", "premiumrate":"1.01"}</v>
      </c>
      <c r="J277" s="6" t="str">
        <f t="shared" si="68"/>
        <v>,</v>
      </c>
    </row>
    <row r="278" spans="1:10">
      <c r="A278" s="4" t="str">
        <f>'EN60'!A$3</f>
        <v>EN60</v>
      </c>
      <c r="B278" s="4">
        <f t="shared" si="69"/>
        <v>54</v>
      </c>
      <c r="C278" s="4">
        <f t="shared" si="70"/>
        <v>7</v>
      </c>
      <c r="D278" s="4">
        <f t="shared" si="64"/>
        <v>8</v>
      </c>
      <c r="E278" s="4" t="s">
        <v>27</v>
      </c>
      <c r="F278" s="4">
        <f t="shared" si="65"/>
        <v>700</v>
      </c>
      <c r="G278" s="5">
        <f t="shared" si="71"/>
        <v>1.01</v>
      </c>
      <c r="H278" s="6" t="str">
        <f t="shared" si="66"/>
        <v>INSERT INTO public.coupon (plancode, age, "year", couponrate, benefittype, benefitrate, premiumrate) VALUES('EN60', 54, 7, 8, 'A',700, 1.01);</v>
      </c>
      <c r="I278" s="6" t="str">
        <f t="shared" si="67"/>
        <v>{"age":"54", "year":"7", "couponrate":"8", "benefittype":"A", "benefitrate":"700", "premiumrate":"1.01"}</v>
      </c>
      <c r="J278" s="6" t="str">
        <f t="shared" si="68"/>
        <v>,</v>
      </c>
    </row>
    <row r="279" spans="1:10">
      <c r="A279" s="4" t="str">
        <f>'EN60'!A$3</f>
        <v>EN60</v>
      </c>
      <c r="B279" s="4">
        <f t="shared" si="69"/>
        <v>54</v>
      </c>
      <c r="C279" s="4">
        <f t="shared" si="70"/>
        <v>8</v>
      </c>
      <c r="D279" s="4">
        <f t="shared" si="64"/>
        <v>8</v>
      </c>
      <c r="E279" s="4" t="s">
        <v>27</v>
      </c>
      <c r="F279" s="4">
        <f t="shared" si="65"/>
        <v>800</v>
      </c>
      <c r="G279" s="5">
        <f t="shared" si="71"/>
        <v>1.01</v>
      </c>
      <c r="H279" s="6" t="str">
        <f t="shared" si="66"/>
        <v>INSERT INTO public.coupon (plancode, age, "year", couponrate, benefittype, benefitrate, premiumrate) VALUES('EN60', 54, 8, 8, 'A',800, 1.01);</v>
      </c>
      <c r="I279" s="6" t="str">
        <f t="shared" si="67"/>
        <v>{"age":"54", "year":"8", "couponrate":"8", "benefittype":"A", "benefitrate":"800", "premiumrate":"1.01"}</v>
      </c>
      <c r="J279" s="6" t="str">
        <f t="shared" si="68"/>
        <v>,</v>
      </c>
    </row>
    <row r="280" spans="1:10">
      <c r="A280" s="4" t="str">
        <f>'EN60'!A$3</f>
        <v>EN60</v>
      </c>
      <c r="B280" s="4">
        <f t="shared" si="69"/>
        <v>54</v>
      </c>
      <c r="C280" s="4">
        <f t="shared" si="70"/>
        <v>9</v>
      </c>
      <c r="D280" s="4">
        <f t="shared" si="64"/>
        <v>8</v>
      </c>
      <c r="E280" s="4" t="s">
        <v>27</v>
      </c>
      <c r="F280" s="4">
        <f t="shared" si="65"/>
        <v>800</v>
      </c>
      <c r="G280" s="5">
        <f t="shared" si="71"/>
        <v>1.01</v>
      </c>
      <c r="H280" s="6" t="str">
        <f t="shared" si="66"/>
        <v>INSERT INTO public.coupon (plancode, age, "year", couponrate, benefittype, benefitrate, premiumrate) VALUES('EN60', 54, 9, 8, 'A',800, 1.01);</v>
      </c>
      <c r="I280" s="6" t="str">
        <f t="shared" si="67"/>
        <v>{"age":"54", "year":"9", "couponrate":"8", "benefittype":"A", "benefitrate":"800", "premiumrate":"1.01"}</v>
      </c>
      <c r="J280" s="6" t="str">
        <f t="shared" si="68"/>
        <v>,</v>
      </c>
    </row>
    <row r="281" spans="1:10">
      <c r="A281" s="4" t="str">
        <f>'EN60'!A$3</f>
        <v>EN60</v>
      </c>
      <c r="B281" s="4">
        <f t="shared" si="69"/>
        <v>54</v>
      </c>
      <c r="C281" s="4">
        <f t="shared" si="70"/>
        <v>10</v>
      </c>
      <c r="D281" s="4">
        <f t="shared" si="64"/>
        <v>8</v>
      </c>
      <c r="E281" s="4" t="s">
        <v>27</v>
      </c>
      <c r="F281" s="4">
        <f t="shared" si="65"/>
        <v>800</v>
      </c>
      <c r="G281" s="5">
        <f t="shared" si="71"/>
        <v>1.01</v>
      </c>
      <c r="H281" s="6" t="str">
        <f t="shared" si="66"/>
        <v>INSERT INTO public.coupon (plancode, age, "year", couponrate, benefittype, benefitrate, premiumrate) VALUES('EN60', 54, 10, 8, 'A',800, 1.01);</v>
      </c>
      <c r="I281" s="6" t="str">
        <f t="shared" si="67"/>
        <v>{"age":"54", "year":"10", "couponrate":"8", "benefittype":"A", "benefitrate":"800", "premiumrate":"1.01"}</v>
      </c>
      <c r="J281" s="6" t="str">
        <f t="shared" si="68"/>
        <v>,</v>
      </c>
    </row>
    <row r="282" spans="1:10">
      <c r="A282" s="4" t="str">
        <f>'EN60'!A$3</f>
        <v>EN60</v>
      </c>
      <c r="B282" s="4">
        <f t="shared" si="69"/>
        <v>54</v>
      </c>
      <c r="C282" s="4">
        <f t="shared" si="70"/>
        <v>11</v>
      </c>
      <c r="D282" s="4">
        <f t="shared" si="64"/>
        <v>8</v>
      </c>
      <c r="E282" s="4" t="s">
        <v>27</v>
      </c>
      <c r="F282" s="4">
        <f t="shared" si="65"/>
        <v>800</v>
      </c>
      <c r="G282" s="5">
        <f t="shared" si="71"/>
        <v>1.01</v>
      </c>
      <c r="H282" s="6" t="str">
        <f t="shared" si="66"/>
        <v>INSERT INTO public.coupon (plancode, age, "year", couponrate, benefittype, benefitrate, premiumrate) VALUES('EN60', 54, 11, 8, 'A',800, 1.01);</v>
      </c>
      <c r="I282" s="6" t="str">
        <f t="shared" si="67"/>
        <v>{"age":"54", "year":"11", "couponrate":"8", "benefittype":"A", "benefitrate":"800", "premiumrate":"1.01"}</v>
      </c>
      <c r="J282" s="6" t="str">
        <f t="shared" si="68"/>
        <v>,</v>
      </c>
    </row>
    <row r="283" spans="1:10">
      <c r="A283" s="4" t="str">
        <f>'EN60'!A$3</f>
        <v>EN60</v>
      </c>
      <c r="B283" s="4">
        <f t="shared" si="69"/>
        <v>54</v>
      </c>
      <c r="C283" s="4">
        <f t="shared" si="70"/>
        <v>12</v>
      </c>
      <c r="D283" s="4">
        <f t="shared" si="64"/>
        <v>8</v>
      </c>
      <c r="E283" s="4" t="s">
        <v>27</v>
      </c>
      <c r="F283" s="4">
        <f t="shared" si="65"/>
        <v>800</v>
      </c>
      <c r="G283" s="5">
        <f t="shared" si="71"/>
        <v>1.01</v>
      </c>
      <c r="H283" s="6" t="str">
        <f t="shared" si="66"/>
        <v>INSERT INTO public.coupon (plancode, age, "year", couponrate, benefittype, benefitrate, premiumrate) VALUES('EN60', 54, 12, 8, 'A',800, 1.01);</v>
      </c>
      <c r="I283" s="6" t="str">
        <f t="shared" si="67"/>
        <v>{"age":"54", "year":"12", "couponrate":"8", "benefittype":"A", "benefitrate":"800", "premiumrate":"1.01"}</v>
      </c>
      <c r="J283" s="6" t="str">
        <f t="shared" si="68"/>
        <v>,</v>
      </c>
    </row>
    <row r="284" spans="1:10">
      <c r="A284" s="4" t="str">
        <f>'EN60'!A$3</f>
        <v>EN60</v>
      </c>
      <c r="B284" s="4">
        <f t="shared" si="69"/>
        <v>54</v>
      </c>
      <c r="C284" s="4">
        <f t="shared" si="70"/>
        <v>13</v>
      </c>
      <c r="D284" s="4">
        <f t="shared" si="64"/>
        <v>8</v>
      </c>
      <c r="E284" s="4" t="s">
        <v>27</v>
      </c>
      <c r="F284" s="4">
        <f t="shared" si="65"/>
        <v>800</v>
      </c>
      <c r="G284" s="5">
        <f t="shared" si="71"/>
        <v>1.01</v>
      </c>
      <c r="H284" s="6" t="str">
        <f t="shared" si="66"/>
        <v>INSERT INTO public.coupon (plancode, age, "year", couponrate, benefittype, benefitrate, premiumrate) VALUES('EN60', 54, 13, 8, 'A',800, 1.01);</v>
      </c>
      <c r="I284" s="6" t="str">
        <f t="shared" si="67"/>
        <v>{"age":"54", "year":"13", "couponrate":"8", "benefittype":"A", "benefitrate":"800", "premiumrate":"1.01"}</v>
      </c>
      <c r="J284" s="6" t="str">
        <f t="shared" si="68"/>
        <v>,</v>
      </c>
    </row>
    <row r="285" spans="1:10">
      <c r="A285" s="4" t="str">
        <f>'EN60'!A$3</f>
        <v>EN60</v>
      </c>
      <c r="B285" s="4">
        <f t="shared" si="69"/>
        <v>54</v>
      </c>
      <c r="C285" s="4">
        <f t="shared" si="70"/>
        <v>14</v>
      </c>
      <c r="D285" s="4">
        <f t="shared" si="64"/>
        <v>8</v>
      </c>
      <c r="E285" s="4" t="s">
        <v>27</v>
      </c>
      <c r="F285" s="4">
        <f t="shared" si="65"/>
        <v>800</v>
      </c>
      <c r="G285" s="5">
        <f t="shared" si="71"/>
        <v>1.01</v>
      </c>
      <c r="H285" s="6" t="str">
        <f t="shared" si="66"/>
        <v>INSERT INTO public.coupon (plancode, age, "year", couponrate, benefittype, benefitrate, premiumrate) VALUES('EN60', 54, 14, 8, 'A',800, 1.01);</v>
      </c>
      <c r="I285" s="6" t="str">
        <f t="shared" si="67"/>
        <v>{"age":"54", "year":"14", "couponrate":"8", "benefittype":"A", "benefitrate":"800", "premiumrate":"1.01"}</v>
      </c>
      <c r="J285" s="6" t="str">
        <f t="shared" si="68"/>
        <v>,</v>
      </c>
    </row>
    <row r="286" spans="1:10">
      <c r="A286" s="4" t="str">
        <f>'EN60'!A$3</f>
        <v>EN60</v>
      </c>
      <c r="B286" s="4">
        <f t="shared" si="69"/>
        <v>54</v>
      </c>
      <c r="C286" s="4">
        <f t="shared" si="70"/>
        <v>15</v>
      </c>
      <c r="D286" s="4">
        <f t="shared" si="64"/>
        <v>8</v>
      </c>
      <c r="E286" s="4" t="s">
        <v>27</v>
      </c>
      <c r="F286" s="4">
        <f t="shared" si="65"/>
        <v>800</v>
      </c>
      <c r="G286" s="5">
        <f t="shared" si="71"/>
        <v>1.01</v>
      </c>
      <c r="H286" s="6" t="str">
        <f t="shared" si="66"/>
        <v>INSERT INTO public.coupon (plancode, age, "year", couponrate, benefittype, benefitrate, premiumrate) VALUES('EN60', 54, 15, 8, 'A',800, 1.01);</v>
      </c>
      <c r="I286" s="6" t="str">
        <f t="shared" si="67"/>
        <v>{"age":"54", "year":"15", "couponrate":"8", "benefittype":"A", "benefitrate":"800", "premiumrate":"1.01"}</v>
      </c>
      <c r="J286" s="6" t="str">
        <f t="shared" si="68"/>
        <v>,</v>
      </c>
    </row>
    <row r="287" spans="1:10">
      <c r="A287" s="4" t="str">
        <f>'EN60'!A$3</f>
        <v>EN60</v>
      </c>
      <c r="B287" s="4">
        <f t="shared" si="69"/>
        <v>54</v>
      </c>
      <c r="C287" s="4">
        <f t="shared" si="70"/>
        <v>16</v>
      </c>
      <c r="D287" s="4">
        <f t="shared" si="64"/>
        <v>8</v>
      </c>
      <c r="E287" s="4" t="s">
        <v>27</v>
      </c>
      <c r="F287" s="4">
        <f t="shared" si="65"/>
        <v>800</v>
      </c>
      <c r="G287" s="5">
        <f t="shared" si="71"/>
        <v>1.01</v>
      </c>
      <c r="H287" s="6" t="str">
        <f t="shared" si="66"/>
        <v>INSERT INTO public.coupon (plancode, age, "year", couponrate, benefittype, benefitrate, premiumrate) VALUES('EN60', 54, 16, 8, 'A',800, 1.01);</v>
      </c>
      <c r="I287" s="6" t="str">
        <f t="shared" si="67"/>
        <v>{"age":"54", "year":"16", "couponrate":"8", "benefittype":"A", "benefitrate":"800", "premiumrate":"1.01"}</v>
      </c>
      <c r="J287" s="6" t="str">
        <f t="shared" si="68"/>
        <v>,</v>
      </c>
    </row>
    <row r="288" spans="1:10">
      <c r="A288" s="4" t="str">
        <f>'EN60'!A$3</f>
        <v>EN60</v>
      </c>
      <c r="B288" s="4">
        <f t="shared" si="69"/>
        <v>54</v>
      </c>
      <c r="C288" s="4">
        <f t="shared" si="70"/>
        <v>17</v>
      </c>
      <c r="D288" s="4">
        <f t="shared" si="64"/>
        <v>8</v>
      </c>
      <c r="E288" s="4" t="s">
        <v>27</v>
      </c>
      <c r="F288" s="4">
        <f t="shared" si="65"/>
        <v>800</v>
      </c>
      <c r="G288" s="5">
        <f t="shared" si="71"/>
        <v>1.01</v>
      </c>
      <c r="H288" s="6" t="str">
        <f t="shared" si="66"/>
        <v>INSERT INTO public.coupon (plancode, age, "year", couponrate, benefittype, benefitrate, premiumrate) VALUES('EN60', 54, 17, 8, 'A',800, 1.01);</v>
      </c>
      <c r="I288" s="6" t="str">
        <f t="shared" si="67"/>
        <v>{"age":"54", "year":"17", "couponrate":"8", "benefittype":"A", "benefitrate":"800", "premiumrate":"1.01"}</v>
      </c>
      <c r="J288" s="6" t="str">
        <f t="shared" si="68"/>
        <v>,</v>
      </c>
    </row>
    <row r="289" spans="1:10">
      <c r="A289" s="4" t="str">
        <f>'EN60'!A$3</f>
        <v>EN60</v>
      </c>
      <c r="B289" s="4">
        <f t="shared" si="69"/>
        <v>54</v>
      </c>
      <c r="C289" s="4">
        <f t="shared" si="70"/>
        <v>18</v>
      </c>
      <c r="D289" s="4">
        <f t="shared" si="64"/>
        <v>8</v>
      </c>
      <c r="E289" s="4" t="s">
        <v>27</v>
      </c>
      <c r="F289" s="4">
        <f t="shared" si="65"/>
        <v>800</v>
      </c>
      <c r="G289" s="5">
        <f t="shared" si="71"/>
        <v>1.01</v>
      </c>
      <c r="H289" s="6" t="str">
        <f t="shared" si="66"/>
        <v>INSERT INTO public.coupon (plancode, age, "year", couponrate, benefittype, benefitrate, premiumrate) VALUES('EN60', 54, 18, 8, 'A',800, 1.01);</v>
      </c>
      <c r="I289" s="6" t="str">
        <f t="shared" si="67"/>
        <v>{"age":"54", "year":"18", "couponrate":"8", "benefittype":"A", "benefitrate":"800", "premiumrate":"1.01"}</v>
      </c>
      <c r="J289" s="6" t="str">
        <f t="shared" si="68"/>
        <v>,</v>
      </c>
    </row>
    <row r="290" spans="1:10">
      <c r="A290" s="4" t="str">
        <f>'EN60'!A$3</f>
        <v>EN60</v>
      </c>
      <c r="B290" s="4">
        <f t="shared" si="69"/>
        <v>54</v>
      </c>
      <c r="C290" s="4">
        <f t="shared" si="70"/>
        <v>19</v>
      </c>
      <c r="D290" s="4">
        <f t="shared" si="64"/>
        <v>8</v>
      </c>
      <c r="E290" s="4" t="s">
        <v>27</v>
      </c>
      <c r="F290" s="4">
        <f t="shared" si="65"/>
        <v>800</v>
      </c>
      <c r="G290" s="5">
        <f t="shared" si="71"/>
        <v>1.01</v>
      </c>
      <c r="H290" s="6" t="str">
        <f t="shared" si="66"/>
        <v>INSERT INTO public.coupon (plancode, age, "year", couponrate, benefittype, benefitrate, premiumrate) VALUES('EN60', 54, 19, 8, 'A',800, 1.01);</v>
      </c>
      <c r="I290" s="6" t="str">
        <f t="shared" si="67"/>
        <v>{"age":"54", "year":"19", "couponrate":"8", "benefittype":"A", "benefitrate":"800", "premiumrate":"1.01"}</v>
      </c>
      <c r="J290" s="6" t="str">
        <f t="shared" si="68"/>
        <v>,</v>
      </c>
    </row>
    <row r="291" spans="1:10">
      <c r="A291" s="4" t="str">
        <f>'EN60'!A$3</f>
        <v>EN60</v>
      </c>
      <c r="B291" s="4">
        <f t="shared" si="69"/>
        <v>54</v>
      </c>
      <c r="C291" s="4">
        <f t="shared" si="70"/>
        <v>20</v>
      </c>
      <c r="D291" s="4">
        <f t="shared" si="64"/>
        <v>8</v>
      </c>
      <c r="E291" s="4" t="s">
        <v>27</v>
      </c>
      <c r="F291" s="4">
        <f t="shared" si="65"/>
        <v>800</v>
      </c>
      <c r="G291" s="5">
        <f t="shared" si="71"/>
        <v>1.01</v>
      </c>
      <c r="H291" s="6" t="str">
        <f t="shared" si="66"/>
        <v>INSERT INTO public.coupon (plancode, age, "year", couponrate, benefittype, benefitrate, premiumrate) VALUES('EN60', 54, 20, 8, 'A',800, 1.01);</v>
      </c>
      <c r="I291" s="6" t="str">
        <f t="shared" si="67"/>
        <v>{"age":"54", "year":"20", "couponrate":"8", "benefittype":"A", "benefitrate":"800", "premiumrate":"1.01"}</v>
      </c>
      <c r="J291" s="6" t="str">
        <f t="shared" si="68"/>
        <v>,</v>
      </c>
    </row>
    <row r="292" spans="1:10">
      <c r="A292" s="4" t="str">
        <f>'EN60'!A$3</f>
        <v>EN60</v>
      </c>
      <c r="B292" s="4">
        <f t="shared" si="69"/>
        <v>54</v>
      </c>
      <c r="C292" s="4">
        <f t="shared" si="70"/>
        <v>21</v>
      </c>
      <c r="D292" s="4">
        <f t="shared" si="64"/>
        <v>8</v>
      </c>
      <c r="E292" s="4" t="s">
        <v>27</v>
      </c>
      <c r="F292" s="4">
        <f t="shared" si="65"/>
        <v>800</v>
      </c>
      <c r="G292" s="5">
        <f t="shared" si="71"/>
        <v>1.01</v>
      </c>
      <c r="H292" s="6" t="str">
        <f t="shared" si="66"/>
        <v>INSERT INTO public.coupon (plancode, age, "year", couponrate, benefittype, benefitrate, premiumrate) VALUES('EN60', 54, 21, 8, 'A',800, 1.01);</v>
      </c>
      <c r="I292" s="6" t="str">
        <f t="shared" si="67"/>
        <v>{"age":"54", "year":"21", "couponrate":"8", "benefittype":"A", "benefitrate":"800", "premiumrate":"1.01"}</v>
      </c>
      <c r="J292" s="6" t="str">
        <f t="shared" si="68"/>
        <v>,</v>
      </c>
    </row>
    <row r="293" spans="1:10">
      <c r="A293" s="4" t="str">
        <f>'EN60'!A$3</f>
        <v>EN60</v>
      </c>
      <c r="B293" s="4">
        <f t="shared" si="69"/>
        <v>54</v>
      </c>
      <c r="C293" s="4">
        <f t="shared" si="70"/>
        <v>22</v>
      </c>
      <c r="D293" s="4">
        <f t="shared" si="64"/>
        <v>8</v>
      </c>
      <c r="E293" s="4" t="s">
        <v>27</v>
      </c>
      <c r="F293" s="4">
        <f t="shared" si="65"/>
        <v>800</v>
      </c>
      <c r="G293" s="5">
        <f t="shared" si="71"/>
        <v>1.01</v>
      </c>
      <c r="H293" s="6" t="str">
        <f t="shared" si="66"/>
        <v>INSERT INTO public.coupon (plancode, age, "year", couponrate, benefittype, benefitrate, premiumrate) VALUES('EN60', 54, 22, 8, 'A',800, 1.01);</v>
      </c>
      <c r="I293" s="6" t="str">
        <f t="shared" si="67"/>
        <v>{"age":"54", "year":"22", "couponrate":"8", "benefittype":"A", "benefitrate":"800", "premiumrate":"1.01"}</v>
      </c>
      <c r="J293" s="6" t="str">
        <f t="shared" si="68"/>
        <v>,</v>
      </c>
    </row>
    <row r="294" spans="1:10">
      <c r="A294" s="4" t="str">
        <f>'EN60'!A$3</f>
        <v>EN60</v>
      </c>
      <c r="B294" s="4">
        <f t="shared" si="69"/>
        <v>54</v>
      </c>
      <c r="C294" s="4">
        <f t="shared" si="70"/>
        <v>23</v>
      </c>
      <c r="D294" s="4">
        <f t="shared" si="64"/>
        <v>8</v>
      </c>
      <c r="E294" s="4" t="s">
        <v>27</v>
      </c>
      <c r="F294" s="4">
        <f t="shared" si="65"/>
        <v>800</v>
      </c>
      <c r="G294" s="5">
        <f t="shared" si="71"/>
        <v>1.01</v>
      </c>
      <c r="H294" s="6" t="str">
        <f t="shared" si="66"/>
        <v>INSERT INTO public.coupon (plancode, age, "year", couponrate, benefittype, benefitrate, premiumrate) VALUES('EN60', 54, 23, 8, 'A',800, 1.01);</v>
      </c>
      <c r="I294" s="6" t="str">
        <f t="shared" si="67"/>
        <v>{"age":"54", "year":"23", "couponrate":"8", "benefittype":"A", "benefitrate":"800", "premiumrate":"1.01"}</v>
      </c>
      <c r="J294" s="6" t="str">
        <f t="shared" si="68"/>
        <v>,</v>
      </c>
    </row>
    <row r="295" spans="1:10">
      <c r="A295" s="4" t="str">
        <f>'EN60'!A$3</f>
        <v>EN60</v>
      </c>
      <c r="B295" s="4">
        <f t="shared" si="69"/>
        <v>54</v>
      </c>
      <c r="C295" s="4">
        <f t="shared" si="70"/>
        <v>24</v>
      </c>
      <c r="D295" s="4">
        <f t="shared" si="64"/>
        <v>8</v>
      </c>
      <c r="E295" s="4" t="s">
        <v>27</v>
      </c>
      <c r="F295" s="4">
        <f t="shared" si="65"/>
        <v>800</v>
      </c>
      <c r="G295" s="5">
        <f t="shared" si="71"/>
        <v>1.01</v>
      </c>
      <c r="H295" s="6" t="str">
        <f t="shared" si="66"/>
        <v>INSERT INTO public.coupon (plancode, age, "year", couponrate, benefittype, benefitrate, premiumrate) VALUES('EN60', 54, 24, 8, 'A',800, 1.01);</v>
      </c>
      <c r="I295" s="6" t="str">
        <f t="shared" si="67"/>
        <v>{"age":"54", "year":"24", "couponrate":"8", "benefittype":"A", "benefitrate":"800", "premiumrate":"1.01"}</v>
      </c>
      <c r="J295" s="6" t="str">
        <f t="shared" si="68"/>
        <v>,</v>
      </c>
    </row>
    <row r="296" spans="1:10">
      <c r="A296" s="4" t="str">
        <f>'EN60'!A$3</f>
        <v>EN60</v>
      </c>
      <c r="B296" s="4">
        <f t="shared" si="69"/>
        <v>54</v>
      </c>
      <c r="C296" s="4">
        <f t="shared" si="70"/>
        <v>25</v>
      </c>
      <c r="D296" s="4">
        <f t="shared" si="64"/>
        <v>8</v>
      </c>
      <c r="E296" s="4" t="s">
        <v>27</v>
      </c>
      <c r="F296" s="4">
        <f t="shared" si="65"/>
        <v>800</v>
      </c>
      <c r="G296" s="5">
        <f t="shared" si="71"/>
        <v>1.01</v>
      </c>
      <c r="H296" s="6" t="str">
        <f t="shared" si="66"/>
        <v>INSERT INTO public.coupon (plancode, age, "year", couponrate, benefittype, benefitrate, premiumrate) VALUES('EN60', 54, 25, 8, 'A',800, 1.01);</v>
      </c>
      <c r="I296" s="6" t="str">
        <f t="shared" si="67"/>
        <v>{"age":"54", "year":"25", "couponrate":"8", "benefittype":"A", "benefitrate":"800", "premiumrate":"1.01"}</v>
      </c>
      <c r="J296" s="6" t="str">
        <f t="shared" si="68"/>
        <v>,</v>
      </c>
    </row>
    <row r="297" spans="1:10">
      <c r="A297" s="4" t="str">
        <f>'EN60'!A$3</f>
        <v>EN60</v>
      </c>
      <c r="B297" s="4">
        <f t="shared" si="69"/>
        <v>54</v>
      </c>
      <c r="C297" s="4">
        <f t="shared" si="70"/>
        <v>26</v>
      </c>
      <c r="D297" s="4">
        <f t="shared" si="64"/>
        <v>0</v>
      </c>
      <c r="E297" s="4" t="s">
        <v>27</v>
      </c>
      <c r="F297" s="4">
        <f t="shared" si="65"/>
        <v>800</v>
      </c>
      <c r="G297" s="5">
        <f t="shared" si="71"/>
        <v>1.01</v>
      </c>
      <c r="H297" s="6" t="str">
        <f t="shared" si="66"/>
        <v>INSERT INTO public.coupon (plancode, age, "year", couponrate, benefittype, benefitrate, premiumrate) VALUES('EN60', 54, 26, 0, 'A',800, 1.01);</v>
      </c>
      <c r="I297" s="6" t="str">
        <f t="shared" si="67"/>
        <v>{"age":"54", "year":"26", "couponrate":"0", "benefittype":"A", "benefitrate":"800", "premiumrate":"1.01"}</v>
      </c>
    </row>
    <row r="298" spans="1:10">
      <c r="C298" s="6"/>
      <c r="I298" s="6" t="s">
        <v>28</v>
      </c>
    </row>
    <row r="299" spans="1:10">
      <c r="A299" s="3" t="s">
        <v>2</v>
      </c>
      <c r="B299" s="3" t="s">
        <v>23</v>
      </c>
      <c r="C299" s="3" t="s">
        <v>24</v>
      </c>
      <c r="D299" s="3" t="s">
        <v>25</v>
      </c>
      <c r="E299" s="3" t="s">
        <v>8</v>
      </c>
      <c r="F299" s="3" t="s">
        <v>26</v>
      </c>
      <c r="G299" s="3" t="s">
        <v>4</v>
      </c>
      <c r="I299" s="6" t="str">
        <f>"[{""plancode"":"""&amp;A300&amp;""",""returncash"":"""&amp;B$7&amp;""",""ytable"":"""&amp;C$7&amp;""",""maturerate"":"""&amp;B$3&amp;""",""maturepmrate"":"""&amp;C$3&amp;""",""coupon"":["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300" spans="1:10">
      <c r="A300" s="4" t="str">
        <f>'EN60'!A$3</f>
        <v>EN60</v>
      </c>
      <c r="B300" s="8">
        <v>55</v>
      </c>
      <c r="C300" s="4">
        <v>1</v>
      </c>
      <c r="D300" s="4">
        <f t="shared" ref="D300:D324" si="72">IF(C300+B300=80,0,8)</f>
        <v>8</v>
      </c>
      <c r="E300" s="4" t="s">
        <v>27</v>
      </c>
      <c r="F300" s="4">
        <f t="shared" ref="F300:F324" si="73">IF(C300&gt;7, 800, C300*100)</f>
        <v>100</v>
      </c>
      <c r="G300" s="5">
        <f>'EN60'!C$3</f>
        <v>1.01</v>
      </c>
      <c r="H300" s="6" t="str">
        <f t="shared" ref="H300:H324" si="74">"INSERT INTO public.coupon ("&amp;A$11&amp;", "&amp;B$11&amp;", """&amp;C$11&amp;""", "&amp;D$11&amp;", "&amp;E$11&amp;", "&amp;F$11&amp;", "&amp;G$11&amp;") VALUES('"&amp;A300&amp;"', "&amp;B300&amp;", "&amp;C300&amp;", "&amp;D300&amp;", '"&amp;E300&amp;"',"&amp;F300&amp;", "&amp;G300&amp;");"</f>
        <v>INSERT INTO public.coupon (plancode, age, "year", couponrate, benefittype, benefitrate, premiumrate) VALUES('EN60', 55, 1, 8, 'A',100, 1.01);</v>
      </c>
      <c r="I300" s="6" t="str">
        <f t="shared" ref="I300:I324" si="75">"{""age"":"""&amp;B300&amp;""", ""year"":"""&amp;C300&amp;""", ""couponrate"":"""&amp;D300&amp;""", ""benefittype"":"""&amp;E300&amp;""", ""benefitrate"":"""&amp;F300&amp;""", """&amp;G$11&amp;""":"""&amp;G300&amp;"""}"</f>
        <v>{"age":"55", "year":"1", "couponrate":"8", "benefittype":"A", "benefitrate":"100", "premiumrate":"1.01"}</v>
      </c>
      <c r="J300" s="6" t="str">
        <f t="shared" ref="J300:J323" si="76">IF(OR(I301="]", I300="[", I300="]"), "", ",")</f>
        <v>,</v>
      </c>
    </row>
    <row r="301" spans="1:10">
      <c r="A301" s="4" t="str">
        <f>'EN60'!A$3</f>
        <v>EN60</v>
      </c>
      <c r="B301" s="4">
        <f t="shared" ref="B301:B324" si="77">B300</f>
        <v>55</v>
      </c>
      <c r="C301" s="4">
        <f t="shared" ref="C301:C324" si="78">IF(B301+C300+1&gt;80,"",C300+1)</f>
        <v>2</v>
      </c>
      <c r="D301" s="4">
        <f t="shared" si="72"/>
        <v>8</v>
      </c>
      <c r="E301" s="4" t="s">
        <v>27</v>
      </c>
      <c r="F301" s="4">
        <f t="shared" si="73"/>
        <v>200</v>
      </c>
      <c r="G301" s="5">
        <f t="shared" ref="G301:G324" si="79">G300</f>
        <v>1.01</v>
      </c>
      <c r="H301" s="6" t="str">
        <f t="shared" si="74"/>
        <v>INSERT INTO public.coupon (plancode, age, "year", couponrate, benefittype, benefitrate, premiumrate) VALUES('EN60', 55, 2, 8, 'A',200, 1.01);</v>
      </c>
      <c r="I301" s="6" t="str">
        <f t="shared" si="75"/>
        <v>{"age":"55", "year":"2", "couponrate":"8", "benefittype":"A", "benefitrate":"200", "premiumrate":"1.01"}</v>
      </c>
      <c r="J301" s="6" t="str">
        <f t="shared" si="76"/>
        <v>,</v>
      </c>
    </row>
    <row r="302" spans="1:10">
      <c r="A302" s="4" t="str">
        <f>'EN60'!A$3</f>
        <v>EN60</v>
      </c>
      <c r="B302" s="4">
        <f t="shared" si="77"/>
        <v>55</v>
      </c>
      <c r="C302" s="4">
        <f t="shared" si="78"/>
        <v>3</v>
      </c>
      <c r="D302" s="4">
        <f t="shared" si="72"/>
        <v>8</v>
      </c>
      <c r="E302" s="4" t="s">
        <v>27</v>
      </c>
      <c r="F302" s="4">
        <f t="shared" si="73"/>
        <v>300</v>
      </c>
      <c r="G302" s="5">
        <f t="shared" si="79"/>
        <v>1.01</v>
      </c>
      <c r="H302" s="6" t="str">
        <f t="shared" si="74"/>
        <v>INSERT INTO public.coupon (plancode, age, "year", couponrate, benefittype, benefitrate, premiumrate) VALUES('EN60', 55, 3, 8, 'A',300, 1.01);</v>
      </c>
      <c r="I302" s="6" t="str">
        <f t="shared" si="75"/>
        <v>{"age":"55", "year":"3", "couponrate":"8", "benefittype":"A", "benefitrate":"300", "premiumrate":"1.01"}</v>
      </c>
      <c r="J302" s="6" t="str">
        <f t="shared" si="76"/>
        <v>,</v>
      </c>
    </row>
    <row r="303" spans="1:10">
      <c r="A303" s="4" t="str">
        <f>'EN60'!A$3</f>
        <v>EN60</v>
      </c>
      <c r="B303" s="4">
        <f t="shared" si="77"/>
        <v>55</v>
      </c>
      <c r="C303" s="4">
        <f t="shared" si="78"/>
        <v>4</v>
      </c>
      <c r="D303" s="4">
        <f t="shared" si="72"/>
        <v>8</v>
      </c>
      <c r="E303" s="4" t="s">
        <v>27</v>
      </c>
      <c r="F303" s="4">
        <f t="shared" si="73"/>
        <v>400</v>
      </c>
      <c r="G303" s="5">
        <f t="shared" si="79"/>
        <v>1.01</v>
      </c>
      <c r="H303" s="6" t="str">
        <f t="shared" si="74"/>
        <v>INSERT INTO public.coupon (plancode, age, "year", couponrate, benefittype, benefitrate, premiumrate) VALUES('EN60', 55, 4, 8, 'A',400, 1.01);</v>
      </c>
      <c r="I303" s="6" t="str">
        <f t="shared" si="75"/>
        <v>{"age":"55", "year":"4", "couponrate":"8", "benefittype":"A", "benefitrate":"400", "premiumrate":"1.01"}</v>
      </c>
      <c r="J303" s="6" t="str">
        <f t="shared" si="76"/>
        <v>,</v>
      </c>
    </row>
    <row r="304" spans="1:10">
      <c r="A304" s="4" t="str">
        <f>'EN60'!A$3</f>
        <v>EN60</v>
      </c>
      <c r="B304" s="4">
        <f t="shared" si="77"/>
        <v>55</v>
      </c>
      <c r="C304" s="4">
        <f t="shared" si="78"/>
        <v>5</v>
      </c>
      <c r="D304" s="4">
        <f t="shared" si="72"/>
        <v>8</v>
      </c>
      <c r="E304" s="4" t="s">
        <v>27</v>
      </c>
      <c r="F304" s="4">
        <f t="shared" si="73"/>
        <v>500</v>
      </c>
      <c r="G304" s="5">
        <f t="shared" si="79"/>
        <v>1.01</v>
      </c>
      <c r="H304" s="6" t="str">
        <f t="shared" si="74"/>
        <v>INSERT INTO public.coupon (plancode, age, "year", couponrate, benefittype, benefitrate, premiumrate) VALUES('EN60', 55, 5, 8, 'A',500, 1.01);</v>
      </c>
      <c r="I304" s="6" t="str">
        <f t="shared" si="75"/>
        <v>{"age":"55", "year":"5", "couponrate":"8", "benefittype":"A", "benefitrate":"500", "premiumrate":"1.01"}</v>
      </c>
      <c r="J304" s="6" t="str">
        <f t="shared" si="76"/>
        <v>,</v>
      </c>
    </row>
    <row r="305" spans="1:10">
      <c r="A305" s="4" t="str">
        <f>'EN60'!A$3</f>
        <v>EN60</v>
      </c>
      <c r="B305" s="4">
        <f t="shared" si="77"/>
        <v>55</v>
      </c>
      <c r="C305" s="4">
        <f t="shared" si="78"/>
        <v>6</v>
      </c>
      <c r="D305" s="4">
        <f t="shared" si="72"/>
        <v>8</v>
      </c>
      <c r="E305" s="4" t="s">
        <v>27</v>
      </c>
      <c r="F305" s="4">
        <f t="shared" si="73"/>
        <v>600</v>
      </c>
      <c r="G305" s="5">
        <f t="shared" si="79"/>
        <v>1.01</v>
      </c>
      <c r="H305" s="6" t="str">
        <f t="shared" si="74"/>
        <v>INSERT INTO public.coupon (plancode, age, "year", couponrate, benefittype, benefitrate, premiumrate) VALUES('EN60', 55, 6, 8, 'A',600, 1.01);</v>
      </c>
      <c r="I305" s="6" t="str">
        <f t="shared" si="75"/>
        <v>{"age":"55", "year":"6", "couponrate":"8", "benefittype":"A", "benefitrate":"600", "premiumrate":"1.01"}</v>
      </c>
      <c r="J305" s="6" t="str">
        <f t="shared" si="76"/>
        <v>,</v>
      </c>
    </row>
    <row r="306" spans="1:10">
      <c r="A306" s="4" t="str">
        <f>'EN60'!A$3</f>
        <v>EN60</v>
      </c>
      <c r="B306" s="4">
        <f t="shared" si="77"/>
        <v>55</v>
      </c>
      <c r="C306" s="4">
        <f t="shared" si="78"/>
        <v>7</v>
      </c>
      <c r="D306" s="4">
        <f t="shared" si="72"/>
        <v>8</v>
      </c>
      <c r="E306" s="4" t="s">
        <v>27</v>
      </c>
      <c r="F306" s="4">
        <f t="shared" si="73"/>
        <v>700</v>
      </c>
      <c r="G306" s="5">
        <f t="shared" si="79"/>
        <v>1.01</v>
      </c>
      <c r="H306" s="6" t="str">
        <f t="shared" si="74"/>
        <v>INSERT INTO public.coupon (plancode, age, "year", couponrate, benefittype, benefitrate, premiumrate) VALUES('EN60', 55, 7, 8, 'A',700, 1.01);</v>
      </c>
      <c r="I306" s="6" t="str">
        <f t="shared" si="75"/>
        <v>{"age":"55", "year":"7", "couponrate":"8", "benefittype":"A", "benefitrate":"700", "premiumrate":"1.01"}</v>
      </c>
      <c r="J306" s="6" t="str">
        <f t="shared" si="76"/>
        <v>,</v>
      </c>
    </row>
    <row r="307" spans="1:10">
      <c r="A307" s="4" t="str">
        <f>'EN60'!A$3</f>
        <v>EN60</v>
      </c>
      <c r="B307" s="4">
        <f t="shared" si="77"/>
        <v>55</v>
      </c>
      <c r="C307" s="4">
        <f t="shared" si="78"/>
        <v>8</v>
      </c>
      <c r="D307" s="4">
        <f t="shared" si="72"/>
        <v>8</v>
      </c>
      <c r="E307" s="4" t="s">
        <v>27</v>
      </c>
      <c r="F307" s="4">
        <f t="shared" si="73"/>
        <v>800</v>
      </c>
      <c r="G307" s="5">
        <f t="shared" si="79"/>
        <v>1.01</v>
      </c>
      <c r="H307" s="6" t="str">
        <f t="shared" si="74"/>
        <v>INSERT INTO public.coupon (plancode, age, "year", couponrate, benefittype, benefitrate, premiumrate) VALUES('EN60', 55, 8, 8, 'A',800, 1.01);</v>
      </c>
      <c r="I307" s="6" t="str">
        <f t="shared" si="75"/>
        <v>{"age":"55", "year":"8", "couponrate":"8", "benefittype":"A", "benefitrate":"800", "premiumrate":"1.01"}</v>
      </c>
      <c r="J307" s="6" t="str">
        <f t="shared" si="76"/>
        <v>,</v>
      </c>
    </row>
    <row r="308" spans="1:10">
      <c r="A308" s="4" t="str">
        <f>'EN60'!A$3</f>
        <v>EN60</v>
      </c>
      <c r="B308" s="4">
        <f t="shared" si="77"/>
        <v>55</v>
      </c>
      <c r="C308" s="4">
        <f t="shared" si="78"/>
        <v>9</v>
      </c>
      <c r="D308" s="4">
        <f t="shared" si="72"/>
        <v>8</v>
      </c>
      <c r="E308" s="4" t="s">
        <v>27</v>
      </c>
      <c r="F308" s="4">
        <f t="shared" si="73"/>
        <v>800</v>
      </c>
      <c r="G308" s="5">
        <f t="shared" si="79"/>
        <v>1.01</v>
      </c>
      <c r="H308" s="6" t="str">
        <f t="shared" si="74"/>
        <v>INSERT INTO public.coupon (plancode, age, "year", couponrate, benefittype, benefitrate, premiumrate) VALUES('EN60', 55, 9, 8, 'A',800, 1.01);</v>
      </c>
      <c r="I308" s="6" t="str">
        <f t="shared" si="75"/>
        <v>{"age":"55", "year":"9", "couponrate":"8", "benefittype":"A", "benefitrate":"800", "premiumrate":"1.01"}</v>
      </c>
      <c r="J308" s="6" t="str">
        <f t="shared" si="76"/>
        <v>,</v>
      </c>
    </row>
    <row r="309" spans="1:10">
      <c r="A309" s="4" t="str">
        <f>'EN60'!A$3</f>
        <v>EN60</v>
      </c>
      <c r="B309" s="4">
        <f t="shared" si="77"/>
        <v>55</v>
      </c>
      <c r="C309" s="4">
        <f t="shared" si="78"/>
        <v>10</v>
      </c>
      <c r="D309" s="4">
        <f t="shared" si="72"/>
        <v>8</v>
      </c>
      <c r="E309" s="4" t="s">
        <v>27</v>
      </c>
      <c r="F309" s="4">
        <f t="shared" si="73"/>
        <v>800</v>
      </c>
      <c r="G309" s="5">
        <f t="shared" si="79"/>
        <v>1.01</v>
      </c>
      <c r="H309" s="6" t="str">
        <f t="shared" si="74"/>
        <v>INSERT INTO public.coupon (plancode, age, "year", couponrate, benefittype, benefitrate, premiumrate) VALUES('EN60', 55, 10, 8, 'A',800, 1.01);</v>
      </c>
      <c r="I309" s="6" t="str">
        <f t="shared" si="75"/>
        <v>{"age":"55", "year":"10", "couponrate":"8", "benefittype":"A", "benefitrate":"800", "premiumrate":"1.01"}</v>
      </c>
      <c r="J309" s="6" t="str">
        <f t="shared" si="76"/>
        <v>,</v>
      </c>
    </row>
    <row r="310" spans="1:10">
      <c r="A310" s="4" t="str">
        <f>'EN60'!A$3</f>
        <v>EN60</v>
      </c>
      <c r="B310" s="4">
        <f t="shared" si="77"/>
        <v>55</v>
      </c>
      <c r="C310" s="4">
        <f t="shared" si="78"/>
        <v>11</v>
      </c>
      <c r="D310" s="4">
        <f t="shared" si="72"/>
        <v>8</v>
      </c>
      <c r="E310" s="4" t="s">
        <v>27</v>
      </c>
      <c r="F310" s="4">
        <f t="shared" si="73"/>
        <v>800</v>
      </c>
      <c r="G310" s="5">
        <f t="shared" si="79"/>
        <v>1.01</v>
      </c>
      <c r="H310" s="6" t="str">
        <f t="shared" si="74"/>
        <v>INSERT INTO public.coupon (plancode, age, "year", couponrate, benefittype, benefitrate, premiumrate) VALUES('EN60', 55, 11, 8, 'A',800, 1.01);</v>
      </c>
      <c r="I310" s="6" t="str">
        <f t="shared" si="75"/>
        <v>{"age":"55", "year":"11", "couponrate":"8", "benefittype":"A", "benefitrate":"800", "premiumrate":"1.01"}</v>
      </c>
      <c r="J310" s="6" t="str">
        <f t="shared" si="76"/>
        <v>,</v>
      </c>
    </row>
    <row r="311" spans="1:10">
      <c r="A311" s="4" t="str">
        <f>'EN60'!A$3</f>
        <v>EN60</v>
      </c>
      <c r="B311" s="4">
        <f t="shared" si="77"/>
        <v>55</v>
      </c>
      <c r="C311" s="4">
        <f t="shared" si="78"/>
        <v>12</v>
      </c>
      <c r="D311" s="4">
        <f t="shared" si="72"/>
        <v>8</v>
      </c>
      <c r="E311" s="4" t="s">
        <v>27</v>
      </c>
      <c r="F311" s="4">
        <f t="shared" si="73"/>
        <v>800</v>
      </c>
      <c r="G311" s="5">
        <f t="shared" si="79"/>
        <v>1.01</v>
      </c>
      <c r="H311" s="6" t="str">
        <f t="shared" si="74"/>
        <v>INSERT INTO public.coupon (plancode, age, "year", couponrate, benefittype, benefitrate, premiumrate) VALUES('EN60', 55, 12, 8, 'A',800, 1.01);</v>
      </c>
      <c r="I311" s="6" t="str">
        <f t="shared" si="75"/>
        <v>{"age":"55", "year":"12", "couponrate":"8", "benefittype":"A", "benefitrate":"800", "premiumrate":"1.01"}</v>
      </c>
      <c r="J311" s="6" t="str">
        <f t="shared" si="76"/>
        <v>,</v>
      </c>
    </row>
    <row r="312" spans="1:10">
      <c r="A312" s="4" t="str">
        <f>'EN60'!A$3</f>
        <v>EN60</v>
      </c>
      <c r="B312" s="4">
        <f t="shared" si="77"/>
        <v>55</v>
      </c>
      <c r="C312" s="4">
        <f t="shared" si="78"/>
        <v>13</v>
      </c>
      <c r="D312" s="4">
        <f t="shared" si="72"/>
        <v>8</v>
      </c>
      <c r="E312" s="4" t="s">
        <v>27</v>
      </c>
      <c r="F312" s="4">
        <f t="shared" si="73"/>
        <v>800</v>
      </c>
      <c r="G312" s="5">
        <f t="shared" si="79"/>
        <v>1.01</v>
      </c>
      <c r="H312" s="6" t="str">
        <f t="shared" si="74"/>
        <v>INSERT INTO public.coupon (plancode, age, "year", couponrate, benefittype, benefitrate, premiumrate) VALUES('EN60', 55, 13, 8, 'A',800, 1.01);</v>
      </c>
      <c r="I312" s="6" t="str">
        <f t="shared" si="75"/>
        <v>{"age":"55", "year":"13", "couponrate":"8", "benefittype":"A", "benefitrate":"800", "premiumrate":"1.01"}</v>
      </c>
      <c r="J312" s="6" t="str">
        <f t="shared" si="76"/>
        <v>,</v>
      </c>
    </row>
    <row r="313" spans="1:10">
      <c r="A313" s="4" t="str">
        <f>'EN60'!A$3</f>
        <v>EN60</v>
      </c>
      <c r="B313" s="4">
        <f t="shared" si="77"/>
        <v>55</v>
      </c>
      <c r="C313" s="4">
        <f t="shared" si="78"/>
        <v>14</v>
      </c>
      <c r="D313" s="4">
        <f t="shared" si="72"/>
        <v>8</v>
      </c>
      <c r="E313" s="4" t="s">
        <v>27</v>
      </c>
      <c r="F313" s="4">
        <f t="shared" si="73"/>
        <v>800</v>
      </c>
      <c r="G313" s="5">
        <f t="shared" si="79"/>
        <v>1.01</v>
      </c>
      <c r="H313" s="6" t="str">
        <f t="shared" si="74"/>
        <v>INSERT INTO public.coupon (plancode, age, "year", couponrate, benefittype, benefitrate, premiumrate) VALUES('EN60', 55, 14, 8, 'A',800, 1.01);</v>
      </c>
      <c r="I313" s="6" t="str">
        <f t="shared" si="75"/>
        <v>{"age":"55", "year":"14", "couponrate":"8", "benefittype":"A", "benefitrate":"800", "premiumrate":"1.01"}</v>
      </c>
      <c r="J313" s="6" t="str">
        <f t="shared" si="76"/>
        <v>,</v>
      </c>
    </row>
    <row r="314" spans="1:10">
      <c r="A314" s="4" t="str">
        <f>'EN60'!A$3</f>
        <v>EN60</v>
      </c>
      <c r="B314" s="4">
        <f t="shared" si="77"/>
        <v>55</v>
      </c>
      <c r="C314" s="4">
        <f t="shared" si="78"/>
        <v>15</v>
      </c>
      <c r="D314" s="4">
        <f t="shared" si="72"/>
        <v>8</v>
      </c>
      <c r="E314" s="4" t="s">
        <v>27</v>
      </c>
      <c r="F314" s="4">
        <f t="shared" si="73"/>
        <v>800</v>
      </c>
      <c r="G314" s="5">
        <f t="shared" si="79"/>
        <v>1.01</v>
      </c>
      <c r="H314" s="6" t="str">
        <f t="shared" si="74"/>
        <v>INSERT INTO public.coupon (plancode, age, "year", couponrate, benefittype, benefitrate, premiumrate) VALUES('EN60', 55, 15, 8, 'A',800, 1.01);</v>
      </c>
      <c r="I314" s="6" t="str">
        <f t="shared" si="75"/>
        <v>{"age":"55", "year":"15", "couponrate":"8", "benefittype":"A", "benefitrate":"800", "premiumrate":"1.01"}</v>
      </c>
      <c r="J314" s="6" t="str">
        <f t="shared" si="76"/>
        <v>,</v>
      </c>
    </row>
    <row r="315" spans="1:10">
      <c r="A315" s="4" t="str">
        <f>'EN60'!A$3</f>
        <v>EN60</v>
      </c>
      <c r="B315" s="4">
        <f t="shared" si="77"/>
        <v>55</v>
      </c>
      <c r="C315" s="4">
        <f t="shared" si="78"/>
        <v>16</v>
      </c>
      <c r="D315" s="4">
        <f t="shared" si="72"/>
        <v>8</v>
      </c>
      <c r="E315" s="4" t="s">
        <v>27</v>
      </c>
      <c r="F315" s="4">
        <f t="shared" si="73"/>
        <v>800</v>
      </c>
      <c r="G315" s="5">
        <f t="shared" si="79"/>
        <v>1.01</v>
      </c>
      <c r="H315" s="6" t="str">
        <f t="shared" si="74"/>
        <v>INSERT INTO public.coupon (plancode, age, "year", couponrate, benefittype, benefitrate, premiumrate) VALUES('EN60', 55, 16, 8, 'A',800, 1.01);</v>
      </c>
      <c r="I315" s="6" t="str">
        <f t="shared" si="75"/>
        <v>{"age":"55", "year":"16", "couponrate":"8", "benefittype":"A", "benefitrate":"800", "premiumrate":"1.01"}</v>
      </c>
      <c r="J315" s="6" t="str">
        <f t="shared" si="76"/>
        <v>,</v>
      </c>
    </row>
    <row r="316" spans="1:10">
      <c r="A316" s="4" t="str">
        <f>'EN60'!A$3</f>
        <v>EN60</v>
      </c>
      <c r="B316" s="4">
        <f t="shared" si="77"/>
        <v>55</v>
      </c>
      <c r="C316" s="4">
        <f t="shared" si="78"/>
        <v>17</v>
      </c>
      <c r="D316" s="4">
        <f t="shared" si="72"/>
        <v>8</v>
      </c>
      <c r="E316" s="4" t="s">
        <v>27</v>
      </c>
      <c r="F316" s="4">
        <f t="shared" si="73"/>
        <v>800</v>
      </c>
      <c r="G316" s="5">
        <f t="shared" si="79"/>
        <v>1.01</v>
      </c>
      <c r="H316" s="6" t="str">
        <f t="shared" si="74"/>
        <v>INSERT INTO public.coupon (plancode, age, "year", couponrate, benefittype, benefitrate, premiumrate) VALUES('EN60', 55, 17, 8, 'A',800, 1.01);</v>
      </c>
      <c r="I316" s="6" t="str">
        <f t="shared" si="75"/>
        <v>{"age":"55", "year":"17", "couponrate":"8", "benefittype":"A", "benefitrate":"800", "premiumrate":"1.01"}</v>
      </c>
      <c r="J316" s="6" t="str">
        <f t="shared" si="76"/>
        <v>,</v>
      </c>
    </row>
    <row r="317" spans="1:10">
      <c r="A317" s="4" t="str">
        <f>'EN60'!A$3</f>
        <v>EN60</v>
      </c>
      <c r="B317" s="4">
        <f t="shared" si="77"/>
        <v>55</v>
      </c>
      <c r="C317" s="4">
        <f t="shared" si="78"/>
        <v>18</v>
      </c>
      <c r="D317" s="4">
        <f t="shared" si="72"/>
        <v>8</v>
      </c>
      <c r="E317" s="4" t="s">
        <v>27</v>
      </c>
      <c r="F317" s="4">
        <f t="shared" si="73"/>
        <v>800</v>
      </c>
      <c r="G317" s="5">
        <f t="shared" si="79"/>
        <v>1.01</v>
      </c>
      <c r="H317" s="6" t="str">
        <f t="shared" si="74"/>
        <v>INSERT INTO public.coupon (plancode, age, "year", couponrate, benefittype, benefitrate, premiumrate) VALUES('EN60', 55, 18, 8, 'A',800, 1.01);</v>
      </c>
      <c r="I317" s="6" t="str">
        <f t="shared" si="75"/>
        <v>{"age":"55", "year":"18", "couponrate":"8", "benefittype":"A", "benefitrate":"800", "premiumrate":"1.01"}</v>
      </c>
      <c r="J317" s="6" t="str">
        <f t="shared" si="76"/>
        <v>,</v>
      </c>
    </row>
    <row r="318" spans="1:10">
      <c r="A318" s="4" t="str">
        <f>'EN60'!A$3</f>
        <v>EN60</v>
      </c>
      <c r="B318" s="4">
        <f t="shared" si="77"/>
        <v>55</v>
      </c>
      <c r="C318" s="4">
        <f t="shared" si="78"/>
        <v>19</v>
      </c>
      <c r="D318" s="4">
        <f t="shared" si="72"/>
        <v>8</v>
      </c>
      <c r="E318" s="4" t="s">
        <v>27</v>
      </c>
      <c r="F318" s="4">
        <f t="shared" si="73"/>
        <v>800</v>
      </c>
      <c r="G318" s="5">
        <f t="shared" si="79"/>
        <v>1.01</v>
      </c>
      <c r="H318" s="6" t="str">
        <f t="shared" si="74"/>
        <v>INSERT INTO public.coupon (plancode, age, "year", couponrate, benefittype, benefitrate, premiumrate) VALUES('EN60', 55, 19, 8, 'A',800, 1.01);</v>
      </c>
      <c r="I318" s="6" t="str">
        <f t="shared" si="75"/>
        <v>{"age":"55", "year":"19", "couponrate":"8", "benefittype":"A", "benefitrate":"800", "premiumrate":"1.01"}</v>
      </c>
      <c r="J318" s="6" t="str">
        <f t="shared" si="76"/>
        <v>,</v>
      </c>
    </row>
    <row r="319" spans="1:10">
      <c r="A319" s="4" t="str">
        <f>'EN60'!A$3</f>
        <v>EN60</v>
      </c>
      <c r="B319" s="4">
        <f t="shared" si="77"/>
        <v>55</v>
      </c>
      <c r="C319" s="4">
        <f t="shared" si="78"/>
        <v>20</v>
      </c>
      <c r="D319" s="4">
        <f t="shared" si="72"/>
        <v>8</v>
      </c>
      <c r="E319" s="4" t="s">
        <v>27</v>
      </c>
      <c r="F319" s="4">
        <f t="shared" si="73"/>
        <v>800</v>
      </c>
      <c r="G319" s="5">
        <f t="shared" si="79"/>
        <v>1.01</v>
      </c>
      <c r="H319" s="6" t="str">
        <f t="shared" si="74"/>
        <v>INSERT INTO public.coupon (plancode, age, "year", couponrate, benefittype, benefitrate, premiumrate) VALUES('EN60', 55, 20, 8, 'A',800, 1.01);</v>
      </c>
      <c r="I319" s="6" t="str">
        <f t="shared" si="75"/>
        <v>{"age":"55", "year":"20", "couponrate":"8", "benefittype":"A", "benefitrate":"800", "premiumrate":"1.01"}</v>
      </c>
      <c r="J319" s="6" t="str">
        <f t="shared" si="76"/>
        <v>,</v>
      </c>
    </row>
    <row r="320" spans="1:10">
      <c r="A320" s="4" t="str">
        <f>'EN60'!A$3</f>
        <v>EN60</v>
      </c>
      <c r="B320" s="4">
        <f t="shared" si="77"/>
        <v>55</v>
      </c>
      <c r="C320" s="4">
        <f t="shared" si="78"/>
        <v>21</v>
      </c>
      <c r="D320" s="4">
        <f t="shared" si="72"/>
        <v>8</v>
      </c>
      <c r="E320" s="4" t="s">
        <v>27</v>
      </c>
      <c r="F320" s="4">
        <f t="shared" si="73"/>
        <v>800</v>
      </c>
      <c r="G320" s="5">
        <f t="shared" si="79"/>
        <v>1.01</v>
      </c>
      <c r="H320" s="6" t="str">
        <f t="shared" si="74"/>
        <v>INSERT INTO public.coupon (plancode, age, "year", couponrate, benefittype, benefitrate, premiumrate) VALUES('EN60', 55, 21, 8, 'A',800, 1.01);</v>
      </c>
      <c r="I320" s="6" t="str">
        <f t="shared" si="75"/>
        <v>{"age":"55", "year":"21", "couponrate":"8", "benefittype":"A", "benefitrate":"800", "premiumrate":"1.01"}</v>
      </c>
      <c r="J320" s="6" t="str">
        <f t="shared" si="76"/>
        <v>,</v>
      </c>
    </row>
    <row r="321" spans="1:10">
      <c r="A321" s="4" t="str">
        <f>'EN60'!A$3</f>
        <v>EN60</v>
      </c>
      <c r="B321" s="4">
        <f t="shared" si="77"/>
        <v>55</v>
      </c>
      <c r="C321" s="4">
        <f t="shared" si="78"/>
        <v>22</v>
      </c>
      <c r="D321" s="4">
        <f t="shared" si="72"/>
        <v>8</v>
      </c>
      <c r="E321" s="4" t="s">
        <v>27</v>
      </c>
      <c r="F321" s="4">
        <f t="shared" si="73"/>
        <v>800</v>
      </c>
      <c r="G321" s="5">
        <f t="shared" si="79"/>
        <v>1.01</v>
      </c>
      <c r="H321" s="6" t="str">
        <f t="shared" si="74"/>
        <v>INSERT INTO public.coupon (plancode, age, "year", couponrate, benefittype, benefitrate, premiumrate) VALUES('EN60', 55, 22, 8, 'A',800, 1.01);</v>
      </c>
      <c r="I321" s="6" t="str">
        <f t="shared" si="75"/>
        <v>{"age":"55", "year":"22", "couponrate":"8", "benefittype":"A", "benefitrate":"800", "premiumrate":"1.01"}</v>
      </c>
      <c r="J321" s="6" t="str">
        <f t="shared" si="76"/>
        <v>,</v>
      </c>
    </row>
    <row r="322" spans="1:10">
      <c r="A322" s="4" t="str">
        <f>'EN60'!A$3</f>
        <v>EN60</v>
      </c>
      <c r="B322" s="4">
        <f t="shared" si="77"/>
        <v>55</v>
      </c>
      <c r="C322" s="4">
        <f t="shared" si="78"/>
        <v>23</v>
      </c>
      <c r="D322" s="4">
        <f t="shared" si="72"/>
        <v>8</v>
      </c>
      <c r="E322" s="4" t="s">
        <v>27</v>
      </c>
      <c r="F322" s="4">
        <f t="shared" si="73"/>
        <v>800</v>
      </c>
      <c r="G322" s="5">
        <f t="shared" si="79"/>
        <v>1.01</v>
      </c>
      <c r="H322" s="6" t="str">
        <f t="shared" si="74"/>
        <v>INSERT INTO public.coupon (plancode, age, "year", couponrate, benefittype, benefitrate, premiumrate) VALUES('EN60', 55, 23, 8, 'A',800, 1.01);</v>
      </c>
      <c r="I322" s="6" t="str">
        <f t="shared" si="75"/>
        <v>{"age":"55", "year":"23", "couponrate":"8", "benefittype":"A", "benefitrate":"800", "premiumrate":"1.01"}</v>
      </c>
      <c r="J322" s="6" t="str">
        <f t="shared" si="76"/>
        <v>,</v>
      </c>
    </row>
    <row r="323" spans="1:10">
      <c r="A323" s="4" t="str">
        <f>'EN60'!A$3</f>
        <v>EN60</v>
      </c>
      <c r="B323" s="4">
        <f t="shared" si="77"/>
        <v>55</v>
      </c>
      <c r="C323" s="4">
        <f t="shared" si="78"/>
        <v>24</v>
      </c>
      <c r="D323" s="4">
        <f t="shared" si="72"/>
        <v>8</v>
      </c>
      <c r="E323" s="4" t="s">
        <v>27</v>
      </c>
      <c r="F323" s="4">
        <f t="shared" si="73"/>
        <v>800</v>
      </c>
      <c r="G323" s="5">
        <f t="shared" si="79"/>
        <v>1.01</v>
      </c>
      <c r="H323" s="6" t="str">
        <f t="shared" si="74"/>
        <v>INSERT INTO public.coupon (plancode, age, "year", couponrate, benefittype, benefitrate, premiumrate) VALUES('EN60', 55, 24, 8, 'A',800, 1.01);</v>
      </c>
      <c r="I323" s="6" t="str">
        <f t="shared" si="75"/>
        <v>{"age":"55", "year":"24", "couponrate":"8", "benefittype":"A", "benefitrate":"800", "premiumrate":"1.01"}</v>
      </c>
      <c r="J323" s="6" t="str">
        <f t="shared" si="76"/>
        <v>,</v>
      </c>
    </row>
    <row r="324" spans="1:10">
      <c r="A324" s="4" t="str">
        <f>'EN60'!A$3</f>
        <v>EN60</v>
      </c>
      <c r="B324" s="4">
        <f t="shared" si="77"/>
        <v>55</v>
      </c>
      <c r="C324" s="4">
        <f t="shared" si="78"/>
        <v>25</v>
      </c>
      <c r="D324" s="4">
        <f t="shared" si="72"/>
        <v>0</v>
      </c>
      <c r="E324" s="4" t="s">
        <v>27</v>
      </c>
      <c r="F324" s="4">
        <f t="shared" si="73"/>
        <v>800</v>
      </c>
      <c r="G324" s="5">
        <f t="shared" si="79"/>
        <v>1.01</v>
      </c>
      <c r="H324" s="6" t="str">
        <f t="shared" si="74"/>
        <v>INSERT INTO public.coupon (plancode, age, "year", couponrate, benefittype, benefitrate, premiumrate) VALUES('EN60', 55, 25, 0, 'A',800, 1.01);</v>
      </c>
      <c r="I324" s="6" t="str">
        <f t="shared" si="75"/>
        <v>{"age":"55", "year":"25", "couponrate":"0", "benefittype":"A", "benefitrate":"800", "premiumrate":"1.01"}</v>
      </c>
    </row>
    <row r="325" spans="1:10">
      <c r="C325" s="6"/>
      <c r="I325" s="6" t="s">
        <v>28</v>
      </c>
    </row>
    <row r="326" spans="1:10">
      <c r="A326" s="3" t="s">
        <v>2</v>
      </c>
      <c r="B326" s="3" t="s">
        <v>23</v>
      </c>
      <c r="C326" s="3" t="s">
        <v>24</v>
      </c>
      <c r="D326" s="3" t="s">
        <v>25</v>
      </c>
      <c r="E326" s="3" t="s">
        <v>8</v>
      </c>
      <c r="F326" s="3" t="s">
        <v>26</v>
      </c>
      <c r="G326" s="3" t="s">
        <v>4</v>
      </c>
      <c r="I326" s="6" t="str">
        <f>"[{""plancode"":"""&amp;A327&amp;""",""returncash"":"""&amp;B$7&amp;""",""ytable"":"""&amp;C$7&amp;""",""maturerate"":"""&amp;B$3&amp;""",""maturepmrate"":"""&amp;C$3&amp;""",""coupon"":["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327" spans="1:10">
      <c r="A327" s="4" t="str">
        <f>'EN60'!A$3</f>
        <v>EN60</v>
      </c>
      <c r="B327" s="8">
        <v>56</v>
      </c>
      <c r="C327" s="4">
        <v>1</v>
      </c>
      <c r="D327" s="4">
        <f t="shared" ref="D327:D350" si="80">IF(C327+B327=80,0,8)</f>
        <v>8</v>
      </c>
      <c r="E327" s="4" t="s">
        <v>27</v>
      </c>
      <c r="F327" s="4">
        <f t="shared" ref="F327:F350" si="81">IF(C327&gt;7, 800, C327*100)</f>
        <v>100</v>
      </c>
      <c r="G327" s="5">
        <f>'EN60'!C$3</f>
        <v>1.01</v>
      </c>
      <c r="H327" s="6" t="str">
        <f t="shared" ref="H327:H350" si="82">"INSERT INTO public.coupon ("&amp;A$11&amp;", "&amp;B$11&amp;", """&amp;C$11&amp;""", "&amp;D$11&amp;", "&amp;E$11&amp;", "&amp;F$11&amp;", "&amp;G$11&amp;") VALUES('"&amp;A327&amp;"', "&amp;B327&amp;", "&amp;C327&amp;", "&amp;D327&amp;", '"&amp;E327&amp;"',"&amp;F327&amp;", "&amp;G327&amp;");"</f>
        <v>INSERT INTO public.coupon (plancode, age, "year", couponrate, benefittype, benefitrate, premiumrate) VALUES('EN60', 56, 1, 8, 'A',100, 1.01);</v>
      </c>
      <c r="I327" s="6" t="str">
        <f t="shared" ref="I327:I350" si="83">"{""age"":"""&amp;B327&amp;""", ""year"":"""&amp;C327&amp;""", ""couponrate"":"""&amp;D327&amp;""", ""benefittype"":"""&amp;E327&amp;""", ""benefitrate"":"""&amp;F327&amp;""", """&amp;G$11&amp;""":"""&amp;G327&amp;"""}"</f>
        <v>{"age":"56", "year":"1", "couponrate":"8", "benefittype":"A", "benefitrate":"100", "premiumrate":"1.01"}</v>
      </c>
      <c r="J327" s="6" t="str">
        <f t="shared" ref="J327:J349" si="84">IF(OR(I328="]", I327="[", I327="]"), "", ",")</f>
        <v>,</v>
      </c>
    </row>
    <row r="328" spans="1:10">
      <c r="A328" s="4" t="str">
        <f>'EN60'!A$3</f>
        <v>EN60</v>
      </c>
      <c r="B328" s="4">
        <f t="shared" ref="B328:B350" si="85">B327</f>
        <v>56</v>
      </c>
      <c r="C328" s="4">
        <f t="shared" ref="C328:C350" si="86">IF(B328+C327+1&gt;80,"",C327+1)</f>
        <v>2</v>
      </c>
      <c r="D328" s="4">
        <f t="shared" si="80"/>
        <v>8</v>
      </c>
      <c r="E328" s="4" t="s">
        <v>27</v>
      </c>
      <c r="F328" s="4">
        <f t="shared" si="81"/>
        <v>200</v>
      </c>
      <c r="G328" s="5">
        <f t="shared" ref="G328:G350" si="87">G327</f>
        <v>1.01</v>
      </c>
      <c r="H328" s="6" t="str">
        <f t="shared" si="82"/>
        <v>INSERT INTO public.coupon (plancode, age, "year", couponrate, benefittype, benefitrate, premiumrate) VALUES('EN60', 56, 2, 8, 'A',200, 1.01);</v>
      </c>
      <c r="I328" s="6" t="str">
        <f t="shared" si="83"/>
        <v>{"age":"56", "year":"2", "couponrate":"8", "benefittype":"A", "benefitrate":"200", "premiumrate":"1.01"}</v>
      </c>
      <c r="J328" s="6" t="str">
        <f t="shared" si="84"/>
        <v>,</v>
      </c>
    </row>
    <row r="329" spans="1:10">
      <c r="A329" s="4" t="str">
        <f>'EN60'!A$3</f>
        <v>EN60</v>
      </c>
      <c r="B329" s="4">
        <f t="shared" si="85"/>
        <v>56</v>
      </c>
      <c r="C329" s="4">
        <f t="shared" si="86"/>
        <v>3</v>
      </c>
      <c r="D329" s="4">
        <f t="shared" si="80"/>
        <v>8</v>
      </c>
      <c r="E329" s="4" t="s">
        <v>27</v>
      </c>
      <c r="F329" s="4">
        <f t="shared" si="81"/>
        <v>300</v>
      </c>
      <c r="G329" s="5">
        <f t="shared" si="87"/>
        <v>1.01</v>
      </c>
      <c r="H329" s="6" t="str">
        <f t="shared" si="82"/>
        <v>INSERT INTO public.coupon (plancode, age, "year", couponrate, benefittype, benefitrate, premiumrate) VALUES('EN60', 56, 3, 8, 'A',300, 1.01);</v>
      </c>
      <c r="I329" s="6" t="str">
        <f t="shared" si="83"/>
        <v>{"age":"56", "year":"3", "couponrate":"8", "benefittype":"A", "benefitrate":"300", "premiumrate":"1.01"}</v>
      </c>
      <c r="J329" s="6" t="str">
        <f t="shared" si="84"/>
        <v>,</v>
      </c>
    </row>
    <row r="330" spans="1:10">
      <c r="A330" s="4" t="str">
        <f>'EN60'!A$3</f>
        <v>EN60</v>
      </c>
      <c r="B330" s="4">
        <f t="shared" si="85"/>
        <v>56</v>
      </c>
      <c r="C330" s="4">
        <f t="shared" si="86"/>
        <v>4</v>
      </c>
      <c r="D330" s="4">
        <f t="shared" si="80"/>
        <v>8</v>
      </c>
      <c r="E330" s="4" t="s">
        <v>27</v>
      </c>
      <c r="F330" s="4">
        <f t="shared" si="81"/>
        <v>400</v>
      </c>
      <c r="G330" s="5">
        <f t="shared" si="87"/>
        <v>1.01</v>
      </c>
      <c r="H330" s="6" t="str">
        <f t="shared" si="82"/>
        <v>INSERT INTO public.coupon (plancode, age, "year", couponrate, benefittype, benefitrate, premiumrate) VALUES('EN60', 56, 4, 8, 'A',400, 1.01);</v>
      </c>
      <c r="I330" s="6" t="str">
        <f t="shared" si="83"/>
        <v>{"age":"56", "year":"4", "couponrate":"8", "benefittype":"A", "benefitrate":"400", "premiumrate":"1.01"}</v>
      </c>
      <c r="J330" s="6" t="str">
        <f t="shared" si="84"/>
        <v>,</v>
      </c>
    </row>
    <row r="331" spans="1:10">
      <c r="A331" s="4" t="str">
        <f>'EN60'!A$3</f>
        <v>EN60</v>
      </c>
      <c r="B331" s="4">
        <f t="shared" si="85"/>
        <v>56</v>
      </c>
      <c r="C331" s="4">
        <f t="shared" si="86"/>
        <v>5</v>
      </c>
      <c r="D331" s="4">
        <f t="shared" si="80"/>
        <v>8</v>
      </c>
      <c r="E331" s="4" t="s">
        <v>27</v>
      </c>
      <c r="F331" s="4">
        <f t="shared" si="81"/>
        <v>500</v>
      </c>
      <c r="G331" s="5">
        <f t="shared" si="87"/>
        <v>1.01</v>
      </c>
      <c r="H331" s="6" t="str">
        <f t="shared" si="82"/>
        <v>INSERT INTO public.coupon (plancode, age, "year", couponrate, benefittype, benefitrate, premiumrate) VALUES('EN60', 56, 5, 8, 'A',500, 1.01);</v>
      </c>
      <c r="I331" s="6" t="str">
        <f t="shared" si="83"/>
        <v>{"age":"56", "year":"5", "couponrate":"8", "benefittype":"A", "benefitrate":"500", "premiumrate":"1.01"}</v>
      </c>
      <c r="J331" s="6" t="str">
        <f t="shared" si="84"/>
        <v>,</v>
      </c>
    </row>
    <row r="332" spans="1:10">
      <c r="A332" s="4" t="str">
        <f>'EN60'!A$3</f>
        <v>EN60</v>
      </c>
      <c r="B332" s="4">
        <f t="shared" si="85"/>
        <v>56</v>
      </c>
      <c r="C332" s="4">
        <f t="shared" si="86"/>
        <v>6</v>
      </c>
      <c r="D332" s="4">
        <f t="shared" si="80"/>
        <v>8</v>
      </c>
      <c r="E332" s="4" t="s">
        <v>27</v>
      </c>
      <c r="F332" s="4">
        <f t="shared" si="81"/>
        <v>600</v>
      </c>
      <c r="G332" s="5">
        <f t="shared" si="87"/>
        <v>1.01</v>
      </c>
      <c r="H332" s="6" t="str">
        <f t="shared" si="82"/>
        <v>INSERT INTO public.coupon (plancode, age, "year", couponrate, benefittype, benefitrate, premiumrate) VALUES('EN60', 56, 6, 8, 'A',600, 1.01);</v>
      </c>
      <c r="I332" s="6" t="str">
        <f t="shared" si="83"/>
        <v>{"age":"56", "year":"6", "couponrate":"8", "benefittype":"A", "benefitrate":"600", "premiumrate":"1.01"}</v>
      </c>
      <c r="J332" s="6" t="str">
        <f t="shared" si="84"/>
        <v>,</v>
      </c>
    </row>
    <row r="333" spans="1:10">
      <c r="A333" s="4" t="str">
        <f>'EN60'!A$3</f>
        <v>EN60</v>
      </c>
      <c r="B333" s="4">
        <f t="shared" si="85"/>
        <v>56</v>
      </c>
      <c r="C333" s="4">
        <f t="shared" si="86"/>
        <v>7</v>
      </c>
      <c r="D333" s="4">
        <f t="shared" si="80"/>
        <v>8</v>
      </c>
      <c r="E333" s="4" t="s">
        <v>27</v>
      </c>
      <c r="F333" s="4">
        <f t="shared" si="81"/>
        <v>700</v>
      </c>
      <c r="G333" s="5">
        <f t="shared" si="87"/>
        <v>1.01</v>
      </c>
      <c r="H333" s="6" t="str">
        <f t="shared" si="82"/>
        <v>INSERT INTO public.coupon (plancode, age, "year", couponrate, benefittype, benefitrate, premiumrate) VALUES('EN60', 56, 7, 8, 'A',700, 1.01);</v>
      </c>
      <c r="I333" s="6" t="str">
        <f t="shared" si="83"/>
        <v>{"age":"56", "year":"7", "couponrate":"8", "benefittype":"A", "benefitrate":"700", "premiumrate":"1.01"}</v>
      </c>
      <c r="J333" s="6" t="str">
        <f t="shared" si="84"/>
        <v>,</v>
      </c>
    </row>
    <row r="334" spans="1:10">
      <c r="A334" s="4" t="str">
        <f>'EN60'!A$3</f>
        <v>EN60</v>
      </c>
      <c r="B334" s="4">
        <f t="shared" si="85"/>
        <v>56</v>
      </c>
      <c r="C334" s="4">
        <f t="shared" si="86"/>
        <v>8</v>
      </c>
      <c r="D334" s="4">
        <f t="shared" si="80"/>
        <v>8</v>
      </c>
      <c r="E334" s="4" t="s">
        <v>27</v>
      </c>
      <c r="F334" s="4">
        <f t="shared" si="81"/>
        <v>800</v>
      </c>
      <c r="G334" s="5">
        <f t="shared" si="87"/>
        <v>1.01</v>
      </c>
      <c r="H334" s="6" t="str">
        <f t="shared" si="82"/>
        <v>INSERT INTO public.coupon (plancode, age, "year", couponrate, benefittype, benefitrate, premiumrate) VALUES('EN60', 56, 8, 8, 'A',800, 1.01);</v>
      </c>
      <c r="I334" s="6" t="str">
        <f t="shared" si="83"/>
        <v>{"age":"56", "year":"8", "couponrate":"8", "benefittype":"A", "benefitrate":"800", "premiumrate":"1.01"}</v>
      </c>
      <c r="J334" s="6" t="str">
        <f t="shared" si="84"/>
        <v>,</v>
      </c>
    </row>
    <row r="335" spans="1:10">
      <c r="A335" s="4" t="str">
        <f>'EN60'!A$3</f>
        <v>EN60</v>
      </c>
      <c r="B335" s="4">
        <f t="shared" si="85"/>
        <v>56</v>
      </c>
      <c r="C335" s="4">
        <f t="shared" si="86"/>
        <v>9</v>
      </c>
      <c r="D335" s="4">
        <f t="shared" si="80"/>
        <v>8</v>
      </c>
      <c r="E335" s="4" t="s">
        <v>27</v>
      </c>
      <c r="F335" s="4">
        <f t="shared" si="81"/>
        <v>800</v>
      </c>
      <c r="G335" s="5">
        <f t="shared" si="87"/>
        <v>1.01</v>
      </c>
      <c r="H335" s="6" t="str">
        <f t="shared" si="82"/>
        <v>INSERT INTO public.coupon (plancode, age, "year", couponrate, benefittype, benefitrate, premiumrate) VALUES('EN60', 56, 9, 8, 'A',800, 1.01);</v>
      </c>
      <c r="I335" s="6" t="str">
        <f t="shared" si="83"/>
        <v>{"age":"56", "year":"9", "couponrate":"8", "benefittype":"A", "benefitrate":"800", "premiumrate":"1.01"}</v>
      </c>
      <c r="J335" s="6" t="str">
        <f t="shared" si="84"/>
        <v>,</v>
      </c>
    </row>
    <row r="336" spans="1:10">
      <c r="A336" s="4" t="str">
        <f>'EN60'!A$3</f>
        <v>EN60</v>
      </c>
      <c r="B336" s="4">
        <f t="shared" si="85"/>
        <v>56</v>
      </c>
      <c r="C336" s="4">
        <f t="shared" si="86"/>
        <v>10</v>
      </c>
      <c r="D336" s="4">
        <f t="shared" si="80"/>
        <v>8</v>
      </c>
      <c r="E336" s="4" t="s">
        <v>27</v>
      </c>
      <c r="F336" s="4">
        <f t="shared" si="81"/>
        <v>800</v>
      </c>
      <c r="G336" s="5">
        <f t="shared" si="87"/>
        <v>1.01</v>
      </c>
      <c r="H336" s="6" t="str">
        <f t="shared" si="82"/>
        <v>INSERT INTO public.coupon (plancode, age, "year", couponrate, benefittype, benefitrate, premiumrate) VALUES('EN60', 56, 10, 8, 'A',800, 1.01);</v>
      </c>
      <c r="I336" s="6" t="str">
        <f t="shared" si="83"/>
        <v>{"age":"56", "year":"10", "couponrate":"8", "benefittype":"A", "benefitrate":"800", "premiumrate":"1.01"}</v>
      </c>
      <c r="J336" s="6" t="str">
        <f t="shared" si="84"/>
        <v>,</v>
      </c>
    </row>
    <row r="337" spans="1:10">
      <c r="A337" s="4" t="str">
        <f>'EN60'!A$3</f>
        <v>EN60</v>
      </c>
      <c r="B337" s="4">
        <f t="shared" si="85"/>
        <v>56</v>
      </c>
      <c r="C337" s="4">
        <f t="shared" si="86"/>
        <v>11</v>
      </c>
      <c r="D337" s="4">
        <f t="shared" si="80"/>
        <v>8</v>
      </c>
      <c r="E337" s="4" t="s">
        <v>27</v>
      </c>
      <c r="F337" s="4">
        <f t="shared" si="81"/>
        <v>800</v>
      </c>
      <c r="G337" s="5">
        <f t="shared" si="87"/>
        <v>1.01</v>
      </c>
      <c r="H337" s="6" t="str">
        <f t="shared" si="82"/>
        <v>INSERT INTO public.coupon (plancode, age, "year", couponrate, benefittype, benefitrate, premiumrate) VALUES('EN60', 56, 11, 8, 'A',800, 1.01);</v>
      </c>
      <c r="I337" s="6" t="str">
        <f t="shared" si="83"/>
        <v>{"age":"56", "year":"11", "couponrate":"8", "benefittype":"A", "benefitrate":"800", "premiumrate":"1.01"}</v>
      </c>
      <c r="J337" s="6" t="str">
        <f t="shared" si="84"/>
        <v>,</v>
      </c>
    </row>
    <row r="338" spans="1:10">
      <c r="A338" s="4" t="str">
        <f>'EN60'!A$3</f>
        <v>EN60</v>
      </c>
      <c r="B338" s="4">
        <f t="shared" si="85"/>
        <v>56</v>
      </c>
      <c r="C338" s="4">
        <f t="shared" si="86"/>
        <v>12</v>
      </c>
      <c r="D338" s="4">
        <f t="shared" si="80"/>
        <v>8</v>
      </c>
      <c r="E338" s="4" t="s">
        <v>27</v>
      </c>
      <c r="F338" s="4">
        <f t="shared" si="81"/>
        <v>800</v>
      </c>
      <c r="G338" s="5">
        <f t="shared" si="87"/>
        <v>1.01</v>
      </c>
      <c r="H338" s="6" t="str">
        <f t="shared" si="82"/>
        <v>INSERT INTO public.coupon (plancode, age, "year", couponrate, benefittype, benefitrate, premiumrate) VALUES('EN60', 56, 12, 8, 'A',800, 1.01);</v>
      </c>
      <c r="I338" s="6" t="str">
        <f t="shared" si="83"/>
        <v>{"age":"56", "year":"12", "couponrate":"8", "benefittype":"A", "benefitrate":"800", "premiumrate":"1.01"}</v>
      </c>
      <c r="J338" s="6" t="str">
        <f t="shared" si="84"/>
        <v>,</v>
      </c>
    </row>
    <row r="339" spans="1:10">
      <c r="A339" s="4" t="str">
        <f>'EN60'!A$3</f>
        <v>EN60</v>
      </c>
      <c r="B339" s="4">
        <f t="shared" si="85"/>
        <v>56</v>
      </c>
      <c r="C339" s="4">
        <f t="shared" si="86"/>
        <v>13</v>
      </c>
      <c r="D339" s="4">
        <f t="shared" si="80"/>
        <v>8</v>
      </c>
      <c r="E339" s="4" t="s">
        <v>27</v>
      </c>
      <c r="F339" s="4">
        <f t="shared" si="81"/>
        <v>800</v>
      </c>
      <c r="G339" s="5">
        <f t="shared" si="87"/>
        <v>1.01</v>
      </c>
      <c r="H339" s="6" t="str">
        <f t="shared" si="82"/>
        <v>INSERT INTO public.coupon (plancode, age, "year", couponrate, benefittype, benefitrate, premiumrate) VALUES('EN60', 56, 13, 8, 'A',800, 1.01);</v>
      </c>
      <c r="I339" s="6" t="str">
        <f t="shared" si="83"/>
        <v>{"age":"56", "year":"13", "couponrate":"8", "benefittype":"A", "benefitrate":"800", "premiumrate":"1.01"}</v>
      </c>
      <c r="J339" s="6" t="str">
        <f t="shared" si="84"/>
        <v>,</v>
      </c>
    </row>
    <row r="340" spans="1:10">
      <c r="A340" s="4" t="str">
        <f>'EN60'!A$3</f>
        <v>EN60</v>
      </c>
      <c r="B340" s="4">
        <f t="shared" si="85"/>
        <v>56</v>
      </c>
      <c r="C340" s="4">
        <f t="shared" si="86"/>
        <v>14</v>
      </c>
      <c r="D340" s="4">
        <f t="shared" si="80"/>
        <v>8</v>
      </c>
      <c r="E340" s="4" t="s">
        <v>27</v>
      </c>
      <c r="F340" s="4">
        <f t="shared" si="81"/>
        <v>800</v>
      </c>
      <c r="G340" s="5">
        <f t="shared" si="87"/>
        <v>1.01</v>
      </c>
      <c r="H340" s="6" t="str">
        <f t="shared" si="82"/>
        <v>INSERT INTO public.coupon (plancode, age, "year", couponrate, benefittype, benefitrate, premiumrate) VALUES('EN60', 56, 14, 8, 'A',800, 1.01);</v>
      </c>
      <c r="I340" s="6" t="str">
        <f t="shared" si="83"/>
        <v>{"age":"56", "year":"14", "couponrate":"8", "benefittype":"A", "benefitrate":"800", "premiumrate":"1.01"}</v>
      </c>
      <c r="J340" s="6" t="str">
        <f t="shared" si="84"/>
        <v>,</v>
      </c>
    </row>
    <row r="341" spans="1:10">
      <c r="A341" s="4" t="str">
        <f>'EN60'!A$3</f>
        <v>EN60</v>
      </c>
      <c r="B341" s="4">
        <f t="shared" si="85"/>
        <v>56</v>
      </c>
      <c r="C341" s="4">
        <f t="shared" si="86"/>
        <v>15</v>
      </c>
      <c r="D341" s="4">
        <f t="shared" si="80"/>
        <v>8</v>
      </c>
      <c r="E341" s="4" t="s">
        <v>27</v>
      </c>
      <c r="F341" s="4">
        <f t="shared" si="81"/>
        <v>800</v>
      </c>
      <c r="G341" s="5">
        <f t="shared" si="87"/>
        <v>1.01</v>
      </c>
      <c r="H341" s="6" t="str">
        <f t="shared" si="82"/>
        <v>INSERT INTO public.coupon (plancode, age, "year", couponrate, benefittype, benefitrate, premiumrate) VALUES('EN60', 56, 15, 8, 'A',800, 1.01);</v>
      </c>
      <c r="I341" s="6" t="str">
        <f t="shared" si="83"/>
        <v>{"age":"56", "year":"15", "couponrate":"8", "benefittype":"A", "benefitrate":"800", "premiumrate":"1.01"}</v>
      </c>
      <c r="J341" s="6" t="str">
        <f t="shared" si="84"/>
        <v>,</v>
      </c>
    </row>
    <row r="342" spans="1:10">
      <c r="A342" s="4" t="str">
        <f>'EN60'!A$3</f>
        <v>EN60</v>
      </c>
      <c r="B342" s="4">
        <f t="shared" si="85"/>
        <v>56</v>
      </c>
      <c r="C342" s="4">
        <f t="shared" si="86"/>
        <v>16</v>
      </c>
      <c r="D342" s="4">
        <f t="shared" si="80"/>
        <v>8</v>
      </c>
      <c r="E342" s="4" t="s">
        <v>27</v>
      </c>
      <c r="F342" s="4">
        <f t="shared" si="81"/>
        <v>800</v>
      </c>
      <c r="G342" s="5">
        <f t="shared" si="87"/>
        <v>1.01</v>
      </c>
      <c r="H342" s="6" t="str">
        <f t="shared" si="82"/>
        <v>INSERT INTO public.coupon (plancode, age, "year", couponrate, benefittype, benefitrate, premiumrate) VALUES('EN60', 56, 16, 8, 'A',800, 1.01);</v>
      </c>
      <c r="I342" s="6" t="str">
        <f t="shared" si="83"/>
        <v>{"age":"56", "year":"16", "couponrate":"8", "benefittype":"A", "benefitrate":"800", "premiumrate":"1.01"}</v>
      </c>
      <c r="J342" s="6" t="str">
        <f t="shared" si="84"/>
        <v>,</v>
      </c>
    </row>
    <row r="343" spans="1:10">
      <c r="A343" s="4" t="str">
        <f>'EN60'!A$3</f>
        <v>EN60</v>
      </c>
      <c r="B343" s="4">
        <f t="shared" si="85"/>
        <v>56</v>
      </c>
      <c r="C343" s="4">
        <f t="shared" si="86"/>
        <v>17</v>
      </c>
      <c r="D343" s="4">
        <f t="shared" si="80"/>
        <v>8</v>
      </c>
      <c r="E343" s="4" t="s">
        <v>27</v>
      </c>
      <c r="F343" s="4">
        <f t="shared" si="81"/>
        <v>800</v>
      </c>
      <c r="G343" s="5">
        <f t="shared" si="87"/>
        <v>1.01</v>
      </c>
      <c r="H343" s="6" t="str">
        <f t="shared" si="82"/>
        <v>INSERT INTO public.coupon (plancode, age, "year", couponrate, benefittype, benefitrate, premiumrate) VALUES('EN60', 56, 17, 8, 'A',800, 1.01);</v>
      </c>
      <c r="I343" s="6" t="str">
        <f t="shared" si="83"/>
        <v>{"age":"56", "year":"17", "couponrate":"8", "benefittype":"A", "benefitrate":"800", "premiumrate":"1.01"}</v>
      </c>
      <c r="J343" s="6" t="str">
        <f t="shared" si="84"/>
        <v>,</v>
      </c>
    </row>
    <row r="344" spans="1:10">
      <c r="A344" s="4" t="str">
        <f>'EN60'!A$3</f>
        <v>EN60</v>
      </c>
      <c r="B344" s="4">
        <f t="shared" si="85"/>
        <v>56</v>
      </c>
      <c r="C344" s="4">
        <f t="shared" si="86"/>
        <v>18</v>
      </c>
      <c r="D344" s="4">
        <f t="shared" si="80"/>
        <v>8</v>
      </c>
      <c r="E344" s="4" t="s">
        <v>27</v>
      </c>
      <c r="F344" s="4">
        <f t="shared" si="81"/>
        <v>800</v>
      </c>
      <c r="G344" s="5">
        <f t="shared" si="87"/>
        <v>1.01</v>
      </c>
      <c r="H344" s="6" t="str">
        <f t="shared" si="82"/>
        <v>INSERT INTO public.coupon (plancode, age, "year", couponrate, benefittype, benefitrate, premiumrate) VALUES('EN60', 56, 18, 8, 'A',800, 1.01);</v>
      </c>
      <c r="I344" s="6" t="str">
        <f t="shared" si="83"/>
        <v>{"age":"56", "year":"18", "couponrate":"8", "benefittype":"A", "benefitrate":"800", "premiumrate":"1.01"}</v>
      </c>
      <c r="J344" s="6" t="str">
        <f t="shared" si="84"/>
        <v>,</v>
      </c>
    </row>
    <row r="345" spans="1:10">
      <c r="A345" s="4" t="str">
        <f>'EN60'!A$3</f>
        <v>EN60</v>
      </c>
      <c r="B345" s="4">
        <f t="shared" si="85"/>
        <v>56</v>
      </c>
      <c r="C345" s="4">
        <f t="shared" si="86"/>
        <v>19</v>
      </c>
      <c r="D345" s="4">
        <f t="shared" si="80"/>
        <v>8</v>
      </c>
      <c r="E345" s="4" t="s">
        <v>27</v>
      </c>
      <c r="F345" s="4">
        <f t="shared" si="81"/>
        <v>800</v>
      </c>
      <c r="G345" s="5">
        <f t="shared" si="87"/>
        <v>1.01</v>
      </c>
      <c r="H345" s="6" t="str">
        <f t="shared" si="82"/>
        <v>INSERT INTO public.coupon (plancode, age, "year", couponrate, benefittype, benefitrate, premiumrate) VALUES('EN60', 56, 19, 8, 'A',800, 1.01);</v>
      </c>
      <c r="I345" s="6" t="str">
        <f t="shared" si="83"/>
        <v>{"age":"56", "year":"19", "couponrate":"8", "benefittype":"A", "benefitrate":"800", "premiumrate":"1.01"}</v>
      </c>
      <c r="J345" s="6" t="str">
        <f t="shared" si="84"/>
        <v>,</v>
      </c>
    </row>
    <row r="346" spans="1:10">
      <c r="A346" s="4" t="str">
        <f>'EN60'!A$3</f>
        <v>EN60</v>
      </c>
      <c r="B346" s="4">
        <f t="shared" si="85"/>
        <v>56</v>
      </c>
      <c r="C346" s="4">
        <f t="shared" si="86"/>
        <v>20</v>
      </c>
      <c r="D346" s="4">
        <f t="shared" si="80"/>
        <v>8</v>
      </c>
      <c r="E346" s="4" t="s">
        <v>27</v>
      </c>
      <c r="F346" s="4">
        <f t="shared" si="81"/>
        <v>800</v>
      </c>
      <c r="G346" s="5">
        <f t="shared" si="87"/>
        <v>1.01</v>
      </c>
      <c r="H346" s="6" t="str">
        <f t="shared" si="82"/>
        <v>INSERT INTO public.coupon (plancode, age, "year", couponrate, benefittype, benefitrate, premiumrate) VALUES('EN60', 56, 20, 8, 'A',800, 1.01);</v>
      </c>
      <c r="I346" s="6" t="str">
        <f t="shared" si="83"/>
        <v>{"age":"56", "year":"20", "couponrate":"8", "benefittype":"A", "benefitrate":"800", "premiumrate":"1.01"}</v>
      </c>
      <c r="J346" s="6" t="str">
        <f t="shared" si="84"/>
        <v>,</v>
      </c>
    </row>
    <row r="347" spans="1:10">
      <c r="A347" s="4" t="str">
        <f>'EN60'!A$3</f>
        <v>EN60</v>
      </c>
      <c r="B347" s="4">
        <f t="shared" si="85"/>
        <v>56</v>
      </c>
      <c r="C347" s="4">
        <f t="shared" si="86"/>
        <v>21</v>
      </c>
      <c r="D347" s="4">
        <f t="shared" si="80"/>
        <v>8</v>
      </c>
      <c r="E347" s="4" t="s">
        <v>27</v>
      </c>
      <c r="F347" s="4">
        <f t="shared" si="81"/>
        <v>800</v>
      </c>
      <c r="G347" s="5">
        <f t="shared" si="87"/>
        <v>1.01</v>
      </c>
      <c r="H347" s="6" t="str">
        <f t="shared" si="82"/>
        <v>INSERT INTO public.coupon (plancode, age, "year", couponrate, benefittype, benefitrate, premiumrate) VALUES('EN60', 56, 21, 8, 'A',800, 1.01);</v>
      </c>
      <c r="I347" s="6" t="str">
        <f t="shared" si="83"/>
        <v>{"age":"56", "year":"21", "couponrate":"8", "benefittype":"A", "benefitrate":"800", "premiumrate":"1.01"}</v>
      </c>
      <c r="J347" s="6" t="str">
        <f t="shared" si="84"/>
        <v>,</v>
      </c>
    </row>
    <row r="348" spans="1:10">
      <c r="A348" s="4" t="str">
        <f>'EN60'!A$3</f>
        <v>EN60</v>
      </c>
      <c r="B348" s="4">
        <f t="shared" si="85"/>
        <v>56</v>
      </c>
      <c r="C348" s="4">
        <f t="shared" si="86"/>
        <v>22</v>
      </c>
      <c r="D348" s="4">
        <f t="shared" si="80"/>
        <v>8</v>
      </c>
      <c r="E348" s="4" t="s">
        <v>27</v>
      </c>
      <c r="F348" s="4">
        <f t="shared" si="81"/>
        <v>800</v>
      </c>
      <c r="G348" s="5">
        <f t="shared" si="87"/>
        <v>1.01</v>
      </c>
      <c r="H348" s="6" t="str">
        <f t="shared" si="82"/>
        <v>INSERT INTO public.coupon (plancode, age, "year", couponrate, benefittype, benefitrate, premiumrate) VALUES('EN60', 56, 22, 8, 'A',800, 1.01);</v>
      </c>
      <c r="I348" s="6" t="str">
        <f t="shared" si="83"/>
        <v>{"age":"56", "year":"22", "couponrate":"8", "benefittype":"A", "benefitrate":"800", "premiumrate":"1.01"}</v>
      </c>
      <c r="J348" s="6" t="str">
        <f t="shared" si="84"/>
        <v>,</v>
      </c>
    </row>
    <row r="349" spans="1:10">
      <c r="A349" s="4" t="str">
        <f>'EN60'!A$3</f>
        <v>EN60</v>
      </c>
      <c r="B349" s="4">
        <f t="shared" si="85"/>
        <v>56</v>
      </c>
      <c r="C349" s="4">
        <f t="shared" si="86"/>
        <v>23</v>
      </c>
      <c r="D349" s="4">
        <f t="shared" si="80"/>
        <v>8</v>
      </c>
      <c r="E349" s="4" t="s">
        <v>27</v>
      </c>
      <c r="F349" s="4">
        <f t="shared" si="81"/>
        <v>800</v>
      </c>
      <c r="G349" s="5">
        <f t="shared" si="87"/>
        <v>1.01</v>
      </c>
      <c r="H349" s="6" t="str">
        <f t="shared" si="82"/>
        <v>INSERT INTO public.coupon (plancode, age, "year", couponrate, benefittype, benefitrate, premiumrate) VALUES('EN60', 56, 23, 8, 'A',800, 1.01);</v>
      </c>
      <c r="I349" s="6" t="str">
        <f t="shared" si="83"/>
        <v>{"age":"56", "year":"23", "couponrate":"8", "benefittype":"A", "benefitrate":"800", "premiumrate":"1.01"}</v>
      </c>
      <c r="J349" s="6" t="str">
        <f t="shared" si="84"/>
        <v>,</v>
      </c>
    </row>
    <row r="350" spans="1:10">
      <c r="A350" s="4" t="str">
        <f>'EN60'!A$3</f>
        <v>EN60</v>
      </c>
      <c r="B350" s="4">
        <f t="shared" si="85"/>
        <v>56</v>
      </c>
      <c r="C350" s="4">
        <f t="shared" si="86"/>
        <v>24</v>
      </c>
      <c r="D350" s="4">
        <f t="shared" si="80"/>
        <v>0</v>
      </c>
      <c r="E350" s="4" t="s">
        <v>27</v>
      </c>
      <c r="F350" s="4">
        <f t="shared" si="81"/>
        <v>800</v>
      </c>
      <c r="G350" s="5">
        <f t="shared" si="87"/>
        <v>1.01</v>
      </c>
      <c r="H350" s="6" t="str">
        <f t="shared" si="82"/>
        <v>INSERT INTO public.coupon (plancode, age, "year", couponrate, benefittype, benefitrate, premiumrate) VALUES('EN60', 56, 24, 0, 'A',800, 1.01);</v>
      </c>
      <c r="I350" s="6" t="str">
        <f t="shared" si="83"/>
        <v>{"age":"56", "year":"24", "couponrate":"0", "benefittype":"A", "benefitrate":"800", "premiumrate":"1.01"}</v>
      </c>
    </row>
    <row r="351" spans="1:10">
      <c r="C351" s="6"/>
      <c r="I351" s="6" t="s">
        <v>28</v>
      </c>
    </row>
    <row r="352" spans="1:10">
      <c r="A352" s="3" t="s">
        <v>2</v>
      </c>
      <c r="B352" s="3" t="s">
        <v>23</v>
      </c>
      <c r="C352" s="3" t="s">
        <v>24</v>
      </c>
      <c r="D352" s="3" t="s">
        <v>25</v>
      </c>
      <c r="E352" s="3" t="s">
        <v>8</v>
      </c>
      <c r="F352" s="3" t="s">
        <v>26</v>
      </c>
      <c r="G352" s="3" t="s">
        <v>4</v>
      </c>
      <c r="I352" s="6" t="str">
        <f>"[{""plancode"":"""&amp;A353&amp;""",""returncash"":"""&amp;B$7&amp;""",""ytable"":"""&amp;C$7&amp;""",""maturerate"":"""&amp;B$3&amp;""",""maturepmrate"":"""&amp;C$3&amp;""",""coupon"":["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353" spans="1:10">
      <c r="A353" s="4" t="str">
        <f>'EN60'!A$3</f>
        <v>EN60</v>
      </c>
      <c r="B353" s="8">
        <v>57</v>
      </c>
      <c r="C353" s="4">
        <v>1</v>
      </c>
      <c r="D353" s="4">
        <f t="shared" ref="D353:D375" si="88">IF(C353+B353=80,0,8)</f>
        <v>8</v>
      </c>
      <c r="E353" s="4" t="s">
        <v>27</v>
      </c>
      <c r="F353" s="4">
        <f t="shared" ref="F353:F375" si="89">IF(C353&gt;7, 800, C353*100)</f>
        <v>100</v>
      </c>
      <c r="G353" s="5">
        <f>'EN60'!C$3</f>
        <v>1.01</v>
      </c>
      <c r="H353" s="6" t="str">
        <f t="shared" ref="H353:H375" si="90">"INSERT INTO public.coupon ("&amp;A$11&amp;", "&amp;B$11&amp;", """&amp;C$11&amp;""", "&amp;D$11&amp;", "&amp;E$11&amp;", "&amp;F$11&amp;", "&amp;G$11&amp;") VALUES('"&amp;A353&amp;"', "&amp;B353&amp;", "&amp;C353&amp;", "&amp;D353&amp;", '"&amp;E353&amp;"',"&amp;F353&amp;", "&amp;G353&amp;");"</f>
        <v>INSERT INTO public.coupon (plancode, age, "year", couponrate, benefittype, benefitrate, premiumrate) VALUES('EN60', 57, 1, 8, 'A',100, 1.01);</v>
      </c>
      <c r="I353" s="6" t="str">
        <f t="shared" ref="I353:I375" si="91">"{""age"":"""&amp;B353&amp;""", ""year"":"""&amp;C353&amp;""", ""couponrate"":"""&amp;D353&amp;""", ""benefittype"":"""&amp;E353&amp;""", ""benefitrate"":"""&amp;F353&amp;""", """&amp;G$11&amp;""":"""&amp;G353&amp;"""}"</f>
        <v>{"age":"57", "year":"1", "couponrate":"8", "benefittype":"A", "benefitrate":"100", "premiumrate":"1.01"}</v>
      </c>
      <c r="J353" s="6" t="str">
        <f t="shared" ref="J353:J374" si="92">IF(OR(I354="]", I353="[", I353="]"), "", ",")</f>
        <v>,</v>
      </c>
    </row>
    <row r="354" spans="1:10">
      <c r="A354" s="4" t="str">
        <f>'EN60'!A$3</f>
        <v>EN60</v>
      </c>
      <c r="B354" s="4">
        <f t="shared" ref="B354:B375" si="93">B353</f>
        <v>57</v>
      </c>
      <c r="C354" s="4">
        <f t="shared" ref="C354:C375" si="94">IF(B354+C353+1&gt;80,"",C353+1)</f>
        <v>2</v>
      </c>
      <c r="D354" s="4">
        <f t="shared" si="88"/>
        <v>8</v>
      </c>
      <c r="E354" s="4" t="s">
        <v>27</v>
      </c>
      <c r="F354" s="4">
        <f t="shared" si="89"/>
        <v>200</v>
      </c>
      <c r="G354" s="5">
        <f t="shared" ref="G354:G375" si="95">G353</f>
        <v>1.01</v>
      </c>
      <c r="H354" s="6" t="str">
        <f t="shared" si="90"/>
        <v>INSERT INTO public.coupon (plancode, age, "year", couponrate, benefittype, benefitrate, premiumrate) VALUES('EN60', 57, 2, 8, 'A',200, 1.01);</v>
      </c>
      <c r="I354" s="6" t="str">
        <f t="shared" si="91"/>
        <v>{"age":"57", "year":"2", "couponrate":"8", "benefittype":"A", "benefitrate":"200", "premiumrate":"1.01"}</v>
      </c>
      <c r="J354" s="6" t="str">
        <f t="shared" si="92"/>
        <v>,</v>
      </c>
    </row>
    <row r="355" spans="1:10">
      <c r="A355" s="4" t="str">
        <f>'EN60'!A$3</f>
        <v>EN60</v>
      </c>
      <c r="B355" s="4">
        <f t="shared" si="93"/>
        <v>57</v>
      </c>
      <c r="C355" s="4">
        <f t="shared" si="94"/>
        <v>3</v>
      </c>
      <c r="D355" s="4">
        <f t="shared" si="88"/>
        <v>8</v>
      </c>
      <c r="E355" s="4" t="s">
        <v>27</v>
      </c>
      <c r="F355" s="4">
        <f t="shared" si="89"/>
        <v>300</v>
      </c>
      <c r="G355" s="5">
        <f t="shared" si="95"/>
        <v>1.01</v>
      </c>
      <c r="H355" s="6" t="str">
        <f t="shared" si="90"/>
        <v>INSERT INTO public.coupon (plancode, age, "year", couponrate, benefittype, benefitrate, premiumrate) VALUES('EN60', 57, 3, 8, 'A',300, 1.01);</v>
      </c>
      <c r="I355" s="6" t="str">
        <f t="shared" si="91"/>
        <v>{"age":"57", "year":"3", "couponrate":"8", "benefittype":"A", "benefitrate":"300", "premiumrate":"1.01"}</v>
      </c>
      <c r="J355" s="6" t="str">
        <f t="shared" si="92"/>
        <v>,</v>
      </c>
    </row>
    <row r="356" spans="1:10">
      <c r="A356" s="4" t="str">
        <f>'EN60'!A$3</f>
        <v>EN60</v>
      </c>
      <c r="B356" s="4">
        <f t="shared" si="93"/>
        <v>57</v>
      </c>
      <c r="C356" s="4">
        <f t="shared" si="94"/>
        <v>4</v>
      </c>
      <c r="D356" s="4">
        <f t="shared" si="88"/>
        <v>8</v>
      </c>
      <c r="E356" s="4" t="s">
        <v>27</v>
      </c>
      <c r="F356" s="4">
        <f t="shared" si="89"/>
        <v>400</v>
      </c>
      <c r="G356" s="5">
        <f t="shared" si="95"/>
        <v>1.01</v>
      </c>
      <c r="H356" s="6" t="str">
        <f t="shared" si="90"/>
        <v>INSERT INTO public.coupon (plancode, age, "year", couponrate, benefittype, benefitrate, premiumrate) VALUES('EN60', 57, 4, 8, 'A',400, 1.01);</v>
      </c>
      <c r="I356" s="6" t="str">
        <f t="shared" si="91"/>
        <v>{"age":"57", "year":"4", "couponrate":"8", "benefittype":"A", "benefitrate":"400", "premiumrate":"1.01"}</v>
      </c>
      <c r="J356" s="6" t="str">
        <f t="shared" si="92"/>
        <v>,</v>
      </c>
    </row>
    <row r="357" spans="1:10">
      <c r="A357" s="4" t="str">
        <f>'EN60'!A$3</f>
        <v>EN60</v>
      </c>
      <c r="B357" s="4">
        <f t="shared" si="93"/>
        <v>57</v>
      </c>
      <c r="C357" s="4">
        <f t="shared" si="94"/>
        <v>5</v>
      </c>
      <c r="D357" s="4">
        <f t="shared" si="88"/>
        <v>8</v>
      </c>
      <c r="E357" s="4" t="s">
        <v>27</v>
      </c>
      <c r="F357" s="4">
        <f t="shared" si="89"/>
        <v>500</v>
      </c>
      <c r="G357" s="5">
        <f t="shared" si="95"/>
        <v>1.01</v>
      </c>
      <c r="H357" s="6" t="str">
        <f t="shared" si="90"/>
        <v>INSERT INTO public.coupon (plancode, age, "year", couponrate, benefittype, benefitrate, premiumrate) VALUES('EN60', 57, 5, 8, 'A',500, 1.01);</v>
      </c>
      <c r="I357" s="6" t="str">
        <f t="shared" si="91"/>
        <v>{"age":"57", "year":"5", "couponrate":"8", "benefittype":"A", "benefitrate":"500", "premiumrate":"1.01"}</v>
      </c>
      <c r="J357" s="6" t="str">
        <f t="shared" si="92"/>
        <v>,</v>
      </c>
    </row>
    <row r="358" spans="1:10">
      <c r="A358" s="4" t="str">
        <f>'EN60'!A$3</f>
        <v>EN60</v>
      </c>
      <c r="B358" s="4">
        <f t="shared" si="93"/>
        <v>57</v>
      </c>
      <c r="C358" s="4">
        <f t="shared" si="94"/>
        <v>6</v>
      </c>
      <c r="D358" s="4">
        <f t="shared" si="88"/>
        <v>8</v>
      </c>
      <c r="E358" s="4" t="s">
        <v>27</v>
      </c>
      <c r="F358" s="4">
        <f t="shared" si="89"/>
        <v>600</v>
      </c>
      <c r="G358" s="5">
        <f t="shared" si="95"/>
        <v>1.01</v>
      </c>
      <c r="H358" s="6" t="str">
        <f t="shared" si="90"/>
        <v>INSERT INTO public.coupon (plancode, age, "year", couponrate, benefittype, benefitrate, premiumrate) VALUES('EN60', 57, 6, 8, 'A',600, 1.01);</v>
      </c>
      <c r="I358" s="6" t="str">
        <f t="shared" si="91"/>
        <v>{"age":"57", "year":"6", "couponrate":"8", "benefittype":"A", "benefitrate":"600", "premiumrate":"1.01"}</v>
      </c>
      <c r="J358" s="6" t="str">
        <f t="shared" si="92"/>
        <v>,</v>
      </c>
    </row>
    <row r="359" spans="1:10">
      <c r="A359" s="4" t="str">
        <f>'EN60'!A$3</f>
        <v>EN60</v>
      </c>
      <c r="B359" s="4">
        <f t="shared" si="93"/>
        <v>57</v>
      </c>
      <c r="C359" s="4">
        <f t="shared" si="94"/>
        <v>7</v>
      </c>
      <c r="D359" s="4">
        <f t="shared" si="88"/>
        <v>8</v>
      </c>
      <c r="E359" s="4" t="s">
        <v>27</v>
      </c>
      <c r="F359" s="4">
        <f t="shared" si="89"/>
        <v>700</v>
      </c>
      <c r="G359" s="5">
        <f t="shared" si="95"/>
        <v>1.01</v>
      </c>
      <c r="H359" s="6" t="str">
        <f t="shared" si="90"/>
        <v>INSERT INTO public.coupon (plancode, age, "year", couponrate, benefittype, benefitrate, premiumrate) VALUES('EN60', 57, 7, 8, 'A',700, 1.01);</v>
      </c>
      <c r="I359" s="6" t="str">
        <f t="shared" si="91"/>
        <v>{"age":"57", "year":"7", "couponrate":"8", "benefittype":"A", "benefitrate":"700", "premiumrate":"1.01"}</v>
      </c>
      <c r="J359" s="6" t="str">
        <f t="shared" si="92"/>
        <v>,</v>
      </c>
    </row>
    <row r="360" spans="1:10">
      <c r="A360" s="4" t="str">
        <f>'EN60'!A$3</f>
        <v>EN60</v>
      </c>
      <c r="B360" s="4">
        <f t="shared" si="93"/>
        <v>57</v>
      </c>
      <c r="C360" s="4">
        <f t="shared" si="94"/>
        <v>8</v>
      </c>
      <c r="D360" s="4">
        <f t="shared" si="88"/>
        <v>8</v>
      </c>
      <c r="E360" s="4" t="s">
        <v>27</v>
      </c>
      <c r="F360" s="4">
        <f t="shared" si="89"/>
        <v>800</v>
      </c>
      <c r="G360" s="5">
        <f t="shared" si="95"/>
        <v>1.01</v>
      </c>
      <c r="H360" s="6" t="str">
        <f t="shared" si="90"/>
        <v>INSERT INTO public.coupon (plancode, age, "year", couponrate, benefittype, benefitrate, premiumrate) VALUES('EN60', 57, 8, 8, 'A',800, 1.01);</v>
      </c>
      <c r="I360" s="6" t="str">
        <f t="shared" si="91"/>
        <v>{"age":"57", "year":"8", "couponrate":"8", "benefittype":"A", "benefitrate":"800", "premiumrate":"1.01"}</v>
      </c>
      <c r="J360" s="6" t="str">
        <f t="shared" si="92"/>
        <v>,</v>
      </c>
    </row>
    <row r="361" spans="1:10">
      <c r="A361" s="4" t="str">
        <f>'EN60'!A$3</f>
        <v>EN60</v>
      </c>
      <c r="B361" s="4">
        <f t="shared" si="93"/>
        <v>57</v>
      </c>
      <c r="C361" s="4">
        <f t="shared" si="94"/>
        <v>9</v>
      </c>
      <c r="D361" s="4">
        <f t="shared" si="88"/>
        <v>8</v>
      </c>
      <c r="E361" s="4" t="s">
        <v>27</v>
      </c>
      <c r="F361" s="4">
        <f t="shared" si="89"/>
        <v>800</v>
      </c>
      <c r="G361" s="5">
        <f t="shared" si="95"/>
        <v>1.01</v>
      </c>
      <c r="H361" s="6" t="str">
        <f t="shared" si="90"/>
        <v>INSERT INTO public.coupon (plancode, age, "year", couponrate, benefittype, benefitrate, premiumrate) VALUES('EN60', 57, 9, 8, 'A',800, 1.01);</v>
      </c>
      <c r="I361" s="6" t="str">
        <f t="shared" si="91"/>
        <v>{"age":"57", "year":"9", "couponrate":"8", "benefittype":"A", "benefitrate":"800", "premiumrate":"1.01"}</v>
      </c>
      <c r="J361" s="6" t="str">
        <f t="shared" si="92"/>
        <v>,</v>
      </c>
    </row>
    <row r="362" spans="1:10">
      <c r="A362" s="4" t="str">
        <f>'EN60'!A$3</f>
        <v>EN60</v>
      </c>
      <c r="B362" s="4">
        <f t="shared" si="93"/>
        <v>57</v>
      </c>
      <c r="C362" s="4">
        <f t="shared" si="94"/>
        <v>10</v>
      </c>
      <c r="D362" s="4">
        <f t="shared" si="88"/>
        <v>8</v>
      </c>
      <c r="E362" s="4" t="s">
        <v>27</v>
      </c>
      <c r="F362" s="4">
        <f t="shared" si="89"/>
        <v>800</v>
      </c>
      <c r="G362" s="5">
        <f t="shared" si="95"/>
        <v>1.01</v>
      </c>
      <c r="H362" s="6" t="str">
        <f t="shared" si="90"/>
        <v>INSERT INTO public.coupon (plancode, age, "year", couponrate, benefittype, benefitrate, premiumrate) VALUES('EN60', 57, 10, 8, 'A',800, 1.01);</v>
      </c>
      <c r="I362" s="6" t="str">
        <f t="shared" si="91"/>
        <v>{"age":"57", "year":"10", "couponrate":"8", "benefittype":"A", "benefitrate":"800", "premiumrate":"1.01"}</v>
      </c>
      <c r="J362" s="6" t="str">
        <f t="shared" si="92"/>
        <v>,</v>
      </c>
    </row>
    <row r="363" spans="1:10">
      <c r="A363" s="4" t="str">
        <f>'EN60'!A$3</f>
        <v>EN60</v>
      </c>
      <c r="B363" s="4">
        <f t="shared" si="93"/>
        <v>57</v>
      </c>
      <c r="C363" s="4">
        <f t="shared" si="94"/>
        <v>11</v>
      </c>
      <c r="D363" s="4">
        <f t="shared" si="88"/>
        <v>8</v>
      </c>
      <c r="E363" s="4" t="s">
        <v>27</v>
      </c>
      <c r="F363" s="4">
        <f t="shared" si="89"/>
        <v>800</v>
      </c>
      <c r="G363" s="5">
        <f t="shared" si="95"/>
        <v>1.01</v>
      </c>
      <c r="H363" s="6" t="str">
        <f t="shared" si="90"/>
        <v>INSERT INTO public.coupon (plancode, age, "year", couponrate, benefittype, benefitrate, premiumrate) VALUES('EN60', 57, 11, 8, 'A',800, 1.01);</v>
      </c>
      <c r="I363" s="6" t="str">
        <f t="shared" si="91"/>
        <v>{"age":"57", "year":"11", "couponrate":"8", "benefittype":"A", "benefitrate":"800", "premiumrate":"1.01"}</v>
      </c>
      <c r="J363" s="6" t="str">
        <f t="shared" si="92"/>
        <v>,</v>
      </c>
    </row>
    <row r="364" spans="1:10">
      <c r="A364" s="4" t="str">
        <f>'EN60'!A$3</f>
        <v>EN60</v>
      </c>
      <c r="B364" s="4">
        <f t="shared" si="93"/>
        <v>57</v>
      </c>
      <c r="C364" s="4">
        <f t="shared" si="94"/>
        <v>12</v>
      </c>
      <c r="D364" s="4">
        <f t="shared" si="88"/>
        <v>8</v>
      </c>
      <c r="E364" s="4" t="s">
        <v>27</v>
      </c>
      <c r="F364" s="4">
        <f t="shared" si="89"/>
        <v>800</v>
      </c>
      <c r="G364" s="5">
        <f t="shared" si="95"/>
        <v>1.01</v>
      </c>
      <c r="H364" s="6" t="str">
        <f t="shared" si="90"/>
        <v>INSERT INTO public.coupon (plancode, age, "year", couponrate, benefittype, benefitrate, premiumrate) VALUES('EN60', 57, 12, 8, 'A',800, 1.01);</v>
      </c>
      <c r="I364" s="6" t="str">
        <f t="shared" si="91"/>
        <v>{"age":"57", "year":"12", "couponrate":"8", "benefittype":"A", "benefitrate":"800", "premiumrate":"1.01"}</v>
      </c>
      <c r="J364" s="6" t="str">
        <f t="shared" si="92"/>
        <v>,</v>
      </c>
    </row>
    <row r="365" spans="1:10">
      <c r="A365" s="4" t="str">
        <f>'EN60'!A$3</f>
        <v>EN60</v>
      </c>
      <c r="B365" s="4">
        <f t="shared" si="93"/>
        <v>57</v>
      </c>
      <c r="C365" s="4">
        <f t="shared" si="94"/>
        <v>13</v>
      </c>
      <c r="D365" s="4">
        <f t="shared" si="88"/>
        <v>8</v>
      </c>
      <c r="E365" s="4" t="s">
        <v>27</v>
      </c>
      <c r="F365" s="4">
        <f t="shared" si="89"/>
        <v>800</v>
      </c>
      <c r="G365" s="5">
        <f t="shared" si="95"/>
        <v>1.01</v>
      </c>
      <c r="H365" s="6" t="str">
        <f t="shared" si="90"/>
        <v>INSERT INTO public.coupon (plancode, age, "year", couponrate, benefittype, benefitrate, premiumrate) VALUES('EN60', 57, 13, 8, 'A',800, 1.01);</v>
      </c>
      <c r="I365" s="6" t="str">
        <f t="shared" si="91"/>
        <v>{"age":"57", "year":"13", "couponrate":"8", "benefittype":"A", "benefitrate":"800", "premiumrate":"1.01"}</v>
      </c>
      <c r="J365" s="6" t="str">
        <f t="shared" si="92"/>
        <v>,</v>
      </c>
    </row>
    <row r="366" spans="1:10">
      <c r="A366" s="4" t="str">
        <f>'EN60'!A$3</f>
        <v>EN60</v>
      </c>
      <c r="B366" s="4">
        <f t="shared" si="93"/>
        <v>57</v>
      </c>
      <c r="C366" s="4">
        <f t="shared" si="94"/>
        <v>14</v>
      </c>
      <c r="D366" s="4">
        <f t="shared" si="88"/>
        <v>8</v>
      </c>
      <c r="E366" s="4" t="s">
        <v>27</v>
      </c>
      <c r="F366" s="4">
        <f t="shared" si="89"/>
        <v>800</v>
      </c>
      <c r="G366" s="5">
        <f t="shared" si="95"/>
        <v>1.01</v>
      </c>
      <c r="H366" s="6" t="str">
        <f t="shared" si="90"/>
        <v>INSERT INTO public.coupon (plancode, age, "year", couponrate, benefittype, benefitrate, premiumrate) VALUES('EN60', 57, 14, 8, 'A',800, 1.01);</v>
      </c>
      <c r="I366" s="6" t="str">
        <f t="shared" si="91"/>
        <v>{"age":"57", "year":"14", "couponrate":"8", "benefittype":"A", "benefitrate":"800", "premiumrate":"1.01"}</v>
      </c>
      <c r="J366" s="6" t="str">
        <f t="shared" si="92"/>
        <v>,</v>
      </c>
    </row>
    <row r="367" spans="1:10">
      <c r="A367" s="4" t="str">
        <f>'EN60'!A$3</f>
        <v>EN60</v>
      </c>
      <c r="B367" s="4">
        <f t="shared" si="93"/>
        <v>57</v>
      </c>
      <c r="C367" s="4">
        <f t="shared" si="94"/>
        <v>15</v>
      </c>
      <c r="D367" s="4">
        <f t="shared" si="88"/>
        <v>8</v>
      </c>
      <c r="E367" s="4" t="s">
        <v>27</v>
      </c>
      <c r="F367" s="4">
        <f t="shared" si="89"/>
        <v>800</v>
      </c>
      <c r="G367" s="5">
        <f t="shared" si="95"/>
        <v>1.01</v>
      </c>
      <c r="H367" s="6" t="str">
        <f t="shared" si="90"/>
        <v>INSERT INTO public.coupon (plancode, age, "year", couponrate, benefittype, benefitrate, premiumrate) VALUES('EN60', 57, 15, 8, 'A',800, 1.01);</v>
      </c>
      <c r="I367" s="6" t="str">
        <f t="shared" si="91"/>
        <v>{"age":"57", "year":"15", "couponrate":"8", "benefittype":"A", "benefitrate":"800", "premiumrate":"1.01"}</v>
      </c>
      <c r="J367" s="6" t="str">
        <f t="shared" si="92"/>
        <v>,</v>
      </c>
    </row>
    <row r="368" spans="1:10">
      <c r="A368" s="4" t="str">
        <f>'EN60'!A$3</f>
        <v>EN60</v>
      </c>
      <c r="B368" s="4">
        <f t="shared" si="93"/>
        <v>57</v>
      </c>
      <c r="C368" s="4">
        <f t="shared" si="94"/>
        <v>16</v>
      </c>
      <c r="D368" s="4">
        <f t="shared" si="88"/>
        <v>8</v>
      </c>
      <c r="E368" s="4" t="s">
        <v>27</v>
      </c>
      <c r="F368" s="4">
        <f t="shared" si="89"/>
        <v>800</v>
      </c>
      <c r="G368" s="5">
        <f t="shared" si="95"/>
        <v>1.01</v>
      </c>
      <c r="H368" s="6" t="str">
        <f t="shared" si="90"/>
        <v>INSERT INTO public.coupon (plancode, age, "year", couponrate, benefittype, benefitrate, premiumrate) VALUES('EN60', 57, 16, 8, 'A',800, 1.01);</v>
      </c>
      <c r="I368" s="6" t="str">
        <f t="shared" si="91"/>
        <v>{"age":"57", "year":"16", "couponrate":"8", "benefittype":"A", "benefitrate":"800", "premiumrate":"1.01"}</v>
      </c>
      <c r="J368" s="6" t="str">
        <f t="shared" si="92"/>
        <v>,</v>
      </c>
    </row>
    <row r="369" spans="1:10">
      <c r="A369" s="4" t="str">
        <f>'EN60'!A$3</f>
        <v>EN60</v>
      </c>
      <c r="B369" s="4">
        <f t="shared" si="93"/>
        <v>57</v>
      </c>
      <c r="C369" s="4">
        <f t="shared" si="94"/>
        <v>17</v>
      </c>
      <c r="D369" s="4">
        <f t="shared" si="88"/>
        <v>8</v>
      </c>
      <c r="E369" s="4" t="s">
        <v>27</v>
      </c>
      <c r="F369" s="4">
        <f t="shared" si="89"/>
        <v>800</v>
      </c>
      <c r="G369" s="5">
        <f t="shared" si="95"/>
        <v>1.01</v>
      </c>
      <c r="H369" s="6" t="str">
        <f t="shared" si="90"/>
        <v>INSERT INTO public.coupon (plancode, age, "year", couponrate, benefittype, benefitrate, premiumrate) VALUES('EN60', 57, 17, 8, 'A',800, 1.01);</v>
      </c>
      <c r="I369" s="6" t="str">
        <f t="shared" si="91"/>
        <v>{"age":"57", "year":"17", "couponrate":"8", "benefittype":"A", "benefitrate":"800", "premiumrate":"1.01"}</v>
      </c>
      <c r="J369" s="6" t="str">
        <f t="shared" si="92"/>
        <v>,</v>
      </c>
    </row>
    <row r="370" spans="1:10">
      <c r="A370" s="4" t="str">
        <f>'EN60'!A$3</f>
        <v>EN60</v>
      </c>
      <c r="B370" s="4">
        <f t="shared" si="93"/>
        <v>57</v>
      </c>
      <c r="C370" s="4">
        <f t="shared" si="94"/>
        <v>18</v>
      </c>
      <c r="D370" s="4">
        <f t="shared" si="88"/>
        <v>8</v>
      </c>
      <c r="E370" s="4" t="s">
        <v>27</v>
      </c>
      <c r="F370" s="4">
        <f t="shared" si="89"/>
        <v>800</v>
      </c>
      <c r="G370" s="5">
        <f t="shared" si="95"/>
        <v>1.01</v>
      </c>
      <c r="H370" s="6" t="str">
        <f t="shared" si="90"/>
        <v>INSERT INTO public.coupon (plancode, age, "year", couponrate, benefittype, benefitrate, premiumrate) VALUES('EN60', 57, 18, 8, 'A',800, 1.01);</v>
      </c>
      <c r="I370" s="6" t="str">
        <f t="shared" si="91"/>
        <v>{"age":"57", "year":"18", "couponrate":"8", "benefittype":"A", "benefitrate":"800", "premiumrate":"1.01"}</v>
      </c>
      <c r="J370" s="6" t="str">
        <f t="shared" si="92"/>
        <v>,</v>
      </c>
    </row>
    <row r="371" spans="1:10">
      <c r="A371" s="4" t="str">
        <f>'EN60'!A$3</f>
        <v>EN60</v>
      </c>
      <c r="B371" s="4">
        <f t="shared" si="93"/>
        <v>57</v>
      </c>
      <c r="C371" s="4">
        <f t="shared" si="94"/>
        <v>19</v>
      </c>
      <c r="D371" s="4">
        <f t="shared" si="88"/>
        <v>8</v>
      </c>
      <c r="E371" s="4" t="s">
        <v>27</v>
      </c>
      <c r="F371" s="4">
        <f t="shared" si="89"/>
        <v>800</v>
      </c>
      <c r="G371" s="5">
        <f t="shared" si="95"/>
        <v>1.01</v>
      </c>
      <c r="H371" s="6" t="str">
        <f t="shared" si="90"/>
        <v>INSERT INTO public.coupon (plancode, age, "year", couponrate, benefittype, benefitrate, premiumrate) VALUES('EN60', 57, 19, 8, 'A',800, 1.01);</v>
      </c>
      <c r="I371" s="6" t="str">
        <f t="shared" si="91"/>
        <v>{"age":"57", "year":"19", "couponrate":"8", "benefittype":"A", "benefitrate":"800", "premiumrate":"1.01"}</v>
      </c>
      <c r="J371" s="6" t="str">
        <f t="shared" si="92"/>
        <v>,</v>
      </c>
    </row>
    <row r="372" spans="1:10">
      <c r="A372" s="4" t="str">
        <f>'EN60'!A$3</f>
        <v>EN60</v>
      </c>
      <c r="B372" s="4">
        <f t="shared" si="93"/>
        <v>57</v>
      </c>
      <c r="C372" s="4">
        <f t="shared" si="94"/>
        <v>20</v>
      </c>
      <c r="D372" s="4">
        <f t="shared" si="88"/>
        <v>8</v>
      </c>
      <c r="E372" s="4" t="s">
        <v>27</v>
      </c>
      <c r="F372" s="4">
        <f t="shared" si="89"/>
        <v>800</v>
      </c>
      <c r="G372" s="5">
        <f t="shared" si="95"/>
        <v>1.01</v>
      </c>
      <c r="H372" s="6" t="str">
        <f t="shared" si="90"/>
        <v>INSERT INTO public.coupon (plancode, age, "year", couponrate, benefittype, benefitrate, premiumrate) VALUES('EN60', 57, 20, 8, 'A',800, 1.01);</v>
      </c>
      <c r="I372" s="6" t="str">
        <f t="shared" si="91"/>
        <v>{"age":"57", "year":"20", "couponrate":"8", "benefittype":"A", "benefitrate":"800", "premiumrate":"1.01"}</v>
      </c>
      <c r="J372" s="6" t="str">
        <f t="shared" si="92"/>
        <v>,</v>
      </c>
    </row>
    <row r="373" spans="1:10">
      <c r="A373" s="4" t="str">
        <f>'EN60'!A$3</f>
        <v>EN60</v>
      </c>
      <c r="B373" s="4">
        <f t="shared" si="93"/>
        <v>57</v>
      </c>
      <c r="C373" s="4">
        <f t="shared" si="94"/>
        <v>21</v>
      </c>
      <c r="D373" s="4">
        <f t="shared" si="88"/>
        <v>8</v>
      </c>
      <c r="E373" s="4" t="s">
        <v>27</v>
      </c>
      <c r="F373" s="4">
        <f t="shared" si="89"/>
        <v>800</v>
      </c>
      <c r="G373" s="5">
        <f t="shared" si="95"/>
        <v>1.01</v>
      </c>
      <c r="H373" s="6" t="str">
        <f t="shared" si="90"/>
        <v>INSERT INTO public.coupon (plancode, age, "year", couponrate, benefittype, benefitrate, premiumrate) VALUES('EN60', 57, 21, 8, 'A',800, 1.01);</v>
      </c>
      <c r="I373" s="6" t="str">
        <f t="shared" si="91"/>
        <v>{"age":"57", "year":"21", "couponrate":"8", "benefittype":"A", "benefitrate":"800", "premiumrate":"1.01"}</v>
      </c>
      <c r="J373" s="6" t="str">
        <f t="shared" si="92"/>
        <v>,</v>
      </c>
    </row>
    <row r="374" spans="1:10">
      <c r="A374" s="4" t="str">
        <f>'EN60'!A$3</f>
        <v>EN60</v>
      </c>
      <c r="B374" s="4">
        <f t="shared" si="93"/>
        <v>57</v>
      </c>
      <c r="C374" s="4">
        <f t="shared" si="94"/>
        <v>22</v>
      </c>
      <c r="D374" s="4">
        <f t="shared" si="88"/>
        <v>8</v>
      </c>
      <c r="E374" s="4" t="s">
        <v>27</v>
      </c>
      <c r="F374" s="4">
        <f t="shared" si="89"/>
        <v>800</v>
      </c>
      <c r="G374" s="5">
        <f t="shared" si="95"/>
        <v>1.01</v>
      </c>
      <c r="H374" s="6" t="str">
        <f t="shared" si="90"/>
        <v>INSERT INTO public.coupon (plancode, age, "year", couponrate, benefittype, benefitrate, premiumrate) VALUES('EN60', 57, 22, 8, 'A',800, 1.01);</v>
      </c>
      <c r="I374" s="6" t="str">
        <f t="shared" si="91"/>
        <v>{"age":"57", "year":"22", "couponrate":"8", "benefittype":"A", "benefitrate":"800", "premiumrate":"1.01"}</v>
      </c>
      <c r="J374" s="6" t="str">
        <f t="shared" si="92"/>
        <v>,</v>
      </c>
    </row>
    <row r="375" spans="1:10">
      <c r="A375" s="4" t="str">
        <f>'EN60'!A$3</f>
        <v>EN60</v>
      </c>
      <c r="B375" s="4">
        <f t="shared" si="93"/>
        <v>57</v>
      </c>
      <c r="C375" s="4">
        <f t="shared" si="94"/>
        <v>23</v>
      </c>
      <c r="D375" s="4">
        <f t="shared" si="88"/>
        <v>0</v>
      </c>
      <c r="E375" s="4" t="s">
        <v>27</v>
      </c>
      <c r="F375" s="4">
        <f t="shared" si="89"/>
        <v>800</v>
      </c>
      <c r="G375" s="5">
        <f t="shared" si="95"/>
        <v>1.01</v>
      </c>
      <c r="H375" s="6" t="str">
        <f t="shared" si="90"/>
        <v>INSERT INTO public.coupon (plancode, age, "year", couponrate, benefittype, benefitrate, premiumrate) VALUES('EN60', 57, 23, 0, 'A',800, 1.01);</v>
      </c>
      <c r="I375" s="6" t="str">
        <f t="shared" si="91"/>
        <v>{"age":"57", "year":"23", "couponrate":"0", "benefittype":"A", "benefitrate":"800", "premiumrate":"1.01"}</v>
      </c>
    </row>
    <row r="376" spans="1:10">
      <c r="C376" s="6"/>
      <c r="I376" s="6" t="s">
        <v>28</v>
      </c>
    </row>
    <row r="377" spans="1:10">
      <c r="A377" s="3" t="s">
        <v>2</v>
      </c>
      <c r="B377" s="3" t="s">
        <v>23</v>
      </c>
      <c r="C377" s="3" t="s">
        <v>24</v>
      </c>
      <c r="D377" s="3" t="s">
        <v>25</v>
      </c>
      <c r="E377" s="3" t="s">
        <v>8</v>
      </c>
      <c r="F377" s="3" t="s">
        <v>26</v>
      </c>
      <c r="G377" s="3" t="s">
        <v>4</v>
      </c>
      <c r="I377" s="6" t="str">
        <f>"[{""plancode"":"""&amp;A378&amp;""",""returncash"":"""&amp;B$7&amp;""",""ytable"":"""&amp;C$7&amp;""",""maturerate"":"""&amp;B$3&amp;""",""maturepmrate"":"""&amp;C$3&amp;""",""coupon"":["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378" spans="1:10">
      <c r="A378" s="4" t="str">
        <f>'EN60'!A$3</f>
        <v>EN60</v>
      </c>
      <c r="B378" s="8">
        <v>58</v>
      </c>
      <c r="C378" s="4">
        <v>1</v>
      </c>
      <c r="D378" s="4">
        <f t="shared" ref="D378:D399" si="96">IF(C378+B378=80,0,8)</f>
        <v>8</v>
      </c>
      <c r="E378" s="4" t="s">
        <v>27</v>
      </c>
      <c r="F378" s="4">
        <f t="shared" ref="F378:F399" si="97">IF(C378&gt;7, 800, C378*100)</f>
        <v>100</v>
      </c>
      <c r="G378" s="5">
        <f>'EN60'!C$3</f>
        <v>1.01</v>
      </c>
      <c r="H378" s="6" t="str">
        <f t="shared" ref="H378:H399" si="98">"INSERT INTO public.coupon ("&amp;A$11&amp;", "&amp;B$11&amp;", """&amp;C$11&amp;""", "&amp;D$11&amp;", "&amp;E$11&amp;", "&amp;F$11&amp;", "&amp;G$11&amp;") VALUES('"&amp;A378&amp;"', "&amp;B378&amp;", "&amp;C378&amp;", "&amp;D378&amp;", '"&amp;E378&amp;"',"&amp;F378&amp;", "&amp;G378&amp;");"</f>
        <v>INSERT INTO public.coupon (plancode, age, "year", couponrate, benefittype, benefitrate, premiumrate) VALUES('EN60', 58, 1, 8, 'A',100, 1.01);</v>
      </c>
      <c r="I378" s="6" t="str">
        <f t="shared" ref="I378:I399" si="99">"{""age"":"""&amp;B378&amp;""", ""year"":"""&amp;C378&amp;""", ""couponrate"":"""&amp;D378&amp;""", ""benefittype"":"""&amp;E378&amp;""", ""benefitrate"":"""&amp;F378&amp;""", """&amp;G$11&amp;""":"""&amp;G378&amp;"""}"</f>
        <v>{"age":"58", "year":"1", "couponrate":"8", "benefittype":"A", "benefitrate":"100", "premiumrate":"1.01"}</v>
      </c>
      <c r="J378" s="6" t="str">
        <f t="shared" ref="J378:J398" si="100">IF(OR(I379="]", I378="[", I378="]"), "", ",")</f>
        <v>,</v>
      </c>
    </row>
    <row r="379" spans="1:10">
      <c r="A379" s="4" t="str">
        <f>'EN60'!A$3</f>
        <v>EN60</v>
      </c>
      <c r="B379" s="4">
        <f t="shared" ref="B379:B399" si="101">B378</f>
        <v>58</v>
      </c>
      <c r="C379" s="4">
        <f t="shared" ref="C379:C399" si="102">IF(B379+C378+1&gt;80,"",C378+1)</f>
        <v>2</v>
      </c>
      <c r="D379" s="4">
        <f t="shared" si="96"/>
        <v>8</v>
      </c>
      <c r="E379" s="4" t="s">
        <v>27</v>
      </c>
      <c r="F379" s="4">
        <f t="shared" si="97"/>
        <v>200</v>
      </c>
      <c r="G379" s="5">
        <f t="shared" ref="G379:G399" si="103">G378</f>
        <v>1.01</v>
      </c>
      <c r="H379" s="6" t="str">
        <f t="shared" si="98"/>
        <v>INSERT INTO public.coupon (plancode, age, "year", couponrate, benefittype, benefitrate, premiumrate) VALUES('EN60', 58, 2, 8, 'A',200, 1.01);</v>
      </c>
      <c r="I379" s="6" t="str">
        <f t="shared" si="99"/>
        <v>{"age":"58", "year":"2", "couponrate":"8", "benefittype":"A", "benefitrate":"200", "premiumrate":"1.01"}</v>
      </c>
      <c r="J379" s="6" t="str">
        <f t="shared" si="100"/>
        <v>,</v>
      </c>
    </row>
    <row r="380" spans="1:10">
      <c r="A380" s="4" t="str">
        <f>'EN60'!A$3</f>
        <v>EN60</v>
      </c>
      <c r="B380" s="4">
        <f t="shared" si="101"/>
        <v>58</v>
      </c>
      <c r="C380" s="4">
        <f t="shared" si="102"/>
        <v>3</v>
      </c>
      <c r="D380" s="4">
        <f t="shared" si="96"/>
        <v>8</v>
      </c>
      <c r="E380" s="4" t="s">
        <v>27</v>
      </c>
      <c r="F380" s="4">
        <f t="shared" si="97"/>
        <v>300</v>
      </c>
      <c r="G380" s="5">
        <f t="shared" si="103"/>
        <v>1.01</v>
      </c>
      <c r="H380" s="6" t="str">
        <f t="shared" si="98"/>
        <v>INSERT INTO public.coupon (plancode, age, "year", couponrate, benefittype, benefitrate, premiumrate) VALUES('EN60', 58, 3, 8, 'A',300, 1.01);</v>
      </c>
      <c r="I380" s="6" t="str">
        <f t="shared" si="99"/>
        <v>{"age":"58", "year":"3", "couponrate":"8", "benefittype":"A", "benefitrate":"300", "premiumrate":"1.01"}</v>
      </c>
      <c r="J380" s="6" t="str">
        <f t="shared" si="100"/>
        <v>,</v>
      </c>
    </row>
    <row r="381" spans="1:10">
      <c r="A381" s="4" t="str">
        <f>'EN60'!A$3</f>
        <v>EN60</v>
      </c>
      <c r="B381" s="4">
        <f t="shared" si="101"/>
        <v>58</v>
      </c>
      <c r="C381" s="4">
        <f t="shared" si="102"/>
        <v>4</v>
      </c>
      <c r="D381" s="4">
        <f t="shared" si="96"/>
        <v>8</v>
      </c>
      <c r="E381" s="4" t="s">
        <v>27</v>
      </c>
      <c r="F381" s="4">
        <f t="shared" si="97"/>
        <v>400</v>
      </c>
      <c r="G381" s="5">
        <f t="shared" si="103"/>
        <v>1.01</v>
      </c>
      <c r="H381" s="6" t="str">
        <f t="shared" si="98"/>
        <v>INSERT INTO public.coupon (plancode, age, "year", couponrate, benefittype, benefitrate, premiumrate) VALUES('EN60', 58, 4, 8, 'A',400, 1.01);</v>
      </c>
      <c r="I381" s="6" t="str">
        <f t="shared" si="99"/>
        <v>{"age":"58", "year":"4", "couponrate":"8", "benefittype":"A", "benefitrate":"400", "premiumrate":"1.01"}</v>
      </c>
      <c r="J381" s="6" t="str">
        <f t="shared" si="100"/>
        <v>,</v>
      </c>
    </row>
    <row r="382" spans="1:10">
      <c r="A382" s="4" t="str">
        <f>'EN60'!A$3</f>
        <v>EN60</v>
      </c>
      <c r="B382" s="4">
        <f t="shared" si="101"/>
        <v>58</v>
      </c>
      <c r="C382" s="4">
        <f t="shared" si="102"/>
        <v>5</v>
      </c>
      <c r="D382" s="4">
        <f t="shared" si="96"/>
        <v>8</v>
      </c>
      <c r="E382" s="4" t="s">
        <v>27</v>
      </c>
      <c r="F382" s="4">
        <f t="shared" si="97"/>
        <v>500</v>
      </c>
      <c r="G382" s="5">
        <f t="shared" si="103"/>
        <v>1.01</v>
      </c>
      <c r="H382" s="6" t="str">
        <f t="shared" si="98"/>
        <v>INSERT INTO public.coupon (plancode, age, "year", couponrate, benefittype, benefitrate, premiumrate) VALUES('EN60', 58, 5, 8, 'A',500, 1.01);</v>
      </c>
      <c r="I382" s="6" t="str">
        <f t="shared" si="99"/>
        <v>{"age":"58", "year":"5", "couponrate":"8", "benefittype":"A", "benefitrate":"500", "premiumrate":"1.01"}</v>
      </c>
      <c r="J382" s="6" t="str">
        <f t="shared" si="100"/>
        <v>,</v>
      </c>
    </row>
    <row r="383" spans="1:10">
      <c r="A383" s="4" t="str">
        <f>'EN60'!A$3</f>
        <v>EN60</v>
      </c>
      <c r="B383" s="4">
        <f t="shared" si="101"/>
        <v>58</v>
      </c>
      <c r="C383" s="4">
        <f t="shared" si="102"/>
        <v>6</v>
      </c>
      <c r="D383" s="4">
        <f t="shared" si="96"/>
        <v>8</v>
      </c>
      <c r="E383" s="4" t="s">
        <v>27</v>
      </c>
      <c r="F383" s="4">
        <f t="shared" si="97"/>
        <v>600</v>
      </c>
      <c r="G383" s="5">
        <f t="shared" si="103"/>
        <v>1.01</v>
      </c>
      <c r="H383" s="6" t="str">
        <f t="shared" si="98"/>
        <v>INSERT INTO public.coupon (plancode, age, "year", couponrate, benefittype, benefitrate, premiumrate) VALUES('EN60', 58, 6, 8, 'A',600, 1.01);</v>
      </c>
      <c r="I383" s="6" t="str">
        <f t="shared" si="99"/>
        <v>{"age":"58", "year":"6", "couponrate":"8", "benefittype":"A", "benefitrate":"600", "premiumrate":"1.01"}</v>
      </c>
      <c r="J383" s="6" t="str">
        <f t="shared" si="100"/>
        <v>,</v>
      </c>
    </row>
    <row r="384" spans="1:10">
      <c r="A384" s="4" t="str">
        <f>'EN60'!A$3</f>
        <v>EN60</v>
      </c>
      <c r="B384" s="4">
        <f t="shared" si="101"/>
        <v>58</v>
      </c>
      <c r="C384" s="4">
        <f t="shared" si="102"/>
        <v>7</v>
      </c>
      <c r="D384" s="4">
        <f t="shared" si="96"/>
        <v>8</v>
      </c>
      <c r="E384" s="4" t="s">
        <v>27</v>
      </c>
      <c r="F384" s="4">
        <f t="shared" si="97"/>
        <v>700</v>
      </c>
      <c r="G384" s="5">
        <f t="shared" si="103"/>
        <v>1.01</v>
      </c>
      <c r="H384" s="6" t="str">
        <f t="shared" si="98"/>
        <v>INSERT INTO public.coupon (plancode, age, "year", couponrate, benefittype, benefitrate, premiumrate) VALUES('EN60', 58, 7, 8, 'A',700, 1.01);</v>
      </c>
      <c r="I384" s="6" t="str">
        <f t="shared" si="99"/>
        <v>{"age":"58", "year":"7", "couponrate":"8", "benefittype":"A", "benefitrate":"700", "premiumrate":"1.01"}</v>
      </c>
      <c r="J384" s="6" t="str">
        <f t="shared" si="100"/>
        <v>,</v>
      </c>
    </row>
    <row r="385" spans="1:10">
      <c r="A385" s="4" t="str">
        <f>'EN60'!A$3</f>
        <v>EN60</v>
      </c>
      <c r="B385" s="4">
        <f t="shared" si="101"/>
        <v>58</v>
      </c>
      <c r="C385" s="4">
        <f t="shared" si="102"/>
        <v>8</v>
      </c>
      <c r="D385" s="4">
        <f t="shared" si="96"/>
        <v>8</v>
      </c>
      <c r="E385" s="4" t="s">
        <v>27</v>
      </c>
      <c r="F385" s="4">
        <f t="shared" si="97"/>
        <v>800</v>
      </c>
      <c r="G385" s="5">
        <f t="shared" si="103"/>
        <v>1.01</v>
      </c>
      <c r="H385" s="6" t="str">
        <f t="shared" si="98"/>
        <v>INSERT INTO public.coupon (plancode, age, "year", couponrate, benefittype, benefitrate, premiumrate) VALUES('EN60', 58, 8, 8, 'A',800, 1.01);</v>
      </c>
      <c r="I385" s="6" t="str">
        <f t="shared" si="99"/>
        <v>{"age":"58", "year":"8", "couponrate":"8", "benefittype":"A", "benefitrate":"800", "premiumrate":"1.01"}</v>
      </c>
      <c r="J385" s="6" t="str">
        <f t="shared" si="100"/>
        <v>,</v>
      </c>
    </row>
    <row r="386" spans="1:10">
      <c r="A386" s="4" t="str">
        <f>'EN60'!A$3</f>
        <v>EN60</v>
      </c>
      <c r="B386" s="4">
        <f t="shared" si="101"/>
        <v>58</v>
      </c>
      <c r="C386" s="4">
        <f t="shared" si="102"/>
        <v>9</v>
      </c>
      <c r="D386" s="4">
        <f t="shared" si="96"/>
        <v>8</v>
      </c>
      <c r="E386" s="4" t="s">
        <v>27</v>
      </c>
      <c r="F386" s="4">
        <f t="shared" si="97"/>
        <v>800</v>
      </c>
      <c r="G386" s="5">
        <f t="shared" si="103"/>
        <v>1.01</v>
      </c>
      <c r="H386" s="6" t="str">
        <f t="shared" si="98"/>
        <v>INSERT INTO public.coupon (plancode, age, "year", couponrate, benefittype, benefitrate, premiumrate) VALUES('EN60', 58, 9, 8, 'A',800, 1.01);</v>
      </c>
      <c r="I386" s="6" t="str">
        <f t="shared" si="99"/>
        <v>{"age":"58", "year":"9", "couponrate":"8", "benefittype":"A", "benefitrate":"800", "premiumrate":"1.01"}</v>
      </c>
      <c r="J386" s="6" t="str">
        <f t="shared" si="100"/>
        <v>,</v>
      </c>
    </row>
    <row r="387" spans="1:10">
      <c r="A387" s="4" t="str">
        <f>'EN60'!A$3</f>
        <v>EN60</v>
      </c>
      <c r="B387" s="4">
        <f t="shared" si="101"/>
        <v>58</v>
      </c>
      <c r="C387" s="4">
        <f t="shared" si="102"/>
        <v>10</v>
      </c>
      <c r="D387" s="4">
        <f t="shared" si="96"/>
        <v>8</v>
      </c>
      <c r="E387" s="4" t="s">
        <v>27</v>
      </c>
      <c r="F387" s="4">
        <f t="shared" si="97"/>
        <v>800</v>
      </c>
      <c r="G387" s="5">
        <f t="shared" si="103"/>
        <v>1.01</v>
      </c>
      <c r="H387" s="6" t="str">
        <f t="shared" si="98"/>
        <v>INSERT INTO public.coupon (plancode, age, "year", couponrate, benefittype, benefitrate, premiumrate) VALUES('EN60', 58, 10, 8, 'A',800, 1.01);</v>
      </c>
      <c r="I387" s="6" t="str">
        <f t="shared" si="99"/>
        <v>{"age":"58", "year":"10", "couponrate":"8", "benefittype":"A", "benefitrate":"800", "premiumrate":"1.01"}</v>
      </c>
      <c r="J387" s="6" t="str">
        <f t="shared" si="100"/>
        <v>,</v>
      </c>
    </row>
    <row r="388" spans="1:10">
      <c r="A388" s="4" t="str">
        <f>'EN60'!A$3</f>
        <v>EN60</v>
      </c>
      <c r="B388" s="4">
        <f t="shared" si="101"/>
        <v>58</v>
      </c>
      <c r="C388" s="4">
        <f t="shared" si="102"/>
        <v>11</v>
      </c>
      <c r="D388" s="4">
        <f t="shared" si="96"/>
        <v>8</v>
      </c>
      <c r="E388" s="4" t="s">
        <v>27</v>
      </c>
      <c r="F388" s="4">
        <f t="shared" si="97"/>
        <v>800</v>
      </c>
      <c r="G388" s="5">
        <f t="shared" si="103"/>
        <v>1.01</v>
      </c>
      <c r="H388" s="6" t="str">
        <f t="shared" si="98"/>
        <v>INSERT INTO public.coupon (plancode, age, "year", couponrate, benefittype, benefitrate, premiumrate) VALUES('EN60', 58, 11, 8, 'A',800, 1.01);</v>
      </c>
      <c r="I388" s="6" t="str">
        <f t="shared" si="99"/>
        <v>{"age":"58", "year":"11", "couponrate":"8", "benefittype":"A", "benefitrate":"800", "premiumrate":"1.01"}</v>
      </c>
      <c r="J388" s="6" t="str">
        <f t="shared" si="100"/>
        <v>,</v>
      </c>
    </row>
    <row r="389" spans="1:10">
      <c r="A389" s="4" t="str">
        <f>'EN60'!A$3</f>
        <v>EN60</v>
      </c>
      <c r="B389" s="4">
        <f t="shared" si="101"/>
        <v>58</v>
      </c>
      <c r="C389" s="4">
        <f t="shared" si="102"/>
        <v>12</v>
      </c>
      <c r="D389" s="4">
        <f t="shared" si="96"/>
        <v>8</v>
      </c>
      <c r="E389" s="4" t="s">
        <v>27</v>
      </c>
      <c r="F389" s="4">
        <f t="shared" si="97"/>
        <v>800</v>
      </c>
      <c r="G389" s="5">
        <f t="shared" si="103"/>
        <v>1.01</v>
      </c>
      <c r="H389" s="6" t="str">
        <f t="shared" si="98"/>
        <v>INSERT INTO public.coupon (plancode, age, "year", couponrate, benefittype, benefitrate, premiumrate) VALUES('EN60', 58, 12, 8, 'A',800, 1.01);</v>
      </c>
      <c r="I389" s="6" t="str">
        <f t="shared" si="99"/>
        <v>{"age":"58", "year":"12", "couponrate":"8", "benefittype":"A", "benefitrate":"800", "premiumrate":"1.01"}</v>
      </c>
      <c r="J389" s="6" t="str">
        <f t="shared" si="100"/>
        <v>,</v>
      </c>
    </row>
    <row r="390" spans="1:10">
      <c r="A390" s="4" t="str">
        <f>'EN60'!A$3</f>
        <v>EN60</v>
      </c>
      <c r="B390" s="4">
        <f t="shared" si="101"/>
        <v>58</v>
      </c>
      <c r="C390" s="4">
        <f t="shared" si="102"/>
        <v>13</v>
      </c>
      <c r="D390" s="4">
        <f t="shared" si="96"/>
        <v>8</v>
      </c>
      <c r="E390" s="4" t="s">
        <v>27</v>
      </c>
      <c r="F390" s="4">
        <f t="shared" si="97"/>
        <v>800</v>
      </c>
      <c r="G390" s="5">
        <f t="shared" si="103"/>
        <v>1.01</v>
      </c>
      <c r="H390" s="6" t="str">
        <f t="shared" si="98"/>
        <v>INSERT INTO public.coupon (plancode, age, "year", couponrate, benefittype, benefitrate, premiumrate) VALUES('EN60', 58, 13, 8, 'A',800, 1.01);</v>
      </c>
      <c r="I390" s="6" t="str">
        <f t="shared" si="99"/>
        <v>{"age":"58", "year":"13", "couponrate":"8", "benefittype":"A", "benefitrate":"800", "premiumrate":"1.01"}</v>
      </c>
      <c r="J390" s="6" t="str">
        <f t="shared" si="100"/>
        <v>,</v>
      </c>
    </row>
    <row r="391" spans="1:10">
      <c r="A391" s="4" t="str">
        <f>'EN60'!A$3</f>
        <v>EN60</v>
      </c>
      <c r="B391" s="4">
        <f t="shared" si="101"/>
        <v>58</v>
      </c>
      <c r="C391" s="4">
        <f t="shared" si="102"/>
        <v>14</v>
      </c>
      <c r="D391" s="4">
        <f t="shared" si="96"/>
        <v>8</v>
      </c>
      <c r="E391" s="4" t="s">
        <v>27</v>
      </c>
      <c r="F391" s="4">
        <f t="shared" si="97"/>
        <v>800</v>
      </c>
      <c r="G391" s="5">
        <f t="shared" si="103"/>
        <v>1.01</v>
      </c>
      <c r="H391" s="6" t="str">
        <f t="shared" si="98"/>
        <v>INSERT INTO public.coupon (plancode, age, "year", couponrate, benefittype, benefitrate, premiumrate) VALUES('EN60', 58, 14, 8, 'A',800, 1.01);</v>
      </c>
      <c r="I391" s="6" t="str">
        <f t="shared" si="99"/>
        <v>{"age":"58", "year":"14", "couponrate":"8", "benefittype":"A", "benefitrate":"800", "premiumrate":"1.01"}</v>
      </c>
      <c r="J391" s="6" t="str">
        <f t="shared" si="100"/>
        <v>,</v>
      </c>
    </row>
    <row r="392" spans="1:10">
      <c r="A392" s="4" t="str">
        <f>'EN60'!A$3</f>
        <v>EN60</v>
      </c>
      <c r="B392" s="4">
        <f t="shared" si="101"/>
        <v>58</v>
      </c>
      <c r="C392" s="4">
        <f t="shared" si="102"/>
        <v>15</v>
      </c>
      <c r="D392" s="4">
        <f t="shared" si="96"/>
        <v>8</v>
      </c>
      <c r="E392" s="4" t="s">
        <v>27</v>
      </c>
      <c r="F392" s="4">
        <f t="shared" si="97"/>
        <v>800</v>
      </c>
      <c r="G392" s="5">
        <f t="shared" si="103"/>
        <v>1.01</v>
      </c>
      <c r="H392" s="6" t="str">
        <f t="shared" si="98"/>
        <v>INSERT INTO public.coupon (plancode, age, "year", couponrate, benefittype, benefitrate, premiumrate) VALUES('EN60', 58, 15, 8, 'A',800, 1.01);</v>
      </c>
      <c r="I392" s="6" t="str">
        <f t="shared" si="99"/>
        <v>{"age":"58", "year":"15", "couponrate":"8", "benefittype":"A", "benefitrate":"800", "premiumrate":"1.01"}</v>
      </c>
      <c r="J392" s="6" t="str">
        <f t="shared" si="100"/>
        <v>,</v>
      </c>
    </row>
    <row r="393" spans="1:10">
      <c r="A393" s="4" t="str">
        <f>'EN60'!A$3</f>
        <v>EN60</v>
      </c>
      <c r="B393" s="4">
        <f t="shared" si="101"/>
        <v>58</v>
      </c>
      <c r="C393" s="4">
        <f t="shared" si="102"/>
        <v>16</v>
      </c>
      <c r="D393" s="4">
        <f t="shared" si="96"/>
        <v>8</v>
      </c>
      <c r="E393" s="4" t="s">
        <v>27</v>
      </c>
      <c r="F393" s="4">
        <f t="shared" si="97"/>
        <v>800</v>
      </c>
      <c r="G393" s="5">
        <f t="shared" si="103"/>
        <v>1.01</v>
      </c>
      <c r="H393" s="6" t="str">
        <f t="shared" si="98"/>
        <v>INSERT INTO public.coupon (plancode, age, "year", couponrate, benefittype, benefitrate, premiumrate) VALUES('EN60', 58, 16, 8, 'A',800, 1.01);</v>
      </c>
      <c r="I393" s="6" t="str">
        <f t="shared" si="99"/>
        <v>{"age":"58", "year":"16", "couponrate":"8", "benefittype":"A", "benefitrate":"800", "premiumrate":"1.01"}</v>
      </c>
      <c r="J393" s="6" t="str">
        <f t="shared" si="100"/>
        <v>,</v>
      </c>
    </row>
    <row r="394" spans="1:10">
      <c r="A394" s="4" t="str">
        <f>'EN60'!A$3</f>
        <v>EN60</v>
      </c>
      <c r="B394" s="4">
        <f t="shared" si="101"/>
        <v>58</v>
      </c>
      <c r="C394" s="4">
        <f t="shared" si="102"/>
        <v>17</v>
      </c>
      <c r="D394" s="4">
        <f t="shared" si="96"/>
        <v>8</v>
      </c>
      <c r="E394" s="4" t="s">
        <v>27</v>
      </c>
      <c r="F394" s="4">
        <f t="shared" si="97"/>
        <v>800</v>
      </c>
      <c r="G394" s="5">
        <f t="shared" si="103"/>
        <v>1.01</v>
      </c>
      <c r="H394" s="6" t="str">
        <f t="shared" si="98"/>
        <v>INSERT INTO public.coupon (plancode, age, "year", couponrate, benefittype, benefitrate, premiumrate) VALUES('EN60', 58, 17, 8, 'A',800, 1.01);</v>
      </c>
      <c r="I394" s="6" t="str">
        <f t="shared" si="99"/>
        <v>{"age":"58", "year":"17", "couponrate":"8", "benefittype":"A", "benefitrate":"800", "premiumrate":"1.01"}</v>
      </c>
      <c r="J394" s="6" t="str">
        <f t="shared" si="100"/>
        <v>,</v>
      </c>
    </row>
    <row r="395" spans="1:10">
      <c r="A395" s="4" t="str">
        <f>'EN60'!A$3</f>
        <v>EN60</v>
      </c>
      <c r="B395" s="4">
        <f t="shared" si="101"/>
        <v>58</v>
      </c>
      <c r="C395" s="4">
        <f t="shared" si="102"/>
        <v>18</v>
      </c>
      <c r="D395" s="4">
        <f t="shared" si="96"/>
        <v>8</v>
      </c>
      <c r="E395" s="4" t="s">
        <v>27</v>
      </c>
      <c r="F395" s="4">
        <f t="shared" si="97"/>
        <v>800</v>
      </c>
      <c r="G395" s="5">
        <f t="shared" si="103"/>
        <v>1.01</v>
      </c>
      <c r="H395" s="6" t="str">
        <f t="shared" si="98"/>
        <v>INSERT INTO public.coupon (plancode, age, "year", couponrate, benefittype, benefitrate, premiumrate) VALUES('EN60', 58, 18, 8, 'A',800, 1.01);</v>
      </c>
      <c r="I395" s="6" t="str">
        <f t="shared" si="99"/>
        <v>{"age":"58", "year":"18", "couponrate":"8", "benefittype":"A", "benefitrate":"800", "premiumrate":"1.01"}</v>
      </c>
      <c r="J395" s="6" t="str">
        <f t="shared" si="100"/>
        <v>,</v>
      </c>
    </row>
    <row r="396" spans="1:10">
      <c r="A396" s="4" t="str">
        <f>'EN60'!A$3</f>
        <v>EN60</v>
      </c>
      <c r="B396" s="4">
        <f t="shared" si="101"/>
        <v>58</v>
      </c>
      <c r="C396" s="4">
        <f t="shared" si="102"/>
        <v>19</v>
      </c>
      <c r="D396" s="4">
        <f t="shared" si="96"/>
        <v>8</v>
      </c>
      <c r="E396" s="4" t="s">
        <v>27</v>
      </c>
      <c r="F396" s="4">
        <f t="shared" si="97"/>
        <v>800</v>
      </c>
      <c r="G396" s="5">
        <f t="shared" si="103"/>
        <v>1.01</v>
      </c>
      <c r="H396" s="6" t="str">
        <f t="shared" si="98"/>
        <v>INSERT INTO public.coupon (plancode, age, "year", couponrate, benefittype, benefitrate, premiumrate) VALUES('EN60', 58, 19, 8, 'A',800, 1.01);</v>
      </c>
      <c r="I396" s="6" t="str">
        <f t="shared" si="99"/>
        <v>{"age":"58", "year":"19", "couponrate":"8", "benefittype":"A", "benefitrate":"800", "premiumrate":"1.01"}</v>
      </c>
      <c r="J396" s="6" t="str">
        <f t="shared" si="100"/>
        <v>,</v>
      </c>
    </row>
    <row r="397" spans="1:10">
      <c r="A397" s="4" t="str">
        <f>'EN60'!A$3</f>
        <v>EN60</v>
      </c>
      <c r="B397" s="4">
        <f t="shared" si="101"/>
        <v>58</v>
      </c>
      <c r="C397" s="4">
        <f t="shared" si="102"/>
        <v>20</v>
      </c>
      <c r="D397" s="4">
        <f t="shared" si="96"/>
        <v>8</v>
      </c>
      <c r="E397" s="4" t="s">
        <v>27</v>
      </c>
      <c r="F397" s="4">
        <f t="shared" si="97"/>
        <v>800</v>
      </c>
      <c r="G397" s="5">
        <f t="shared" si="103"/>
        <v>1.01</v>
      </c>
      <c r="H397" s="6" t="str">
        <f t="shared" si="98"/>
        <v>INSERT INTO public.coupon (plancode, age, "year", couponrate, benefittype, benefitrate, premiumrate) VALUES('EN60', 58, 20, 8, 'A',800, 1.01);</v>
      </c>
      <c r="I397" s="6" t="str">
        <f t="shared" si="99"/>
        <v>{"age":"58", "year":"20", "couponrate":"8", "benefittype":"A", "benefitrate":"800", "premiumrate":"1.01"}</v>
      </c>
      <c r="J397" s="6" t="str">
        <f t="shared" si="100"/>
        <v>,</v>
      </c>
    </row>
    <row r="398" spans="1:10">
      <c r="A398" s="4" t="str">
        <f>'EN60'!A$3</f>
        <v>EN60</v>
      </c>
      <c r="B398" s="4">
        <f t="shared" si="101"/>
        <v>58</v>
      </c>
      <c r="C398" s="4">
        <f t="shared" si="102"/>
        <v>21</v>
      </c>
      <c r="D398" s="4">
        <f t="shared" si="96"/>
        <v>8</v>
      </c>
      <c r="E398" s="4" t="s">
        <v>27</v>
      </c>
      <c r="F398" s="4">
        <f t="shared" si="97"/>
        <v>800</v>
      </c>
      <c r="G398" s="5">
        <f t="shared" si="103"/>
        <v>1.01</v>
      </c>
      <c r="H398" s="6" t="str">
        <f t="shared" si="98"/>
        <v>INSERT INTO public.coupon (plancode, age, "year", couponrate, benefittype, benefitrate, premiumrate) VALUES('EN60', 58, 21, 8, 'A',800, 1.01);</v>
      </c>
      <c r="I398" s="6" t="str">
        <f t="shared" si="99"/>
        <v>{"age":"58", "year":"21", "couponrate":"8", "benefittype":"A", "benefitrate":"800", "premiumrate":"1.01"}</v>
      </c>
      <c r="J398" s="6" t="str">
        <f t="shared" si="100"/>
        <v>,</v>
      </c>
    </row>
    <row r="399" spans="1:10">
      <c r="A399" s="4" t="str">
        <f>'EN60'!A$3</f>
        <v>EN60</v>
      </c>
      <c r="B399" s="4">
        <f t="shared" si="101"/>
        <v>58</v>
      </c>
      <c r="C399" s="4">
        <f t="shared" si="102"/>
        <v>22</v>
      </c>
      <c r="D399" s="4">
        <f t="shared" si="96"/>
        <v>0</v>
      </c>
      <c r="E399" s="4" t="s">
        <v>27</v>
      </c>
      <c r="F399" s="4">
        <f t="shared" si="97"/>
        <v>800</v>
      </c>
      <c r="G399" s="5">
        <f t="shared" si="103"/>
        <v>1.01</v>
      </c>
      <c r="H399" s="6" t="str">
        <f t="shared" si="98"/>
        <v>INSERT INTO public.coupon (plancode, age, "year", couponrate, benefittype, benefitrate, premiumrate) VALUES('EN60', 58, 22, 0, 'A',800, 1.01);</v>
      </c>
      <c r="I399" s="6" t="str">
        <f t="shared" si="99"/>
        <v>{"age":"58", "year":"22", "couponrate":"0", "benefittype":"A", "benefitrate":"800", "premiumrate":"1.01"}</v>
      </c>
    </row>
    <row r="400" spans="1:10">
      <c r="C400" s="6"/>
      <c r="I400" s="6" t="s">
        <v>28</v>
      </c>
    </row>
    <row r="401" spans="1:10">
      <c r="A401" s="3" t="s">
        <v>2</v>
      </c>
      <c r="B401" s="3" t="s">
        <v>23</v>
      </c>
      <c r="C401" s="3" t="s">
        <v>24</v>
      </c>
      <c r="D401" s="3" t="s">
        <v>25</v>
      </c>
      <c r="E401" s="3" t="s">
        <v>8</v>
      </c>
      <c r="F401" s="3" t="s">
        <v>26</v>
      </c>
      <c r="G401" s="3" t="s">
        <v>4</v>
      </c>
      <c r="I401" s="6" t="str">
        <f>"[{""plancode"":"""&amp;A402&amp;""",""returncash"":"""&amp;B$7&amp;""",""ytable"":"""&amp;C$7&amp;""",""maturerate"":"""&amp;B$3&amp;""",""maturepmrate"":"""&amp;C$3&amp;""",""coupon"":["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402" spans="1:10">
      <c r="A402" s="4" t="str">
        <f>'EN60'!A$3</f>
        <v>EN60</v>
      </c>
      <c r="B402" s="8">
        <v>59</v>
      </c>
      <c r="C402" s="4">
        <v>1</v>
      </c>
      <c r="D402" s="4">
        <f t="shared" ref="D402:D422" si="104">IF(C402+B402=80,0,8)</f>
        <v>8</v>
      </c>
      <c r="E402" s="4" t="s">
        <v>27</v>
      </c>
      <c r="F402" s="4">
        <f t="shared" ref="F402:F422" si="105">IF(C402&gt;7, 800, C402*100)</f>
        <v>100</v>
      </c>
      <c r="G402" s="5">
        <f>'EN60'!C$3</f>
        <v>1.01</v>
      </c>
      <c r="H402" s="6" t="str">
        <f t="shared" ref="H402:H422" si="106">"INSERT INTO public.coupon ("&amp;A$11&amp;", "&amp;B$11&amp;", """&amp;C$11&amp;""", "&amp;D$11&amp;", "&amp;E$11&amp;", "&amp;F$11&amp;", "&amp;G$11&amp;") VALUES('"&amp;A402&amp;"', "&amp;B402&amp;", "&amp;C402&amp;", "&amp;D402&amp;", '"&amp;E402&amp;"',"&amp;F402&amp;", "&amp;G402&amp;");"</f>
        <v>INSERT INTO public.coupon (plancode, age, "year", couponrate, benefittype, benefitrate, premiumrate) VALUES('EN60', 59, 1, 8, 'A',100, 1.01);</v>
      </c>
      <c r="I402" s="6" t="str">
        <f t="shared" ref="I402:I422" si="107">"{""age"":"""&amp;B402&amp;""", ""year"":"""&amp;C402&amp;""", ""couponrate"":"""&amp;D402&amp;""", ""benefittype"":"""&amp;E402&amp;""", ""benefitrate"":"""&amp;F402&amp;""", """&amp;G$11&amp;""":"""&amp;G402&amp;"""}"</f>
        <v>{"age":"59", "year":"1", "couponrate":"8", "benefittype":"A", "benefitrate":"100", "premiumrate":"1.01"}</v>
      </c>
      <c r="J402" s="6" t="str">
        <f t="shared" ref="J402:J421" si="108">IF(OR(I403="]", I402="[", I402="]"), "", ",")</f>
        <v>,</v>
      </c>
    </row>
    <row r="403" spans="1:10">
      <c r="A403" s="4" t="str">
        <f>'EN60'!A$3</f>
        <v>EN60</v>
      </c>
      <c r="B403" s="4">
        <f t="shared" ref="B403:B422" si="109">B402</f>
        <v>59</v>
      </c>
      <c r="C403" s="4">
        <f t="shared" ref="C403:C422" si="110">IF(B403+C402+1&gt;80,"",C402+1)</f>
        <v>2</v>
      </c>
      <c r="D403" s="4">
        <f t="shared" si="104"/>
        <v>8</v>
      </c>
      <c r="E403" s="4" t="s">
        <v>27</v>
      </c>
      <c r="F403" s="4">
        <f t="shared" si="105"/>
        <v>200</v>
      </c>
      <c r="G403" s="5">
        <f t="shared" ref="G403:G422" si="111">G402</f>
        <v>1.01</v>
      </c>
      <c r="H403" s="6" t="str">
        <f t="shared" si="106"/>
        <v>INSERT INTO public.coupon (plancode, age, "year", couponrate, benefittype, benefitrate, premiumrate) VALUES('EN60', 59, 2, 8, 'A',200, 1.01);</v>
      </c>
      <c r="I403" s="6" t="str">
        <f t="shared" si="107"/>
        <v>{"age":"59", "year":"2", "couponrate":"8", "benefittype":"A", "benefitrate":"200", "premiumrate":"1.01"}</v>
      </c>
      <c r="J403" s="6" t="str">
        <f t="shared" si="108"/>
        <v>,</v>
      </c>
    </row>
    <row r="404" spans="1:10">
      <c r="A404" s="4" t="str">
        <f>'EN60'!A$3</f>
        <v>EN60</v>
      </c>
      <c r="B404" s="4">
        <f t="shared" si="109"/>
        <v>59</v>
      </c>
      <c r="C404" s="4">
        <f t="shared" si="110"/>
        <v>3</v>
      </c>
      <c r="D404" s="4">
        <f t="shared" si="104"/>
        <v>8</v>
      </c>
      <c r="E404" s="4" t="s">
        <v>27</v>
      </c>
      <c r="F404" s="4">
        <f t="shared" si="105"/>
        <v>300</v>
      </c>
      <c r="G404" s="5">
        <f t="shared" si="111"/>
        <v>1.01</v>
      </c>
      <c r="H404" s="6" t="str">
        <f t="shared" si="106"/>
        <v>INSERT INTO public.coupon (plancode, age, "year", couponrate, benefittype, benefitrate, premiumrate) VALUES('EN60', 59, 3, 8, 'A',300, 1.01);</v>
      </c>
      <c r="I404" s="6" t="str">
        <f t="shared" si="107"/>
        <v>{"age":"59", "year":"3", "couponrate":"8", "benefittype":"A", "benefitrate":"300", "premiumrate":"1.01"}</v>
      </c>
      <c r="J404" s="6" t="str">
        <f t="shared" si="108"/>
        <v>,</v>
      </c>
    </row>
    <row r="405" spans="1:10">
      <c r="A405" s="4" t="str">
        <f>'EN60'!A$3</f>
        <v>EN60</v>
      </c>
      <c r="B405" s="4">
        <f t="shared" si="109"/>
        <v>59</v>
      </c>
      <c r="C405" s="4">
        <f t="shared" si="110"/>
        <v>4</v>
      </c>
      <c r="D405" s="4">
        <f t="shared" si="104"/>
        <v>8</v>
      </c>
      <c r="E405" s="4" t="s">
        <v>27</v>
      </c>
      <c r="F405" s="4">
        <f t="shared" si="105"/>
        <v>400</v>
      </c>
      <c r="G405" s="5">
        <f t="shared" si="111"/>
        <v>1.01</v>
      </c>
      <c r="H405" s="6" t="str">
        <f t="shared" si="106"/>
        <v>INSERT INTO public.coupon (plancode, age, "year", couponrate, benefittype, benefitrate, premiumrate) VALUES('EN60', 59, 4, 8, 'A',400, 1.01);</v>
      </c>
      <c r="I405" s="6" t="str">
        <f t="shared" si="107"/>
        <v>{"age":"59", "year":"4", "couponrate":"8", "benefittype":"A", "benefitrate":"400", "premiumrate":"1.01"}</v>
      </c>
      <c r="J405" s="6" t="str">
        <f t="shared" si="108"/>
        <v>,</v>
      </c>
    </row>
    <row r="406" spans="1:10">
      <c r="A406" s="4" t="str">
        <f>'EN60'!A$3</f>
        <v>EN60</v>
      </c>
      <c r="B406" s="4">
        <f t="shared" si="109"/>
        <v>59</v>
      </c>
      <c r="C406" s="4">
        <f t="shared" si="110"/>
        <v>5</v>
      </c>
      <c r="D406" s="4">
        <f t="shared" si="104"/>
        <v>8</v>
      </c>
      <c r="E406" s="4" t="s">
        <v>27</v>
      </c>
      <c r="F406" s="4">
        <f t="shared" si="105"/>
        <v>500</v>
      </c>
      <c r="G406" s="5">
        <f t="shared" si="111"/>
        <v>1.01</v>
      </c>
      <c r="H406" s="6" t="str">
        <f t="shared" si="106"/>
        <v>INSERT INTO public.coupon (plancode, age, "year", couponrate, benefittype, benefitrate, premiumrate) VALUES('EN60', 59, 5, 8, 'A',500, 1.01);</v>
      </c>
      <c r="I406" s="6" t="str">
        <f t="shared" si="107"/>
        <v>{"age":"59", "year":"5", "couponrate":"8", "benefittype":"A", "benefitrate":"500", "premiumrate":"1.01"}</v>
      </c>
      <c r="J406" s="6" t="str">
        <f t="shared" si="108"/>
        <v>,</v>
      </c>
    </row>
    <row r="407" spans="1:10">
      <c r="A407" s="4" t="str">
        <f>'EN60'!A$3</f>
        <v>EN60</v>
      </c>
      <c r="B407" s="4">
        <f t="shared" si="109"/>
        <v>59</v>
      </c>
      <c r="C407" s="4">
        <f t="shared" si="110"/>
        <v>6</v>
      </c>
      <c r="D407" s="4">
        <f t="shared" si="104"/>
        <v>8</v>
      </c>
      <c r="E407" s="4" t="s">
        <v>27</v>
      </c>
      <c r="F407" s="4">
        <f t="shared" si="105"/>
        <v>600</v>
      </c>
      <c r="G407" s="5">
        <f t="shared" si="111"/>
        <v>1.01</v>
      </c>
      <c r="H407" s="6" t="str">
        <f t="shared" si="106"/>
        <v>INSERT INTO public.coupon (plancode, age, "year", couponrate, benefittype, benefitrate, premiumrate) VALUES('EN60', 59, 6, 8, 'A',600, 1.01);</v>
      </c>
      <c r="I407" s="6" t="str">
        <f t="shared" si="107"/>
        <v>{"age":"59", "year":"6", "couponrate":"8", "benefittype":"A", "benefitrate":"600", "premiumrate":"1.01"}</v>
      </c>
      <c r="J407" s="6" t="str">
        <f t="shared" si="108"/>
        <v>,</v>
      </c>
    </row>
    <row r="408" spans="1:10">
      <c r="A408" s="4" t="str">
        <f>'EN60'!A$3</f>
        <v>EN60</v>
      </c>
      <c r="B408" s="4">
        <f t="shared" si="109"/>
        <v>59</v>
      </c>
      <c r="C408" s="4">
        <f t="shared" si="110"/>
        <v>7</v>
      </c>
      <c r="D408" s="4">
        <f t="shared" si="104"/>
        <v>8</v>
      </c>
      <c r="E408" s="4" t="s">
        <v>27</v>
      </c>
      <c r="F408" s="4">
        <f t="shared" si="105"/>
        <v>700</v>
      </c>
      <c r="G408" s="5">
        <f t="shared" si="111"/>
        <v>1.01</v>
      </c>
      <c r="H408" s="6" t="str">
        <f t="shared" si="106"/>
        <v>INSERT INTO public.coupon (plancode, age, "year", couponrate, benefittype, benefitrate, premiumrate) VALUES('EN60', 59, 7, 8, 'A',700, 1.01);</v>
      </c>
      <c r="I408" s="6" t="str">
        <f t="shared" si="107"/>
        <v>{"age":"59", "year":"7", "couponrate":"8", "benefittype":"A", "benefitrate":"700", "premiumrate":"1.01"}</v>
      </c>
      <c r="J408" s="6" t="str">
        <f t="shared" si="108"/>
        <v>,</v>
      </c>
    </row>
    <row r="409" spans="1:10">
      <c r="A409" s="4" t="str">
        <f>'EN60'!A$3</f>
        <v>EN60</v>
      </c>
      <c r="B409" s="4">
        <f t="shared" si="109"/>
        <v>59</v>
      </c>
      <c r="C409" s="4">
        <f t="shared" si="110"/>
        <v>8</v>
      </c>
      <c r="D409" s="4">
        <f t="shared" si="104"/>
        <v>8</v>
      </c>
      <c r="E409" s="4" t="s">
        <v>27</v>
      </c>
      <c r="F409" s="4">
        <f t="shared" si="105"/>
        <v>800</v>
      </c>
      <c r="G409" s="5">
        <f t="shared" si="111"/>
        <v>1.01</v>
      </c>
      <c r="H409" s="6" t="str">
        <f t="shared" si="106"/>
        <v>INSERT INTO public.coupon (plancode, age, "year", couponrate, benefittype, benefitrate, premiumrate) VALUES('EN60', 59, 8, 8, 'A',800, 1.01);</v>
      </c>
      <c r="I409" s="6" t="str">
        <f t="shared" si="107"/>
        <v>{"age":"59", "year":"8", "couponrate":"8", "benefittype":"A", "benefitrate":"800", "premiumrate":"1.01"}</v>
      </c>
      <c r="J409" s="6" t="str">
        <f t="shared" si="108"/>
        <v>,</v>
      </c>
    </row>
    <row r="410" spans="1:10">
      <c r="A410" s="4" t="str">
        <f>'EN60'!A$3</f>
        <v>EN60</v>
      </c>
      <c r="B410" s="4">
        <f t="shared" si="109"/>
        <v>59</v>
      </c>
      <c r="C410" s="4">
        <f t="shared" si="110"/>
        <v>9</v>
      </c>
      <c r="D410" s="4">
        <f t="shared" si="104"/>
        <v>8</v>
      </c>
      <c r="E410" s="4" t="s">
        <v>27</v>
      </c>
      <c r="F410" s="4">
        <f t="shared" si="105"/>
        <v>800</v>
      </c>
      <c r="G410" s="5">
        <f t="shared" si="111"/>
        <v>1.01</v>
      </c>
      <c r="H410" s="6" t="str">
        <f t="shared" si="106"/>
        <v>INSERT INTO public.coupon (plancode, age, "year", couponrate, benefittype, benefitrate, premiumrate) VALUES('EN60', 59, 9, 8, 'A',800, 1.01);</v>
      </c>
      <c r="I410" s="6" t="str">
        <f t="shared" si="107"/>
        <v>{"age":"59", "year":"9", "couponrate":"8", "benefittype":"A", "benefitrate":"800", "premiumrate":"1.01"}</v>
      </c>
      <c r="J410" s="6" t="str">
        <f t="shared" si="108"/>
        <v>,</v>
      </c>
    </row>
    <row r="411" spans="1:10">
      <c r="A411" s="4" t="str">
        <f>'EN60'!A$3</f>
        <v>EN60</v>
      </c>
      <c r="B411" s="4">
        <f t="shared" si="109"/>
        <v>59</v>
      </c>
      <c r="C411" s="4">
        <f t="shared" si="110"/>
        <v>10</v>
      </c>
      <c r="D411" s="4">
        <f t="shared" si="104"/>
        <v>8</v>
      </c>
      <c r="E411" s="4" t="s">
        <v>27</v>
      </c>
      <c r="F411" s="4">
        <f t="shared" si="105"/>
        <v>800</v>
      </c>
      <c r="G411" s="5">
        <f t="shared" si="111"/>
        <v>1.01</v>
      </c>
      <c r="H411" s="6" t="str">
        <f t="shared" si="106"/>
        <v>INSERT INTO public.coupon (plancode, age, "year", couponrate, benefittype, benefitrate, premiumrate) VALUES('EN60', 59, 10, 8, 'A',800, 1.01);</v>
      </c>
      <c r="I411" s="6" t="str">
        <f t="shared" si="107"/>
        <v>{"age":"59", "year":"10", "couponrate":"8", "benefittype":"A", "benefitrate":"800", "premiumrate":"1.01"}</v>
      </c>
      <c r="J411" s="6" t="str">
        <f t="shared" si="108"/>
        <v>,</v>
      </c>
    </row>
    <row r="412" spans="1:10">
      <c r="A412" s="4" t="str">
        <f>'EN60'!A$3</f>
        <v>EN60</v>
      </c>
      <c r="B412" s="4">
        <f t="shared" si="109"/>
        <v>59</v>
      </c>
      <c r="C412" s="4">
        <f t="shared" si="110"/>
        <v>11</v>
      </c>
      <c r="D412" s="4">
        <f t="shared" si="104"/>
        <v>8</v>
      </c>
      <c r="E412" s="4" t="s">
        <v>27</v>
      </c>
      <c r="F412" s="4">
        <f t="shared" si="105"/>
        <v>800</v>
      </c>
      <c r="G412" s="5">
        <f t="shared" si="111"/>
        <v>1.01</v>
      </c>
      <c r="H412" s="6" t="str">
        <f t="shared" si="106"/>
        <v>INSERT INTO public.coupon (plancode, age, "year", couponrate, benefittype, benefitrate, premiumrate) VALUES('EN60', 59, 11, 8, 'A',800, 1.01);</v>
      </c>
      <c r="I412" s="6" t="str">
        <f t="shared" si="107"/>
        <v>{"age":"59", "year":"11", "couponrate":"8", "benefittype":"A", "benefitrate":"800", "premiumrate":"1.01"}</v>
      </c>
      <c r="J412" s="6" t="str">
        <f t="shared" si="108"/>
        <v>,</v>
      </c>
    </row>
    <row r="413" spans="1:10">
      <c r="A413" s="4" t="str">
        <f>'EN60'!A$3</f>
        <v>EN60</v>
      </c>
      <c r="B413" s="4">
        <f t="shared" si="109"/>
        <v>59</v>
      </c>
      <c r="C413" s="4">
        <f t="shared" si="110"/>
        <v>12</v>
      </c>
      <c r="D413" s="4">
        <f t="shared" si="104"/>
        <v>8</v>
      </c>
      <c r="E413" s="4" t="s">
        <v>27</v>
      </c>
      <c r="F413" s="4">
        <f t="shared" si="105"/>
        <v>800</v>
      </c>
      <c r="G413" s="5">
        <f t="shared" si="111"/>
        <v>1.01</v>
      </c>
      <c r="H413" s="6" t="str">
        <f t="shared" si="106"/>
        <v>INSERT INTO public.coupon (plancode, age, "year", couponrate, benefittype, benefitrate, premiumrate) VALUES('EN60', 59, 12, 8, 'A',800, 1.01);</v>
      </c>
      <c r="I413" s="6" t="str">
        <f t="shared" si="107"/>
        <v>{"age":"59", "year":"12", "couponrate":"8", "benefittype":"A", "benefitrate":"800", "premiumrate":"1.01"}</v>
      </c>
      <c r="J413" s="6" t="str">
        <f t="shared" si="108"/>
        <v>,</v>
      </c>
    </row>
    <row r="414" spans="1:10">
      <c r="A414" s="4" t="str">
        <f>'EN60'!A$3</f>
        <v>EN60</v>
      </c>
      <c r="B414" s="4">
        <f t="shared" si="109"/>
        <v>59</v>
      </c>
      <c r="C414" s="4">
        <f t="shared" si="110"/>
        <v>13</v>
      </c>
      <c r="D414" s="4">
        <f t="shared" si="104"/>
        <v>8</v>
      </c>
      <c r="E414" s="4" t="s">
        <v>27</v>
      </c>
      <c r="F414" s="4">
        <f t="shared" si="105"/>
        <v>800</v>
      </c>
      <c r="G414" s="5">
        <f t="shared" si="111"/>
        <v>1.01</v>
      </c>
      <c r="H414" s="6" t="str">
        <f t="shared" si="106"/>
        <v>INSERT INTO public.coupon (plancode, age, "year", couponrate, benefittype, benefitrate, premiumrate) VALUES('EN60', 59, 13, 8, 'A',800, 1.01);</v>
      </c>
      <c r="I414" s="6" t="str">
        <f t="shared" si="107"/>
        <v>{"age":"59", "year":"13", "couponrate":"8", "benefittype":"A", "benefitrate":"800", "premiumrate":"1.01"}</v>
      </c>
      <c r="J414" s="6" t="str">
        <f t="shared" si="108"/>
        <v>,</v>
      </c>
    </row>
    <row r="415" spans="1:10">
      <c r="A415" s="4" t="str">
        <f>'EN60'!A$3</f>
        <v>EN60</v>
      </c>
      <c r="B415" s="4">
        <f t="shared" si="109"/>
        <v>59</v>
      </c>
      <c r="C415" s="4">
        <f t="shared" si="110"/>
        <v>14</v>
      </c>
      <c r="D415" s="4">
        <f t="shared" si="104"/>
        <v>8</v>
      </c>
      <c r="E415" s="4" t="s">
        <v>27</v>
      </c>
      <c r="F415" s="4">
        <f t="shared" si="105"/>
        <v>800</v>
      </c>
      <c r="G415" s="5">
        <f t="shared" si="111"/>
        <v>1.01</v>
      </c>
      <c r="H415" s="6" t="str">
        <f t="shared" si="106"/>
        <v>INSERT INTO public.coupon (plancode, age, "year", couponrate, benefittype, benefitrate, premiumrate) VALUES('EN60', 59, 14, 8, 'A',800, 1.01);</v>
      </c>
      <c r="I415" s="6" t="str">
        <f t="shared" si="107"/>
        <v>{"age":"59", "year":"14", "couponrate":"8", "benefittype":"A", "benefitrate":"800", "premiumrate":"1.01"}</v>
      </c>
      <c r="J415" s="6" t="str">
        <f t="shared" si="108"/>
        <v>,</v>
      </c>
    </row>
    <row r="416" spans="1:10">
      <c r="A416" s="4" t="str">
        <f>'EN60'!A$3</f>
        <v>EN60</v>
      </c>
      <c r="B416" s="4">
        <f t="shared" si="109"/>
        <v>59</v>
      </c>
      <c r="C416" s="4">
        <f t="shared" si="110"/>
        <v>15</v>
      </c>
      <c r="D416" s="4">
        <f t="shared" si="104"/>
        <v>8</v>
      </c>
      <c r="E416" s="4" t="s">
        <v>27</v>
      </c>
      <c r="F416" s="4">
        <f t="shared" si="105"/>
        <v>800</v>
      </c>
      <c r="G416" s="5">
        <f t="shared" si="111"/>
        <v>1.01</v>
      </c>
      <c r="H416" s="6" t="str">
        <f t="shared" si="106"/>
        <v>INSERT INTO public.coupon (plancode, age, "year", couponrate, benefittype, benefitrate, premiumrate) VALUES('EN60', 59, 15, 8, 'A',800, 1.01);</v>
      </c>
      <c r="I416" s="6" t="str">
        <f t="shared" si="107"/>
        <v>{"age":"59", "year":"15", "couponrate":"8", "benefittype":"A", "benefitrate":"800", "premiumrate":"1.01"}</v>
      </c>
      <c r="J416" s="6" t="str">
        <f t="shared" si="108"/>
        <v>,</v>
      </c>
    </row>
    <row r="417" spans="1:10">
      <c r="A417" s="4" t="str">
        <f>'EN60'!A$3</f>
        <v>EN60</v>
      </c>
      <c r="B417" s="4">
        <f t="shared" si="109"/>
        <v>59</v>
      </c>
      <c r="C417" s="4">
        <f t="shared" si="110"/>
        <v>16</v>
      </c>
      <c r="D417" s="4">
        <f t="shared" si="104"/>
        <v>8</v>
      </c>
      <c r="E417" s="4" t="s">
        <v>27</v>
      </c>
      <c r="F417" s="4">
        <f t="shared" si="105"/>
        <v>800</v>
      </c>
      <c r="G417" s="5">
        <f t="shared" si="111"/>
        <v>1.01</v>
      </c>
      <c r="H417" s="6" t="str">
        <f t="shared" si="106"/>
        <v>INSERT INTO public.coupon (plancode, age, "year", couponrate, benefittype, benefitrate, premiumrate) VALUES('EN60', 59, 16, 8, 'A',800, 1.01);</v>
      </c>
      <c r="I417" s="6" t="str">
        <f t="shared" si="107"/>
        <v>{"age":"59", "year":"16", "couponrate":"8", "benefittype":"A", "benefitrate":"800", "premiumrate":"1.01"}</v>
      </c>
      <c r="J417" s="6" t="str">
        <f t="shared" si="108"/>
        <v>,</v>
      </c>
    </row>
    <row r="418" spans="1:10">
      <c r="A418" s="4" t="str">
        <f>'EN60'!A$3</f>
        <v>EN60</v>
      </c>
      <c r="B418" s="4">
        <f t="shared" si="109"/>
        <v>59</v>
      </c>
      <c r="C418" s="4">
        <f t="shared" si="110"/>
        <v>17</v>
      </c>
      <c r="D418" s="4">
        <f t="shared" si="104"/>
        <v>8</v>
      </c>
      <c r="E418" s="4" t="s">
        <v>27</v>
      </c>
      <c r="F418" s="4">
        <f t="shared" si="105"/>
        <v>800</v>
      </c>
      <c r="G418" s="5">
        <f t="shared" si="111"/>
        <v>1.01</v>
      </c>
      <c r="H418" s="6" t="str">
        <f t="shared" si="106"/>
        <v>INSERT INTO public.coupon (plancode, age, "year", couponrate, benefittype, benefitrate, premiumrate) VALUES('EN60', 59, 17, 8, 'A',800, 1.01);</v>
      </c>
      <c r="I418" s="6" t="str">
        <f t="shared" si="107"/>
        <v>{"age":"59", "year":"17", "couponrate":"8", "benefittype":"A", "benefitrate":"800", "premiumrate":"1.01"}</v>
      </c>
      <c r="J418" s="6" t="str">
        <f t="shared" si="108"/>
        <v>,</v>
      </c>
    </row>
    <row r="419" spans="1:10">
      <c r="A419" s="4" t="str">
        <f>'EN60'!A$3</f>
        <v>EN60</v>
      </c>
      <c r="B419" s="4">
        <f t="shared" si="109"/>
        <v>59</v>
      </c>
      <c r="C419" s="4">
        <f t="shared" si="110"/>
        <v>18</v>
      </c>
      <c r="D419" s="4">
        <f t="shared" si="104"/>
        <v>8</v>
      </c>
      <c r="E419" s="4" t="s">
        <v>27</v>
      </c>
      <c r="F419" s="4">
        <f t="shared" si="105"/>
        <v>800</v>
      </c>
      <c r="G419" s="5">
        <f t="shared" si="111"/>
        <v>1.01</v>
      </c>
      <c r="H419" s="6" t="str">
        <f t="shared" si="106"/>
        <v>INSERT INTO public.coupon (plancode, age, "year", couponrate, benefittype, benefitrate, premiumrate) VALUES('EN60', 59, 18, 8, 'A',800, 1.01);</v>
      </c>
      <c r="I419" s="6" t="str">
        <f t="shared" si="107"/>
        <v>{"age":"59", "year":"18", "couponrate":"8", "benefittype":"A", "benefitrate":"800", "premiumrate":"1.01"}</v>
      </c>
      <c r="J419" s="6" t="str">
        <f t="shared" si="108"/>
        <v>,</v>
      </c>
    </row>
    <row r="420" spans="1:10">
      <c r="A420" s="4" t="str">
        <f>'EN60'!A$3</f>
        <v>EN60</v>
      </c>
      <c r="B420" s="4">
        <f t="shared" si="109"/>
        <v>59</v>
      </c>
      <c r="C420" s="4">
        <f t="shared" si="110"/>
        <v>19</v>
      </c>
      <c r="D420" s="4">
        <f t="shared" si="104"/>
        <v>8</v>
      </c>
      <c r="E420" s="4" t="s">
        <v>27</v>
      </c>
      <c r="F420" s="4">
        <f t="shared" si="105"/>
        <v>800</v>
      </c>
      <c r="G420" s="5">
        <f t="shared" si="111"/>
        <v>1.01</v>
      </c>
      <c r="H420" s="6" t="str">
        <f t="shared" si="106"/>
        <v>INSERT INTO public.coupon (plancode, age, "year", couponrate, benefittype, benefitrate, premiumrate) VALUES('EN60', 59, 19, 8, 'A',800, 1.01);</v>
      </c>
      <c r="I420" s="6" t="str">
        <f t="shared" si="107"/>
        <v>{"age":"59", "year":"19", "couponrate":"8", "benefittype":"A", "benefitrate":"800", "premiumrate":"1.01"}</v>
      </c>
      <c r="J420" s="6" t="str">
        <f t="shared" si="108"/>
        <v>,</v>
      </c>
    </row>
    <row r="421" spans="1:10">
      <c r="A421" s="4" t="str">
        <f>'EN60'!A$3</f>
        <v>EN60</v>
      </c>
      <c r="B421" s="4">
        <f t="shared" si="109"/>
        <v>59</v>
      </c>
      <c r="C421" s="4">
        <f t="shared" si="110"/>
        <v>20</v>
      </c>
      <c r="D421" s="4">
        <f t="shared" si="104"/>
        <v>8</v>
      </c>
      <c r="E421" s="4" t="s">
        <v>27</v>
      </c>
      <c r="F421" s="4">
        <f t="shared" si="105"/>
        <v>800</v>
      </c>
      <c r="G421" s="5">
        <f t="shared" si="111"/>
        <v>1.01</v>
      </c>
      <c r="H421" s="6" t="str">
        <f t="shared" si="106"/>
        <v>INSERT INTO public.coupon (plancode, age, "year", couponrate, benefittype, benefitrate, premiumrate) VALUES('EN60', 59, 20, 8, 'A',800, 1.01);</v>
      </c>
      <c r="I421" s="6" t="str">
        <f t="shared" si="107"/>
        <v>{"age":"59", "year":"20", "couponrate":"8", "benefittype":"A", "benefitrate":"800", "premiumrate":"1.01"}</v>
      </c>
      <c r="J421" s="6" t="str">
        <f t="shared" si="108"/>
        <v>,</v>
      </c>
    </row>
    <row r="422" spans="1:10">
      <c r="A422" s="4" t="str">
        <f>'EN60'!A$3</f>
        <v>EN60</v>
      </c>
      <c r="B422" s="4">
        <f t="shared" si="109"/>
        <v>59</v>
      </c>
      <c r="C422" s="4">
        <f t="shared" si="110"/>
        <v>21</v>
      </c>
      <c r="D422" s="4">
        <f t="shared" si="104"/>
        <v>0</v>
      </c>
      <c r="E422" s="4" t="s">
        <v>27</v>
      </c>
      <c r="F422" s="4">
        <f t="shared" si="105"/>
        <v>800</v>
      </c>
      <c r="G422" s="5">
        <f t="shared" si="111"/>
        <v>1.01</v>
      </c>
      <c r="H422" s="6" t="str">
        <f t="shared" si="106"/>
        <v>INSERT INTO public.coupon (plancode, age, "year", couponrate, benefittype, benefitrate, premiumrate) VALUES('EN60', 59, 21, 0, 'A',800, 1.01);</v>
      </c>
      <c r="I422" s="6" t="str">
        <f t="shared" si="107"/>
        <v>{"age":"59", "year":"21", "couponrate":"0", "benefittype":"A", "benefitrate":"800", "premiumrate":"1.01"}</v>
      </c>
    </row>
    <row r="423" spans="1:10">
      <c r="C423" s="6"/>
      <c r="I423" s="6" t="s">
        <v>28</v>
      </c>
    </row>
    <row r="424" spans="1:10">
      <c r="A424" s="3" t="s">
        <v>2</v>
      </c>
      <c r="B424" s="3" t="s">
        <v>23</v>
      </c>
      <c r="C424" s="3" t="s">
        <v>24</v>
      </c>
      <c r="D424" s="3" t="s">
        <v>25</v>
      </c>
      <c r="E424" s="3" t="s">
        <v>8</v>
      </c>
      <c r="F424" s="3" t="s">
        <v>26</v>
      </c>
      <c r="G424" s="3" t="s">
        <v>4</v>
      </c>
      <c r="I424" s="6" t="str">
        <f>"[{""plancode"":"""&amp;A425&amp;""",""returncash"":"""&amp;B$7&amp;""",""ytable"":"""&amp;C$7&amp;""",""maturerate"":"""&amp;B$3&amp;""",""maturepmrate"":"""&amp;C$3&amp;""",""coupon"":["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425" spans="1:10">
      <c r="A425" s="4" t="str">
        <f>'EN60'!A$3</f>
        <v>EN60</v>
      </c>
      <c r="B425" s="8">
        <v>60</v>
      </c>
      <c r="C425" s="4">
        <v>1</v>
      </c>
      <c r="D425" s="4">
        <f t="shared" ref="D425:D444" si="112">IF(C425+B425=80,0,8)</f>
        <v>8</v>
      </c>
      <c r="E425" s="4" t="s">
        <v>27</v>
      </c>
      <c r="F425" s="4">
        <f t="shared" ref="F425:F444" si="113">IF(C425&gt;7, 800, C425*100)</f>
        <v>100</v>
      </c>
      <c r="G425" s="5">
        <f>'EN60'!C$3</f>
        <v>1.01</v>
      </c>
      <c r="H425" s="6" t="str">
        <f t="shared" ref="H425:H444" si="114">"INSERT INTO public.coupon ("&amp;A$11&amp;", "&amp;B$11&amp;", """&amp;C$11&amp;""", "&amp;D$11&amp;", "&amp;E$11&amp;", "&amp;F$11&amp;", "&amp;G$11&amp;") VALUES('"&amp;A425&amp;"', "&amp;B425&amp;", "&amp;C425&amp;", "&amp;D425&amp;", '"&amp;E425&amp;"',"&amp;F425&amp;", "&amp;G425&amp;");"</f>
        <v>INSERT INTO public.coupon (plancode, age, "year", couponrate, benefittype, benefitrate, premiumrate) VALUES('EN60', 60, 1, 8, 'A',100, 1.01);</v>
      </c>
      <c r="I425" s="6" t="str">
        <f t="shared" ref="I425:I444" si="115">"{""age"":"""&amp;B425&amp;""", ""year"":"""&amp;C425&amp;""", ""couponrate"":"""&amp;D425&amp;""", ""benefittype"":"""&amp;E425&amp;""", ""benefitrate"":"""&amp;F425&amp;""", """&amp;G$11&amp;""":"""&amp;G425&amp;"""}"</f>
        <v>{"age":"60", "year":"1", "couponrate":"8", "benefittype":"A", "benefitrate":"100", "premiumrate":"1.01"}</v>
      </c>
      <c r="J425" s="6" t="str">
        <f t="shared" ref="J425:J443" si="116">IF(OR(I426="]", I425="[", I425="]"), "", ",")</f>
        <v>,</v>
      </c>
    </row>
    <row r="426" spans="1:10">
      <c r="A426" s="4" t="str">
        <f>'EN60'!A$3</f>
        <v>EN60</v>
      </c>
      <c r="B426" s="4">
        <f t="shared" ref="B426:B444" si="117">B425</f>
        <v>60</v>
      </c>
      <c r="C426" s="4">
        <f t="shared" ref="C426:C444" si="118">IF(B426+C425+1&gt;80,"",C425+1)</f>
        <v>2</v>
      </c>
      <c r="D426" s="4">
        <f t="shared" si="112"/>
        <v>8</v>
      </c>
      <c r="E426" s="4" t="s">
        <v>27</v>
      </c>
      <c r="F426" s="4">
        <f t="shared" si="113"/>
        <v>200</v>
      </c>
      <c r="G426" s="5">
        <f t="shared" ref="G426:G444" si="119">G425</f>
        <v>1.01</v>
      </c>
      <c r="H426" s="6" t="str">
        <f t="shared" si="114"/>
        <v>INSERT INTO public.coupon (plancode, age, "year", couponrate, benefittype, benefitrate, premiumrate) VALUES('EN60', 60, 2, 8, 'A',200, 1.01);</v>
      </c>
      <c r="I426" s="6" t="str">
        <f t="shared" si="115"/>
        <v>{"age":"60", "year":"2", "couponrate":"8", "benefittype":"A", "benefitrate":"200", "premiumrate":"1.01"}</v>
      </c>
      <c r="J426" s="6" t="str">
        <f t="shared" si="116"/>
        <v>,</v>
      </c>
    </row>
    <row r="427" spans="1:10">
      <c r="A427" s="4" t="str">
        <f>'EN60'!A$3</f>
        <v>EN60</v>
      </c>
      <c r="B427" s="4">
        <f t="shared" si="117"/>
        <v>60</v>
      </c>
      <c r="C427" s="4">
        <f t="shared" si="118"/>
        <v>3</v>
      </c>
      <c r="D427" s="4">
        <f t="shared" si="112"/>
        <v>8</v>
      </c>
      <c r="E427" s="4" t="s">
        <v>27</v>
      </c>
      <c r="F427" s="4">
        <f t="shared" si="113"/>
        <v>300</v>
      </c>
      <c r="G427" s="5">
        <f t="shared" si="119"/>
        <v>1.01</v>
      </c>
      <c r="H427" s="6" t="str">
        <f t="shared" si="114"/>
        <v>INSERT INTO public.coupon (plancode, age, "year", couponrate, benefittype, benefitrate, premiumrate) VALUES('EN60', 60, 3, 8, 'A',300, 1.01);</v>
      </c>
      <c r="I427" s="6" t="str">
        <f t="shared" si="115"/>
        <v>{"age":"60", "year":"3", "couponrate":"8", "benefittype":"A", "benefitrate":"300", "premiumrate":"1.01"}</v>
      </c>
      <c r="J427" s="6" t="str">
        <f t="shared" si="116"/>
        <v>,</v>
      </c>
    </row>
    <row r="428" spans="1:10">
      <c r="A428" s="4" t="str">
        <f>'EN60'!A$3</f>
        <v>EN60</v>
      </c>
      <c r="B428" s="4">
        <f t="shared" si="117"/>
        <v>60</v>
      </c>
      <c r="C428" s="4">
        <f t="shared" si="118"/>
        <v>4</v>
      </c>
      <c r="D428" s="4">
        <f t="shared" si="112"/>
        <v>8</v>
      </c>
      <c r="E428" s="4" t="s">
        <v>27</v>
      </c>
      <c r="F428" s="4">
        <f t="shared" si="113"/>
        <v>400</v>
      </c>
      <c r="G428" s="5">
        <f t="shared" si="119"/>
        <v>1.01</v>
      </c>
      <c r="H428" s="6" t="str">
        <f t="shared" si="114"/>
        <v>INSERT INTO public.coupon (plancode, age, "year", couponrate, benefittype, benefitrate, premiumrate) VALUES('EN60', 60, 4, 8, 'A',400, 1.01);</v>
      </c>
      <c r="I428" s="6" t="str">
        <f t="shared" si="115"/>
        <v>{"age":"60", "year":"4", "couponrate":"8", "benefittype":"A", "benefitrate":"400", "premiumrate":"1.01"}</v>
      </c>
      <c r="J428" s="6" t="str">
        <f t="shared" si="116"/>
        <v>,</v>
      </c>
    </row>
    <row r="429" spans="1:10">
      <c r="A429" s="4" t="str">
        <f>'EN60'!A$3</f>
        <v>EN60</v>
      </c>
      <c r="B429" s="4">
        <f t="shared" si="117"/>
        <v>60</v>
      </c>
      <c r="C429" s="4">
        <f t="shared" si="118"/>
        <v>5</v>
      </c>
      <c r="D429" s="4">
        <f t="shared" si="112"/>
        <v>8</v>
      </c>
      <c r="E429" s="4" t="s">
        <v>27</v>
      </c>
      <c r="F429" s="4">
        <f t="shared" si="113"/>
        <v>500</v>
      </c>
      <c r="G429" s="5">
        <f t="shared" si="119"/>
        <v>1.01</v>
      </c>
      <c r="H429" s="6" t="str">
        <f t="shared" si="114"/>
        <v>INSERT INTO public.coupon (plancode, age, "year", couponrate, benefittype, benefitrate, premiumrate) VALUES('EN60', 60, 5, 8, 'A',500, 1.01);</v>
      </c>
      <c r="I429" s="6" t="str">
        <f t="shared" si="115"/>
        <v>{"age":"60", "year":"5", "couponrate":"8", "benefittype":"A", "benefitrate":"500", "premiumrate":"1.01"}</v>
      </c>
      <c r="J429" s="6" t="str">
        <f t="shared" si="116"/>
        <v>,</v>
      </c>
    </row>
    <row r="430" spans="1:10">
      <c r="A430" s="4" t="str">
        <f>'EN60'!A$3</f>
        <v>EN60</v>
      </c>
      <c r="B430" s="4">
        <f t="shared" si="117"/>
        <v>60</v>
      </c>
      <c r="C430" s="4">
        <f t="shared" si="118"/>
        <v>6</v>
      </c>
      <c r="D430" s="4">
        <f t="shared" si="112"/>
        <v>8</v>
      </c>
      <c r="E430" s="4" t="s">
        <v>27</v>
      </c>
      <c r="F430" s="4">
        <f t="shared" si="113"/>
        <v>600</v>
      </c>
      <c r="G430" s="5">
        <f t="shared" si="119"/>
        <v>1.01</v>
      </c>
      <c r="H430" s="6" t="str">
        <f t="shared" si="114"/>
        <v>INSERT INTO public.coupon (plancode, age, "year", couponrate, benefittype, benefitrate, premiumrate) VALUES('EN60', 60, 6, 8, 'A',600, 1.01);</v>
      </c>
      <c r="I430" s="6" t="str">
        <f t="shared" si="115"/>
        <v>{"age":"60", "year":"6", "couponrate":"8", "benefittype":"A", "benefitrate":"600", "premiumrate":"1.01"}</v>
      </c>
      <c r="J430" s="6" t="str">
        <f t="shared" si="116"/>
        <v>,</v>
      </c>
    </row>
    <row r="431" spans="1:10">
      <c r="A431" s="4" t="str">
        <f>'EN60'!A$3</f>
        <v>EN60</v>
      </c>
      <c r="B431" s="4">
        <f t="shared" si="117"/>
        <v>60</v>
      </c>
      <c r="C431" s="4">
        <f t="shared" si="118"/>
        <v>7</v>
      </c>
      <c r="D431" s="4">
        <f t="shared" si="112"/>
        <v>8</v>
      </c>
      <c r="E431" s="4" t="s">
        <v>27</v>
      </c>
      <c r="F431" s="4">
        <f t="shared" si="113"/>
        <v>700</v>
      </c>
      <c r="G431" s="5">
        <f t="shared" si="119"/>
        <v>1.01</v>
      </c>
      <c r="H431" s="6" t="str">
        <f t="shared" si="114"/>
        <v>INSERT INTO public.coupon (plancode, age, "year", couponrate, benefittype, benefitrate, premiumrate) VALUES('EN60', 60, 7, 8, 'A',700, 1.01);</v>
      </c>
      <c r="I431" s="6" t="str">
        <f t="shared" si="115"/>
        <v>{"age":"60", "year":"7", "couponrate":"8", "benefittype":"A", "benefitrate":"700", "premiumrate":"1.01"}</v>
      </c>
      <c r="J431" s="6" t="str">
        <f t="shared" si="116"/>
        <v>,</v>
      </c>
    </row>
    <row r="432" spans="1:10">
      <c r="A432" s="4" t="str">
        <f>'EN60'!A$3</f>
        <v>EN60</v>
      </c>
      <c r="B432" s="4">
        <f t="shared" si="117"/>
        <v>60</v>
      </c>
      <c r="C432" s="4">
        <f t="shared" si="118"/>
        <v>8</v>
      </c>
      <c r="D432" s="4">
        <f t="shared" si="112"/>
        <v>8</v>
      </c>
      <c r="E432" s="4" t="s">
        <v>27</v>
      </c>
      <c r="F432" s="4">
        <f t="shared" si="113"/>
        <v>800</v>
      </c>
      <c r="G432" s="5">
        <f t="shared" si="119"/>
        <v>1.01</v>
      </c>
      <c r="H432" s="6" t="str">
        <f t="shared" si="114"/>
        <v>INSERT INTO public.coupon (plancode, age, "year", couponrate, benefittype, benefitrate, premiumrate) VALUES('EN60', 60, 8, 8, 'A',800, 1.01);</v>
      </c>
      <c r="I432" s="6" t="str">
        <f t="shared" si="115"/>
        <v>{"age":"60", "year":"8", "couponrate":"8", "benefittype":"A", "benefitrate":"800", "premiumrate":"1.01"}</v>
      </c>
      <c r="J432" s="6" t="str">
        <f t="shared" si="116"/>
        <v>,</v>
      </c>
    </row>
    <row r="433" spans="1:10">
      <c r="A433" s="4" t="str">
        <f>'EN60'!A$3</f>
        <v>EN60</v>
      </c>
      <c r="B433" s="4">
        <f t="shared" si="117"/>
        <v>60</v>
      </c>
      <c r="C433" s="4">
        <f t="shared" si="118"/>
        <v>9</v>
      </c>
      <c r="D433" s="4">
        <f t="shared" si="112"/>
        <v>8</v>
      </c>
      <c r="E433" s="4" t="s">
        <v>27</v>
      </c>
      <c r="F433" s="4">
        <f t="shared" si="113"/>
        <v>800</v>
      </c>
      <c r="G433" s="5">
        <f t="shared" si="119"/>
        <v>1.01</v>
      </c>
      <c r="H433" s="6" t="str">
        <f t="shared" si="114"/>
        <v>INSERT INTO public.coupon (plancode, age, "year", couponrate, benefittype, benefitrate, premiumrate) VALUES('EN60', 60, 9, 8, 'A',800, 1.01);</v>
      </c>
      <c r="I433" s="6" t="str">
        <f t="shared" si="115"/>
        <v>{"age":"60", "year":"9", "couponrate":"8", "benefittype":"A", "benefitrate":"800", "premiumrate":"1.01"}</v>
      </c>
      <c r="J433" s="6" t="str">
        <f t="shared" si="116"/>
        <v>,</v>
      </c>
    </row>
    <row r="434" spans="1:10">
      <c r="A434" s="4" t="str">
        <f>'EN60'!A$3</f>
        <v>EN60</v>
      </c>
      <c r="B434" s="4">
        <f t="shared" si="117"/>
        <v>60</v>
      </c>
      <c r="C434" s="4">
        <f t="shared" si="118"/>
        <v>10</v>
      </c>
      <c r="D434" s="4">
        <f t="shared" si="112"/>
        <v>8</v>
      </c>
      <c r="E434" s="4" t="s">
        <v>27</v>
      </c>
      <c r="F434" s="4">
        <f t="shared" si="113"/>
        <v>800</v>
      </c>
      <c r="G434" s="5">
        <f t="shared" si="119"/>
        <v>1.01</v>
      </c>
      <c r="H434" s="6" t="str">
        <f t="shared" si="114"/>
        <v>INSERT INTO public.coupon (plancode, age, "year", couponrate, benefittype, benefitrate, premiumrate) VALUES('EN60', 60, 10, 8, 'A',800, 1.01);</v>
      </c>
      <c r="I434" s="6" t="str">
        <f t="shared" si="115"/>
        <v>{"age":"60", "year":"10", "couponrate":"8", "benefittype":"A", "benefitrate":"800", "premiumrate":"1.01"}</v>
      </c>
      <c r="J434" s="6" t="str">
        <f t="shared" si="116"/>
        <v>,</v>
      </c>
    </row>
    <row r="435" spans="1:10">
      <c r="A435" s="4" t="str">
        <f>'EN60'!A$3</f>
        <v>EN60</v>
      </c>
      <c r="B435" s="4">
        <f t="shared" si="117"/>
        <v>60</v>
      </c>
      <c r="C435" s="4">
        <f t="shared" si="118"/>
        <v>11</v>
      </c>
      <c r="D435" s="4">
        <f t="shared" si="112"/>
        <v>8</v>
      </c>
      <c r="E435" s="4" t="s">
        <v>27</v>
      </c>
      <c r="F435" s="4">
        <f t="shared" si="113"/>
        <v>800</v>
      </c>
      <c r="G435" s="5">
        <f t="shared" si="119"/>
        <v>1.01</v>
      </c>
      <c r="H435" s="6" t="str">
        <f t="shared" si="114"/>
        <v>INSERT INTO public.coupon (plancode, age, "year", couponrate, benefittype, benefitrate, premiumrate) VALUES('EN60', 60, 11, 8, 'A',800, 1.01);</v>
      </c>
      <c r="I435" s="6" t="str">
        <f t="shared" si="115"/>
        <v>{"age":"60", "year":"11", "couponrate":"8", "benefittype":"A", "benefitrate":"800", "premiumrate":"1.01"}</v>
      </c>
      <c r="J435" s="6" t="str">
        <f t="shared" si="116"/>
        <v>,</v>
      </c>
    </row>
    <row r="436" spans="1:10">
      <c r="A436" s="4" t="str">
        <f>'EN60'!A$3</f>
        <v>EN60</v>
      </c>
      <c r="B436" s="4">
        <f t="shared" si="117"/>
        <v>60</v>
      </c>
      <c r="C436" s="4">
        <f t="shared" si="118"/>
        <v>12</v>
      </c>
      <c r="D436" s="4">
        <f t="shared" si="112"/>
        <v>8</v>
      </c>
      <c r="E436" s="4" t="s">
        <v>27</v>
      </c>
      <c r="F436" s="4">
        <f t="shared" si="113"/>
        <v>800</v>
      </c>
      <c r="G436" s="5">
        <f t="shared" si="119"/>
        <v>1.01</v>
      </c>
      <c r="H436" s="6" t="str">
        <f t="shared" si="114"/>
        <v>INSERT INTO public.coupon (plancode, age, "year", couponrate, benefittype, benefitrate, premiumrate) VALUES('EN60', 60, 12, 8, 'A',800, 1.01);</v>
      </c>
      <c r="I436" s="6" t="str">
        <f t="shared" si="115"/>
        <v>{"age":"60", "year":"12", "couponrate":"8", "benefittype":"A", "benefitrate":"800", "premiumrate":"1.01"}</v>
      </c>
      <c r="J436" s="6" t="str">
        <f t="shared" si="116"/>
        <v>,</v>
      </c>
    </row>
    <row r="437" spans="1:10">
      <c r="A437" s="4" t="str">
        <f>'EN60'!A$3</f>
        <v>EN60</v>
      </c>
      <c r="B437" s="4">
        <f t="shared" si="117"/>
        <v>60</v>
      </c>
      <c r="C437" s="4">
        <f t="shared" si="118"/>
        <v>13</v>
      </c>
      <c r="D437" s="4">
        <f t="shared" si="112"/>
        <v>8</v>
      </c>
      <c r="E437" s="4" t="s">
        <v>27</v>
      </c>
      <c r="F437" s="4">
        <f t="shared" si="113"/>
        <v>800</v>
      </c>
      <c r="G437" s="5">
        <f t="shared" si="119"/>
        <v>1.01</v>
      </c>
      <c r="H437" s="6" t="str">
        <f t="shared" si="114"/>
        <v>INSERT INTO public.coupon (plancode, age, "year", couponrate, benefittype, benefitrate, premiumrate) VALUES('EN60', 60, 13, 8, 'A',800, 1.01);</v>
      </c>
      <c r="I437" s="6" t="str">
        <f t="shared" si="115"/>
        <v>{"age":"60", "year":"13", "couponrate":"8", "benefittype":"A", "benefitrate":"800", "premiumrate":"1.01"}</v>
      </c>
      <c r="J437" s="6" t="str">
        <f t="shared" si="116"/>
        <v>,</v>
      </c>
    </row>
    <row r="438" spans="1:10">
      <c r="A438" s="4" t="str">
        <f>'EN60'!A$3</f>
        <v>EN60</v>
      </c>
      <c r="B438" s="4">
        <f t="shared" si="117"/>
        <v>60</v>
      </c>
      <c r="C438" s="4">
        <f t="shared" si="118"/>
        <v>14</v>
      </c>
      <c r="D438" s="4">
        <f t="shared" si="112"/>
        <v>8</v>
      </c>
      <c r="E438" s="4" t="s">
        <v>27</v>
      </c>
      <c r="F438" s="4">
        <f t="shared" si="113"/>
        <v>800</v>
      </c>
      <c r="G438" s="5">
        <f t="shared" si="119"/>
        <v>1.01</v>
      </c>
      <c r="H438" s="6" t="str">
        <f t="shared" si="114"/>
        <v>INSERT INTO public.coupon (plancode, age, "year", couponrate, benefittype, benefitrate, premiumrate) VALUES('EN60', 60, 14, 8, 'A',800, 1.01);</v>
      </c>
      <c r="I438" s="6" t="str">
        <f t="shared" si="115"/>
        <v>{"age":"60", "year":"14", "couponrate":"8", "benefittype":"A", "benefitrate":"800", "premiumrate":"1.01"}</v>
      </c>
      <c r="J438" s="6" t="str">
        <f t="shared" si="116"/>
        <v>,</v>
      </c>
    </row>
    <row r="439" spans="1:10">
      <c r="A439" s="4" t="str">
        <f>'EN60'!A$3</f>
        <v>EN60</v>
      </c>
      <c r="B439" s="4">
        <f t="shared" si="117"/>
        <v>60</v>
      </c>
      <c r="C439" s="4">
        <f t="shared" si="118"/>
        <v>15</v>
      </c>
      <c r="D439" s="4">
        <f t="shared" si="112"/>
        <v>8</v>
      </c>
      <c r="E439" s="4" t="s">
        <v>27</v>
      </c>
      <c r="F439" s="4">
        <f t="shared" si="113"/>
        <v>800</v>
      </c>
      <c r="G439" s="5">
        <f t="shared" si="119"/>
        <v>1.01</v>
      </c>
      <c r="H439" s="6" t="str">
        <f t="shared" si="114"/>
        <v>INSERT INTO public.coupon (plancode, age, "year", couponrate, benefittype, benefitrate, premiumrate) VALUES('EN60', 60, 15, 8, 'A',800, 1.01);</v>
      </c>
      <c r="I439" s="6" t="str">
        <f t="shared" si="115"/>
        <v>{"age":"60", "year":"15", "couponrate":"8", "benefittype":"A", "benefitrate":"800", "premiumrate":"1.01"}</v>
      </c>
      <c r="J439" s="6" t="str">
        <f t="shared" si="116"/>
        <v>,</v>
      </c>
    </row>
    <row r="440" spans="1:10">
      <c r="A440" s="4" t="str">
        <f>'EN60'!A$3</f>
        <v>EN60</v>
      </c>
      <c r="B440" s="4">
        <f t="shared" si="117"/>
        <v>60</v>
      </c>
      <c r="C440" s="4">
        <f t="shared" si="118"/>
        <v>16</v>
      </c>
      <c r="D440" s="4">
        <f t="shared" si="112"/>
        <v>8</v>
      </c>
      <c r="E440" s="4" t="s">
        <v>27</v>
      </c>
      <c r="F440" s="4">
        <f t="shared" si="113"/>
        <v>800</v>
      </c>
      <c r="G440" s="5">
        <f t="shared" si="119"/>
        <v>1.01</v>
      </c>
      <c r="H440" s="6" t="str">
        <f t="shared" si="114"/>
        <v>INSERT INTO public.coupon (plancode, age, "year", couponrate, benefittype, benefitrate, premiumrate) VALUES('EN60', 60, 16, 8, 'A',800, 1.01);</v>
      </c>
      <c r="I440" s="6" t="str">
        <f t="shared" si="115"/>
        <v>{"age":"60", "year":"16", "couponrate":"8", "benefittype":"A", "benefitrate":"800", "premiumrate":"1.01"}</v>
      </c>
      <c r="J440" s="6" t="str">
        <f t="shared" si="116"/>
        <v>,</v>
      </c>
    </row>
    <row r="441" spans="1:10">
      <c r="A441" s="4" t="str">
        <f>'EN60'!A$3</f>
        <v>EN60</v>
      </c>
      <c r="B441" s="4">
        <f t="shared" si="117"/>
        <v>60</v>
      </c>
      <c r="C441" s="4">
        <f t="shared" si="118"/>
        <v>17</v>
      </c>
      <c r="D441" s="4">
        <f t="shared" si="112"/>
        <v>8</v>
      </c>
      <c r="E441" s="4" t="s">
        <v>27</v>
      </c>
      <c r="F441" s="4">
        <f t="shared" si="113"/>
        <v>800</v>
      </c>
      <c r="G441" s="5">
        <f t="shared" si="119"/>
        <v>1.01</v>
      </c>
      <c r="H441" s="6" t="str">
        <f t="shared" si="114"/>
        <v>INSERT INTO public.coupon (plancode, age, "year", couponrate, benefittype, benefitrate, premiumrate) VALUES('EN60', 60, 17, 8, 'A',800, 1.01);</v>
      </c>
      <c r="I441" s="6" t="str">
        <f t="shared" si="115"/>
        <v>{"age":"60", "year":"17", "couponrate":"8", "benefittype":"A", "benefitrate":"800", "premiumrate":"1.01"}</v>
      </c>
      <c r="J441" s="6" t="str">
        <f t="shared" si="116"/>
        <v>,</v>
      </c>
    </row>
    <row r="442" spans="1:10">
      <c r="A442" s="4" t="str">
        <f>'EN60'!A$3</f>
        <v>EN60</v>
      </c>
      <c r="B442" s="4">
        <f t="shared" si="117"/>
        <v>60</v>
      </c>
      <c r="C442" s="4">
        <f t="shared" si="118"/>
        <v>18</v>
      </c>
      <c r="D442" s="4">
        <f t="shared" si="112"/>
        <v>8</v>
      </c>
      <c r="E442" s="4" t="s">
        <v>27</v>
      </c>
      <c r="F442" s="4">
        <f t="shared" si="113"/>
        <v>800</v>
      </c>
      <c r="G442" s="5">
        <f t="shared" si="119"/>
        <v>1.01</v>
      </c>
      <c r="H442" s="6" t="str">
        <f t="shared" si="114"/>
        <v>INSERT INTO public.coupon (plancode, age, "year", couponrate, benefittype, benefitrate, premiumrate) VALUES('EN60', 60, 18, 8, 'A',800, 1.01);</v>
      </c>
      <c r="I442" s="6" t="str">
        <f t="shared" si="115"/>
        <v>{"age":"60", "year":"18", "couponrate":"8", "benefittype":"A", "benefitrate":"800", "premiumrate":"1.01"}</v>
      </c>
      <c r="J442" s="6" t="str">
        <f t="shared" si="116"/>
        <v>,</v>
      </c>
    </row>
    <row r="443" spans="1:10">
      <c r="A443" s="4" t="str">
        <f>'EN60'!A$3</f>
        <v>EN60</v>
      </c>
      <c r="B443" s="4">
        <f t="shared" si="117"/>
        <v>60</v>
      </c>
      <c r="C443" s="4">
        <f t="shared" si="118"/>
        <v>19</v>
      </c>
      <c r="D443" s="4">
        <f t="shared" si="112"/>
        <v>8</v>
      </c>
      <c r="E443" s="4" t="s">
        <v>27</v>
      </c>
      <c r="F443" s="4">
        <f t="shared" si="113"/>
        <v>800</v>
      </c>
      <c r="G443" s="5">
        <f t="shared" si="119"/>
        <v>1.01</v>
      </c>
      <c r="H443" s="6" t="str">
        <f t="shared" si="114"/>
        <v>INSERT INTO public.coupon (plancode, age, "year", couponrate, benefittype, benefitrate, premiumrate) VALUES('EN60', 60, 19, 8, 'A',800, 1.01);</v>
      </c>
      <c r="I443" s="6" t="str">
        <f t="shared" si="115"/>
        <v>{"age":"60", "year":"19", "couponrate":"8", "benefittype":"A", "benefitrate":"800", "premiumrate":"1.01"}</v>
      </c>
      <c r="J443" s="6" t="str">
        <f t="shared" si="116"/>
        <v>,</v>
      </c>
    </row>
    <row r="444" spans="1:10">
      <c r="A444" s="4" t="str">
        <f>'EN60'!A$3</f>
        <v>EN60</v>
      </c>
      <c r="B444" s="4">
        <f t="shared" si="117"/>
        <v>60</v>
      </c>
      <c r="C444" s="4">
        <f t="shared" si="118"/>
        <v>20</v>
      </c>
      <c r="D444" s="4">
        <f t="shared" si="112"/>
        <v>0</v>
      </c>
      <c r="E444" s="4" t="s">
        <v>27</v>
      </c>
      <c r="F444" s="4">
        <f t="shared" si="113"/>
        <v>800</v>
      </c>
      <c r="G444" s="5">
        <f t="shared" si="119"/>
        <v>1.01</v>
      </c>
      <c r="H444" s="6" t="str">
        <f t="shared" si="114"/>
        <v>INSERT INTO public.coupon (plancode, age, "year", couponrate, benefittype, benefitrate, premiumrate) VALUES('EN60', 60, 20, 0, 'A',800, 1.01);</v>
      </c>
      <c r="I444" s="6" t="str">
        <f t="shared" si="115"/>
        <v>{"age":"60", "year":"20", "couponrate":"0", "benefittype":"A", "benefitrate":"800", "premiumrate":"1.01"}</v>
      </c>
    </row>
    <row r="445" spans="1:10">
      <c r="C445" s="6"/>
      <c r="I445" s="6" t="s">
        <v>28</v>
      </c>
    </row>
    <row r="446" spans="1:10">
      <c r="A446" s="3" t="s">
        <v>2</v>
      </c>
      <c r="B446" s="3" t="s">
        <v>23</v>
      </c>
      <c r="C446" s="3" t="s">
        <v>24</v>
      </c>
      <c r="D446" s="3" t="s">
        <v>25</v>
      </c>
      <c r="E446" s="3" t="s">
        <v>8</v>
      </c>
      <c r="F446" s="3" t="s">
        <v>26</v>
      </c>
      <c r="G446" s="3" t="s">
        <v>4</v>
      </c>
      <c r="I446" s="6" t="str">
        <f>"[{""plancode"":"""&amp;A447&amp;""",""returncash"":"""&amp;B$7&amp;""",""ytable"":"""&amp;C$7&amp;""",""maturerate"":"""&amp;B$3&amp;""",""maturepmrate"":"""&amp;C$3&amp;""",""coupon"":["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447" spans="1:10">
      <c r="A447" s="4" t="str">
        <f>'EN60'!A$3</f>
        <v>EN60</v>
      </c>
      <c r="B447" s="8">
        <v>61</v>
      </c>
      <c r="C447" s="4">
        <v>1</v>
      </c>
      <c r="D447" s="4">
        <f t="shared" ref="D447:D465" si="120">IF(C447+B447=80,0,8)</f>
        <v>8</v>
      </c>
      <c r="E447" s="4" t="s">
        <v>27</v>
      </c>
      <c r="F447" s="4">
        <f t="shared" ref="F447:F465" si="121">IF(C447&gt;7, 800, C447*100)</f>
        <v>100</v>
      </c>
      <c r="G447" s="5">
        <f>'EN60'!C$3</f>
        <v>1.01</v>
      </c>
      <c r="H447" s="6" t="str">
        <f t="shared" ref="H447:H465" si="122">"INSERT INTO public.coupon ("&amp;A$11&amp;", "&amp;B$11&amp;", """&amp;C$11&amp;""", "&amp;D$11&amp;", "&amp;E$11&amp;", "&amp;F$11&amp;", "&amp;G$11&amp;") VALUES('"&amp;A447&amp;"', "&amp;B447&amp;", "&amp;C447&amp;", "&amp;D447&amp;", '"&amp;E447&amp;"',"&amp;F447&amp;", "&amp;G447&amp;");"</f>
        <v>INSERT INTO public.coupon (plancode, age, "year", couponrate, benefittype, benefitrate, premiumrate) VALUES('EN60', 61, 1, 8, 'A',100, 1.01);</v>
      </c>
      <c r="I447" s="6" t="str">
        <f t="shared" ref="I447:I465" si="123">"{""age"":"""&amp;B447&amp;""", ""year"":"""&amp;C447&amp;""", ""couponrate"":"""&amp;D447&amp;""", ""benefittype"":"""&amp;E447&amp;""", ""benefitrate"":"""&amp;F447&amp;""", """&amp;G$11&amp;""":"""&amp;G447&amp;"""}"</f>
        <v>{"age":"61", "year":"1", "couponrate":"8", "benefittype":"A", "benefitrate":"100", "premiumrate":"1.01"}</v>
      </c>
      <c r="J447" s="6" t="str">
        <f t="shared" ref="J447:J464" si="124">IF(OR(I448="]", I447="[", I447="]"), "", ",")</f>
        <v>,</v>
      </c>
    </row>
    <row r="448" spans="1:10">
      <c r="A448" s="4" t="str">
        <f>'EN60'!A$3</f>
        <v>EN60</v>
      </c>
      <c r="B448" s="4">
        <f t="shared" ref="B448:B465" si="125">B447</f>
        <v>61</v>
      </c>
      <c r="C448" s="4">
        <f t="shared" ref="C448:C465" si="126">IF(B448+C447+1&gt;80,"",C447+1)</f>
        <v>2</v>
      </c>
      <c r="D448" s="4">
        <f t="shared" si="120"/>
        <v>8</v>
      </c>
      <c r="E448" s="4" t="s">
        <v>27</v>
      </c>
      <c r="F448" s="4">
        <f t="shared" si="121"/>
        <v>200</v>
      </c>
      <c r="G448" s="5">
        <f t="shared" ref="G448:G465" si="127">G447</f>
        <v>1.01</v>
      </c>
      <c r="H448" s="6" t="str">
        <f t="shared" si="122"/>
        <v>INSERT INTO public.coupon (plancode, age, "year", couponrate, benefittype, benefitrate, premiumrate) VALUES('EN60', 61, 2, 8, 'A',200, 1.01);</v>
      </c>
      <c r="I448" s="6" t="str">
        <f t="shared" si="123"/>
        <v>{"age":"61", "year":"2", "couponrate":"8", "benefittype":"A", "benefitrate":"200", "premiumrate":"1.01"}</v>
      </c>
      <c r="J448" s="6" t="str">
        <f t="shared" si="124"/>
        <v>,</v>
      </c>
    </row>
    <row r="449" spans="1:10">
      <c r="A449" s="4" t="str">
        <f>'EN60'!A$3</f>
        <v>EN60</v>
      </c>
      <c r="B449" s="4">
        <f t="shared" si="125"/>
        <v>61</v>
      </c>
      <c r="C449" s="4">
        <f t="shared" si="126"/>
        <v>3</v>
      </c>
      <c r="D449" s="4">
        <f t="shared" si="120"/>
        <v>8</v>
      </c>
      <c r="E449" s="4" t="s">
        <v>27</v>
      </c>
      <c r="F449" s="4">
        <f t="shared" si="121"/>
        <v>300</v>
      </c>
      <c r="G449" s="5">
        <f t="shared" si="127"/>
        <v>1.01</v>
      </c>
      <c r="H449" s="6" t="str">
        <f t="shared" si="122"/>
        <v>INSERT INTO public.coupon (plancode, age, "year", couponrate, benefittype, benefitrate, premiumrate) VALUES('EN60', 61, 3, 8, 'A',300, 1.01);</v>
      </c>
      <c r="I449" s="6" t="str">
        <f t="shared" si="123"/>
        <v>{"age":"61", "year":"3", "couponrate":"8", "benefittype":"A", "benefitrate":"300", "premiumrate":"1.01"}</v>
      </c>
      <c r="J449" s="6" t="str">
        <f t="shared" si="124"/>
        <v>,</v>
      </c>
    </row>
    <row r="450" spans="1:10">
      <c r="A450" s="4" t="str">
        <f>'EN60'!A$3</f>
        <v>EN60</v>
      </c>
      <c r="B450" s="4">
        <f t="shared" si="125"/>
        <v>61</v>
      </c>
      <c r="C450" s="4">
        <f t="shared" si="126"/>
        <v>4</v>
      </c>
      <c r="D450" s="4">
        <f t="shared" si="120"/>
        <v>8</v>
      </c>
      <c r="E450" s="4" t="s">
        <v>27</v>
      </c>
      <c r="F450" s="4">
        <f t="shared" si="121"/>
        <v>400</v>
      </c>
      <c r="G450" s="5">
        <f t="shared" si="127"/>
        <v>1.01</v>
      </c>
      <c r="H450" s="6" t="str">
        <f t="shared" si="122"/>
        <v>INSERT INTO public.coupon (plancode, age, "year", couponrate, benefittype, benefitrate, premiumrate) VALUES('EN60', 61, 4, 8, 'A',400, 1.01);</v>
      </c>
      <c r="I450" s="6" t="str">
        <f t="shared" si="123"/>
        <v>{"age":"61", "year":"4", "couponrate":"8", "benefittype":"A", "benefitrate":"400", "premiumrate":"1.01"}</v>
      </c>
      <c r="J450" s="6" t="str">
        <f t="shared" si="124"/>
        <v>,</v>
      </c>
    </row>
    <row r="451" spans="1:10">
      <c r="A451" s="4" t="str">
        <f>'EN60'!A$3</f>
        <v>EN60</v>
      </c>
      <c r="B451" s="4">
        <f t="shared" si="125"/>
        <v>61</v>
      </c>
      <c r="C451" s="4">
        <f t="shared" si="126"/>
        <v>5</v>
      </c>
      <c r="D451" s="4">
        <f t="shared" si="120"/>
        <v>8</v>
      </c>
      <c r="E451" s="4" t="s">
        <v>27</v>
      </c>
      <c r="F451" s="4">
        <f t="shared" si="121"/>
        <v>500</v>
      </c>
      <c r="G451" s="5">
        <f t="shared" si="127"/>
        <v>1.01</v>
      </c>
      <c r="H451" s="6" t="str">
        <f t="shared" si="122"/>
        <v>INSERT INTO public.coupon (plancode, age, "year", couponrate, benefittype, benefitrate, premiumrate) VALUES('EN60', 61, 5, 8, 'A',500, 1.01);</v>
      </c>
      <c r="I451" s="6" t="str">
        <f t="shared" si="123"/>
        <v>{"age":"61", "year":"5", "couponrate":"8", "benefittype":"A", "benefitrate":"500", "premiumrate":"1.01"}</v>
      </c>
      <c r="J451" s="6" t="str">
        <f t="shared" si="124"/>
        <v>,</v>
      </c>
    </row>
    <row r="452" spans="1:10">
      <c r="A452" s="4" t="str">
        <f>'EN60'!A$3</f>
        <v>EN60</v>
      </c>
      <c r="B452" s="4">
        <f t="shared" si="125"/>
        <v>61</v>
      </c>
      <c r="C452" s="4">
        <f t="shared" si="126"/>
        <v>6</v>
      </c>
      <c r="D452" s="4">
        <f t="shared" si="120"/>
        <v>8</v>
      </c>
      <c r="E452" s="4" t="s">
        <v>27</v>
      </c>
      <c r="F452" s="4">
        <f t="shared" si="121"/>
        <v>600</v>
      </c>
      <c r="G452" s="5">
        <f t="shared" si="127"/>
        <v>1.01</v>
      </c>
      <c r="H452" s="6" t="str">
        <f t="shared" si="122"/>
        <v>INSERT INTO public.coupon (plancode, age, "year", couponrate, benefittype, benefitrate, premiumrate) VALUES('EN60', 61, 6, 8, 'A',600, 1.01);</v>
      </c>
      <c r="I452" s="6" t="str">
        <f t="shared" si="123"/>
        <v>{"age":"61", "year":"6", "couponrate":"8", "benefittype":"A", "benefitrate":"600", "premiumrate":"1.01"}</v>
      </c>
      <c r="J452" s="6" t="str">
        <f t="shared" si="124"/>
        <v>,</v>
      </c>
    </row>
    <row r="453" spans="1:10">
      <c r="A453" s="4" t="str">
        <f>'EN60'!A$3</f>
        <v>EN60</v>
      </c>
      <c r="B453" s="4">
        <f t="shared" si="125"/>
        <v>61</v>
      </c>
      <c r="C453" s="4">
        <f t="shared" si="126"/>
        <v>7</v>
      </c>
      <c r="D453" s="4">
        <f t="shared" si="120"/>
        <v>8</v>
      </c>
      <c r="E453" s="4" t="s">
        <v>27</v>
      </c>
      <c r="F453" s="4">
        <f t="shared" si="121"/>
        <v>700</v>
      </c>
      <c r="G453" s="5">
        <f t="shared" si="127"/>
        <v>1.01</v>
      </c>
      <c r="H453" s="6" t="str">
        <f t="shared" si="122"/>
        <v>INSERT INTO public.coupon (plancode, age, "year", couponrate, benefittype, benefitrate, premiumrate) VALUES('EN60', 61, 7, 8, 'A',700, 1.01);</v>
      </c>
      <c r="I453" s="6" t="str">
        <f t="shared" si="123"/>
        <v>{"age":"61", "year":"7", "couponrate":"8", "benefittype":"A", "benefitrate":"700", "premiumrate":"1.01"}</v>
      </c>
      <c r="J453" s="6" t="str">
        <f t="shared" si="124"/>
        <v>,</v>
      </c>
    </row>
    <row r="454" spans="1:10">
      <c r="A454" s="4" t="str">
        <f>'EN60'!A$3</f>
        <v>EN60</v>
      </c>
      <c r="B454" s="4">
        <f t="shared" si="125"/>
        <v>61</v>
      </c>
      <c r="C454" s="4">
        <f t="shared" si="126"/>
        <v>8</v>
      </c>
      <c r="D454" s="4">
        <f t="shared" si="120"/>
        <v>8</v>
      </c>
      <c r="E454" s="4" t="s">
        <v>27</v>
      </c>
      <c r="F454" s="4">
        <f t="shared" si="121"/>
        <v>800</v>
      </c>
      <c r="G454" s="5">
        <f t="shared" si="127"/>
        <v>1.01</v>
      </c>
      <c r="H454" s="6" t="str">
        <f t="shared" si="122"/>
        <v>INSERT INTO public.coupon (plancode, age, "year", couponrate, benefittype, benefitrate, premiumrate) VALUES('EN60', 61, 8, 8, 'A',800, 1.01);</v>
      </c>
      <c r="I454" s="6" t="str">
        <f t="shared" si="123"/>
        <v>{"age":"61", "year":"8", "couponrate":"8", "benefittype":"A", "benefitrate":"800", "premiumrate":"1.01"}</v>
      </c>
      <c r="J454" s="6" t="str">
        <f t="shared" si="124"/>
        <v>,</v>
      </c>
    </row>
    <row r="455" spans="1:10">
      <c r="A455" s="4" t="str">
        <f>'EN60'!A$3</f>
        <v>EN60</v>
      </c>
      <c r="B455" s="4">
        <f t="shared" si="125"/>
        <v>61</v>
      </c>
      <c r="C455" s="4">
        <f t="shared" si="126"/>
        <v>9</v>
      </c>
      <c r="D455" s="4">
        <f t="shared" si="120"/>
        <v>8</v>
      </c>
      <c r="E455" s="4" t="s">
        <v>27</v>
      </c>
      <c r="F455" s="4">
        <f t="shared" si="121"/>
        <v>800</v>
      </c>
      <c r="G455" s="5">
        <f t="shared" si="127"/>
        <v>1.01</v>
      </c>
      <c r="H455" s="6" t="str">
        <f t="shared" si="122"/>
        <v>INSERT INTO public.coupon (plancode, age, "year", couponrate, benefittype, benefitrate, premiumrate) VALUES('EN60', 61, 9, 8, 'A',800, 1.01);</v>
      </c>
      <c r="I455" s="6" t="str">
        <f t="shared" si="123"/>
        <v>{"age":"61", "year":"9", "couponrate":"8", "benefittype":"A", "benefitrate":"800", "premiumrate":"1.01"}</v>
      </c>
      <c r="J455" s="6" t="str">
        <f t="shared" si="124"/>
        <v>,</v>
      </c>
    </row>
    <row r="456" spans="1:10">
      <c r="A456" s="4" t="str">
        <f>'EN60'!A$3</f>
        <v>EN60</v>
      </c>
      <c r="B456" s="4">
        <f t="shared" si="125"/>
        <v>61</v>
      </c>
      <c r="C456" s="4">
        <f t="shared" si="126"/>
        <v>10</v>
      </c>
      <c r="D456" s="4">
        <f t="shared" si="120"/>
        <v>8</v>
      </c>
      <c r="E456" s="4" t="s">
        <v>27</v>
      </c>
      <c r="F456" s="4">
        <f t="shared" si="121"/>
        <v>800</v>
      </c>
      <c r="G456" s="5">
        <f t="shared" si="127"/>
        <v>1.01</v>
      </c>
      <c r="H456" s="6" t="str">
        <f t="shared" si="122"/>
        <v>INSERT INTO public.coupon (plancode, age, "year", couponrate, benefittype, benefitrate, premiumrate) VALUES('EN60', 61, 10, 8, 'A',800, 1.01);</v>
      </c>
      <c r="I456" s="6" t="str">
        <f t="shared" si="123"/>
        <v>{"age":"61", "year":"10", "couponrate":"8", "benefittype":"A", "benefitrate":"800", "premiumrate":"1.01"}</v>
      </c>
      <c r="J456" s="6" t="str">
        <f t="shared" si="124"/>
        <v>,</v>
      </c>
    </row>
    <row r="457" spans="1:10">
      <c r="A457" s="4" t="str">
        <f>'EN60'!A$3</f>
        <v>EN60</v>
      </c>
      <c r="B457" s="4">
        <f t="shared" si="125"/>
        <v>61</v>
      </c>
      <c r="C457" s="4">
        <f t="shared" si="126"/>
        <v>11</v>
      </c>
      <c r="D457" s="4">
        <f t="shared" si="120"/>
        <v>8</v>
      </c>
      <c r="E457" s="4" t="s">
        <v>27</v>
      </c>
      <c r="F457" s="4">
        <f t="shared" si="121"/>
        <v>800</v>
      </c>
      <c r="G457" s="5">
        <f t="shared" si="127"/>
        <v>1.01</v>
      </c>
      <c r="H457" s="6" t="str">
        <f t="shared" si="122"/>
        <v>INSERT INTO public.coupon (plancode, age, "year", couponrate, benefittype, benefitrate, premiumrate) VALUES('EN60', 61, 11, 8, 'A',800, 1.01);</v>
      </c>
      <c r="I457" s="6" t="str">
        <f t="shared" si="123"/>
        <v>{"age":"61", "year":"11", "couponrate":"8", "benefittype":"A", "benefitrate":"800", "premiumrate":"1.01"}</v>
      </c>
      <c r="J457" s="6" t="str">
        <f t="shared" si="124"/>
        <v>,</v>
      </c>
    </row>
    <row r="458" spans="1:10">
      <c r="A458" s="4" t="str">
        <f>'EN60'!A$3</f>
        <v>EN60</v>
      </c>
      <c r="B458" s="4">
        <f t="shared" si="125"/>
        <v>61</v>
      </c>
      <c r="C458" s="4">
        <f t="shared" si="126"/>
        <v>12</v>
      </c>
      <c r="D458" s="4">
        <f t="shared" si="120"/>
        <v>8</v>
      </c>
      <c r="E458" s="4" t="s">
        <v>27</v>
      </c>
      <c r="F458" s="4">
        <f t="shared" si="121"/>
        <v>800</v>
      </c>
      <c r="G458" s="5">
        <f t="shared" si="127"/>
        <v>1.01</v>
      </c>
      <c r="H458" s="6" t="str">
        <f t="shared" si="122"/>
        <v>INSERT INTO public.coupon (plancode, age, "year", couponrate, benefittype, benefitrate, premiumrate) VALUES('EN60', 61, 12, 8, 'A',800, 1.01);</v>
      </c>
      <c r="I458" s="6" t="str">
        <f t="shared" si="123"/>
        <v>{"age":"61", "year":"12", "couponrate":"8", "benefittype":"A", "benefitrate":"800", "premiumrate":"1.01"}</v>
      </c>
      <c r="J458" s="6" t="str">
        <f t="shared" si="124"/>
        <v>,</v>
      </c>
    </row>
    <row r="459" spans="1:10">
      <c r="A459" s="4" t="str">
        <f>'EN60'!A$3</f>
        <v>EN60</v>
      </c>
      <c r="B459" s="4">
        <f t="shared" si="125"/>
        <v>61</v>
      </c>
      <c r="C459" s="4">
        <f t="shared" si="126"/>
        <v>13</v>
      </c>
      <c r="D459" s="4">
        <f t="shared" si="120"/>
        <v>8</v>
      </c>
      <c r="E459" s="4" t="s">
        <v>27</v>
      </c>
      <c r="F459" s="4">
        <f t="shared" si="121"/>
        <v>800</v>
      </c>
      <c r="G459" s="5">
        <f t="shared" si="127"/>
        <v>1.01</v>
      </c>
      <c r="H459" s="6" t="str">
        <f t="shared" si="122"/>
        <v>INSERT INTO public.coupon (plancode, age, "year", couponrate, benefittype, benefitrate, premiumrate) VALUES('EN60', 61, 13, 8, 'A',800, 1.01);</v>
      </c>
      <c r="I459" s="6" t="str">
        <f t="shared" si="123"/>
        <v>{"age":"61", "year":"13", "couponrate":"8", "benefittype":"A", "benefitrate":"800", "premiumrate":"1.01"}</v>
      </c>
      <c r="J459" s="6" t="str">
        <f t="shared" si="124"/>
        <v>,</v>
      </c>
    </row>
    <row r="460" spans="1:10">
      <c r="A460" s="4" t="str">
        <f>'EN60'!A$3</f>
        <v>EN60</v>
      </c>
      <c r="B460" s="4">
        <f t="shared" si="125"/>
        <v>61</v>
      </c>
      <c r="C460" s="4">
        <f t="shared" si="126"/>
        <v>14</v>
      </c>
      <c r="D460" s="4">
        <f t="shared" si="120"/>
        <v>8</v>
      </c>
      <c r="E460" s="4" t="s">
        <v>27</v>
      </c>
      <c r="F460" s="4">
        <f t="shared" si="121"/>
        <v>800</v>
      </c>
      <c r="G460" s="5">
        <f t="shared" si="127"/>
        <v>1.01</v>
      </c>
      <c r="H460" s="6" t="str">
        <f t="shared" si="122"/>
        <v>INSERT INTO public.coupon (plancode, age, "year", couponrate, benefittype, benefitrate, premiumrate) VALUES('EN60', 61, 14, 8, 'A',800, 1.01);</v>
      </c>
      <c r="I460" s="6" t="str">
        <f t="shared" si="123"/>
        <v>{"age":"61", "year":"14", "couponrate":"8", "benefittype":"A", "benefitrate":"800", "premiumrate":"1.01"}</v>
      </c>
      <c r="J460" s="6" t="str">
        <f t="shared" si="124"/>
        <v>,</v>
      </c>
    </row>
    <row r="461" spans="1:10">
      <c r="A461" s="4" t="str">
        <f>'EN60'!A$3</f>
        <v>EN60</v>
      </c>
      <c r="B461" s="4">
        <f t="shared" si="125"/>
        <v>61</v>
      </c>
      <c r="C461" s="4">
        <f t="shared" si="126"/>
        <v>15</v>
      </c>
      <c r="D461" s="4">
        <f t="shared" si="120"/>
        <v>8</v>
      </c>
      <c r="E461" s="4" t="s">
        <v>27</v>
      </c>
      <c r="F461" s="4">
        <f t="shared" si="121"/>
        <v>800</v>
      </c>
      <c r="G461" s="5">
        <f t="shared" si="127"/>
        <v>1.01</v>
      </c>
      <c r="H461" s="6" t="str">
        <f t="shared" si="122"/>
        <v>INSERT INTO public.coupon (plancode, age, "year", couponrate, benefittype, benefitrate, premiumrate) VALUES('EN60', 61, 15, 8, 'A',800, 1.01);</v>
      </c>
      <c r="I461" s="6" t="str">
        <f t="shared" si="123"/>
        <v>{"age":"61", "year":"15", "couponrate":"8", "benefittype":"A", "benefitrate":"800", "premiumrate":"1.01"}</v>
      </c>
      <c r="J461" s="6" t="str">
        <f t="shared" si="124"/>
        <v>,</v>
      </c>
    </row>
    <row r="462" spans="1:10">
      <c r="A462" s="4" t="str">
        <f>'EN60'!A$3</f>
        <v>EN60</v>
      </c>
      <c r="B462" s="4">
        <f t="shared" si="125"/>
        <v>61</v>
      </c>
      <c r="C462" s="4">
        <f t="shared" si="126"/>
        <v>16</v>
      </c>
      <c r="D462" s="4">
        <f t="shared" si="120"/>
        <v>8</v>
      </c>
      <c r="E462" s="4" t="s">
        <v>27</v>
      </c>
      <c r="F462" s="4">
        <f t="shared" si="121"/>
        <v>800</v>
      </c>
      <c r="G462" s="5">
        <f t="shared" si="127"/>
        <v>1.01</v>
      </c>
      <c r="H462" s="6" t="str">
        <f t="shared" si="122"/>
        <v>INSERT INTO public.coupon (plancode, age, "year", couponrate, benefittype, benefitrate, premiumrate) VALUES('EN60', 61, 16, 8, 'A',800, 1.01);</v>
      </c>
      <c r="I462" s="6" t="str">
        <f t="shared" si="123"/>
        <v>{"age":"61", "year":"16", "couponrate":"8", "benefittype":"A", "benefitrate":"800", "premiumrate":"1.01"}</v>
      </c>
      <c r="J462" s="6" t="str">
        <f t="shared" si="124"/>
        <v>,</v>
      </c>
    </row>
    <row r="463" spans="1:10">
      <c r="A463" s="4" t="str">
        <f>'EN60'!A$3</f>
        <v>EN60</v>
      </c>
      <c r="B463" s="4">
        <f t="shared" si="125"/>
        <v>61</v>
      </c>
      <c r="C463" s="4">
        <f t="shared" si="126"/>
        <v>17</v>
      </c>
      <c r="D463" s="4">
        <f t="shared" si="120"/>
        <v>8</v>
      </c>
      <c r="E463" s="4" t="s">
        <v>27</v>
      </c>
      <c r="F463" s="4">
        <f t="shared" si="121"/>
        <v>800</v>
      </c>
      <c r="G463" s="5">
        <f t="shared" si="127"/>
        <v>1.01</v>
      </c>
      <c r="H463" s="6" t="str">
        <f t="shared" si="122"/>
        <v>INSERT INTO public.coupon (plancode, age, "year", couponrate, benefittype, benefitrate, premiumrate) VALUES('EN60', 61, 17, 8, 'A',800, 1.01);</v>
      </c>
      <c r="I463" s="6" t="str">
        <f t="shared" si="123"/>
        <v>{"age":"61", "year":"17", "couponrate":"8", "benefittype":"A", "benefitrate":"800", "premiumrate":"1.01"}</v>
      </c>
      <c r="J463" s="6" t="str">
        <f t="shared" si="124"/>
        <v>,</v>
      </c>
    </row>
    <row r="464" spans="1:10">
      <c r="A464" s="4" t="str">
        <f>'EN60'!A$3</f>
        <v>EN60</v>
      </c>
      <c r="B464" s="4">
        <f t="shared" si="125"/>
        <v>61</v>
      </c>
      <c r="C464" s="4">
        <f t="shared" si="126"/>
        <v>18</v>
      </c>
      <c r="D464" s="4">
        <f t="shared" si="120"/>
        <v>8</v>
      </c>
      <c r="E464" s="4" t="s">
        <v>27</v>
      </c>
      <c r="F464" s="4">
        <f t="shared" si="121"/>
        <v>800</v>
      </c>
      <c r="G464" s="5">
        <f t="shared" si="127"/>
        <v>1.01</v>
      </c>
      <c r="H464" s="6" t="str">
        <f t="shared" si="122"/>
        <v>INSERT INTO public.coupon (plancode, age, "year", couponrate, benefittype, benefitrate, premiumrate) VALUES('EN60', 61, 18, 8, 'A',800, 1.01);</v>
      </c>
      <c r="I464" s="6" t="str">
        <f t="shared" si="123"/>
        <v>{"age":"61", "year":"18", "couponrate":"8", "benefittype":"A", "benefitrate":"800", "premiumrate":"1.01"}</v>
      </c>
      <c r="J464" s="6" t="str">
        <f t="shared" si="124"/>
        <v>,</v>
      </c>
    </row>
    <row r="465" spans="1:10">
      <c r="A465" s="4" t="str">
        <f>'EN60'!A$3</f>
        <v>EN60</v>
      </c>
      <c r="B465" s="4">
        <f t="shared" si="125"/>
        <v>61</v>
      </c>
      <c r="C465" s="4">
        <f t="shared" si="126"/>
        <v>19</v>
      </c>
      <c r="D465" s="4">
        <f t="shared" si="120"/>
        <v>0</v>
      </c>
      <c r="E465" s="4" t="s">
        <v>27</v>
      </c>
      <c r="F465" s="4">
        <f t="shared" si="121"/>
        <v>800</v>
      </c>
      <c r="G465" s="5">
        <f t="shared" si="127"/>
        <v>1.01</v>
      </c>
      <c r="H465" s="6" t="str">
        <f t="shared" si="122"/>
        <v>INSERT INTO public.coupon (plancode, age, "year", couponrate, benefittype, benefitrate, premiumrate) VALUES('EN60', 61, 19, 0, 'A',800, 1.01);</v>
      </c>
      <c r="I465" s="6" t="str">
        <f t="shared" si="123"/>
        <v>{"age":"61", "year":"19", "couponrate":"0", "benefittype":"A", "benefitrate":"800", "premiumrate":"1.01"}</v>
      </c>
    </row>
    <row r="466" spans="1:10">
      <c r="C466" s="6"/>
      <c r="I466" s="6" t="s">
        <v>28</v>
      </c>
    </row>
    <row r="467" spans="1:10">
      <c r="A467" s="3" t="s">
        <v>2</v>
      </c>
      <c r="B467" s="3" t="s">
        <v>23</v>
      </c>
      <c r="C467" s="3" t="s">
        <v>24</v>
      </c>
      <c r="D467" s="3" t="s">
        <v>25</v>
      </c>
      <c r="E467" s="3" t="s">
        <v>8</v>
      </c>
      <c r="F467" s="3" t="s">
        <v>26</v>
      </c>
      <c r="G467" s="3" t="s">
        <v>4</v>
      </c>
      <c r="I467" s="6" t="str">
        <f>"[{""plancode"":"""&amp;A468&amp;""",""returncash"":"""&amp;B$7&amp;""",""ytable"":"""&amp;C$7&amp;""",""maturerate"":"""&amp;B$3&amp;""",""maturepmrate"":"""&amp;C$3&amp;""",""coupon"":["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468" spans="1:10">
      <c r="A468" s="4" t="str">
        <f>'EN60'!A$3</f>
        <v>EN60</v>
      </c>
      <c r="B468" s="8">
        <v>62</v>
      </c>
      <c r="C468" s="4">
        <v>1</v>
      </c>
      <c r="D468" s="4">
        <f t="shared" ref="D468:D485" si="128">IF(C468+B468=80,0,8)</f>
        <v>8</v>
      </c>
      <c r="E468" s="4" t="s">
        <v>27</v>
      </c>
      <c r="F468" s="4">
        <f t="shared" ref="F468:F485" si="129">IF(C468&gt;7, 800, C468*100)</f>
        <v>100</v>
      </c>
      <c r="G468" s="5">
        <f>'EN60'!C$3</f>
        <v>1.01</v>
      </c>
      <c r="H468" s="6" t="str">
        <f t="shared" ref="H468:H485" si="130">"INSERT INTO public.coupon ("&amp;A$11&amp;", "&amp;B$11&amp;", """&amp;C$11&amp;""", "&amp;D$11&amp;", "&amp;E$11&amp;", "&amp;F$11&amp;", "&amp;G$11&amp;") VALUES('"&amp;A468&amp;"', "&amp;B468&amp;", "&amp;C468&amp;", "&amp;D468&amp;", '"&amp;E468&amp;"',"&amp;F468&amp;", "&amp;G468&amp;");"</f>
        <v>INSERT INTO public.coupon (plancode, age, "year", couponrate, benefittype, benefitrate, premiumrate) VALUES('EN60', 62, 1, 8, 'A',100, 1.01);</v>
      </c>
      <c r="I468" s="6" t="str">
        <f t="shared" ref="I468:I485" si="131">"{""age"":"""&amp;B468&amp;""", ""year"":"""&amp;C468&amp;""", ""couponrate"":"""&amp;D468&amp;""", ""benefittype"":"""&amp;E468&amp;""", ""benefitrate"":"""&amp;F468&amp;""", """&amp;G$11&amp;""":"""&amp;G468&amp;"""}"</f>
        <v>{"age":"62", "year":"1", "couponrate":"8", "benefittype":"A", "benefitrate":"100", "premiumrate":"1.01"}</v>
      </c>
      <c r="J468" s="6" t="str">
        <f t="shared" ref="J468:J484" si="132">IF(OR(I469="]", I468="[", I468="]"), "", ",")</f>
        <v>,</v>
      </c>
    </row>
    <row r="469" spans="1:10">
      <c r="A469" s="4" t="str">
        <f>'EN60'!A$3</f>
        <v>EN60</v>
      </c>
      <c r="B469" s="4">
        <f t="shared" ref="B469:B485" si="133">B468</f>
        <v>62</v>
      </c>
      <c r="C469" s="4">
        <f t="shared" ref="C469:C485" si="134">IF(B469+C468+1&gt;80,"",C468+1)</f>
        <v>2</v>
      </c>
      <c r="D469" s="4">
        <f t="shared" si="128"/>
        <v>8</v>
      </c>
      <c r="E469" s="4" t="s">
        <v>27</v>
      </c>
      <c r="F469" s="4">
        <f t="shared" si="129"/>
        <v>200</v>
      </c>
      <c r="G469" s="5">
        <f t="shared" ref="G469:G485" si="135">G468</f>
        <v>1.01</v>
      </c>
      <c r="H469" s="6" t="str">
        <f t="shared" si="130"/>
        <v>INSERT INTO public.coupon (plancode, age, "year", couponrate, benefittype, benefitrate, premiumrate) VALUES('EN60', 62, 2, 8, 'A',200, 1.01);</v>
      </c>
      <c r="I469" s="6" t="str">
        <f t="shared" si="131"/>
        <v>{"age":"62", "year":"2", "couponrate":"8", "benefittype":"A", "benefitrate":"200", "premiumrate":"1.01"}</v>
      </c>
      <c r="J469" s="6" t="str">
        <f t="shared" si="132"/>
        <v>,</v>
      </c>
    </row>
    <row r="470" spans="1:10">
      <c r="A470" s="4" t="str">
        <f>'EN60'!A$3</f>
        <v>EN60</v>
      </c>
      <c r="B470" s="4">
        <f t="shared" si="133"/>
        <v>62</v>
      </c>
      <c r="C470" s="4">
        <f t="shared" si="134"/>
        <v>3</v>
      </c>
      <c r="D470" s="4">
        <f t="shared" si="128"/>
        <v>8</v>
      </c>
      <c r="E470" s="4" t="s">
        <v>27</v>
      </c>
      <c r="F470" s="4">
        <f t="shared" si="129"/>
        <v>300</v>
      </c>
      <c r="G470" s="5">
        <f t="shared" si="135"/>
        <v>1.01</v>
      </c>
      <c r="H470" s="6" t="str">
        <f t="shared" si="130"/>
        <v>INSERT INTO public.coupon (plancode, age, "year", couponrate, benefittype, benefitrate, premiumrate) VALUES('EN60', 62, 3, 8, 'A',300, 1.01);</v>
      </c>
      <c r="I470" s="6" t="str">
        <f t="shared" si="131"/>
        <v>{"age":"62", "year":"3", "couponrate":"8", "benefittype":"A", "benefitrate":"300", "premiumrate":"1.01"}</v>
      </c>
      <c r="J470" s="6" t="str">
        <f t="shared" si="132"/>
        <v>,</v>
      </c>
    </row>
    <row r="471" spans="1:10">
      <c r="A471" s="4" t="str">
        <f>'EN60'!A$3</f>
        <v>EN60</v>
      </c>
      <c r="B471" s="4">
        <f t="shared" si="133"/>
        <v>62</v>
      </c>
      <c r="C471" s="4">
        <f t="shared" si="134"/>
        <v>4</v>
      </c>
      <c r="D471" s="4">
        <f t="shared" si="128"/>
        <v>8</v>
      </c>
      <c r="E471" s="4" t="s">
        <v>27</v>
      </c>
      <c r="F471" s="4">
        <f t="shared" si="129"/>
        <v>400</v>
      </c>
      <c r="G471" s="5">
        <f t="shared" si="135"/>
        <v>1.01</v>
      </c>
      <c r="H471" s="6" t="str">
        <f t="shared" si="130"/>
        <v>INSERT INTO public.coupon (plancode, age, "year", couponrate, benefittype, benefitrate, premiumrate) VALUES('EN60', 62, 4, 8, 'A',400, 1.01);</v>
      </c>
      <c r="I471" s="6" t="str">
        <f t="shared" si="131"/>
        <v>{"age":"62", "year":"4", "couponrate":"8", "benefittype":"A", "benefitrate":"400", "premiumrate":"1.01"}</v>
      </c>
      <c r="J471" s="6" t="str">
        <f t="shared" si="132"/>
        <v>,</v>
      </c>
    </row>
    <row r="472" spans="1:10">
      <c r="A472" s="4" t="str">
        <f>'EN60'!A$3</f>
        <v>EN60</v>
      </c>
      <c r="B472" s="4">
        <f t="shared" si="133"/>
        <v>62</v>
      </c>
      <c r="C472" s="4">
        <f t="shared" si="134"/>
        <v>5</v>
      </c>
      <c r="D472" s="4">
        <f t="shared" si="128"/>
        <v>8</v>
      </c>
      <c r="E472" s="4" t="s">
        <v>27</v>
      </c>
      <c r="F472" s="4">
        <f t="shared" si="129"/>
        <v>500</v>
      </c>
      <c r="G472" s="5">
        <f t="shared" si="135"/>
        <v>1.01</v>
      </c>
      <c r="H472" s="6" t="str">
        <f t="shared" si="130"/>
        <v>INSERT INTO public.coupon (plancode, age, "year", couponrate, benefittype, benefitrate, premiumrate) VALUES('EN60', 62, 5, 8, 'A',500, 1.01);</v>
      </c>
      <c r="I472" s="6" t="str">
        <f t="shared" si="131"/>
        <v>{"age":"62", "year":"5", "couponrate":"8", "benefittype":"A", "benefitrate":"500", "premiumrate":"1.01"}</v>
      </c>
      <c r="J472" s="6" t="str">
        <f t="shared" si="132"/>
        <v>,</v>
      </c>
    </row>
    <row r="473" spans="1:10">
      <c r="A473" s="4" t="str">
        <f>'EN60'!A$3</f>
        <v>EN60</v>
      </c>
      <c r="B473" s="4">
        <f t="shared" si="133"/>
        <v>62</v>
      </c>
      <c r="C473" s="4">
        <f t="shared" si="134"/>
        <v>6</v>
      </c>
      <c r="D473" s="4">
        <f t="shared" si="128"/>
        <v>8</v>
      </c>
      <c r="E473" s="4" t="s">
        <v>27</v>
      </c>
      <c r="F473" s="4">
        <f t="shared" si="129"/>
        <v>600</v>
      </c>
      <c r="G473" s="5">
        <f t="shared" si="135"/>
        <v>1.01</v>
      </c>
      <c r="H473" s="6" t="str">
        <f t="shared" si="130"/>
        <v>INSERT INTO public.coupon (plancode, age, "year", couponrate, benefittype, benefitrate, premiumrate) VALUES('EN60', 62, 6, 8, 'A',600, 1.01);</v>
      </c>
      <c r="I473" s="6" t="str">
        <f t="shared" si="131"/>
        <v>{"age":"62", "year":"6", "couponrate":"8", "benefittype":"A", "benefitrate":"600", "premiumrate":"1.01"}</v>
      </c>
      <c r="J473" s="6" t="str">
        <f t="shared" si="132"/>
        <v>,</v>
      </c>
    </row>
    <row r="474" spans="1:10">
      <c r="A474" s="4" t="str">
        <f>'EN60'!A$3</f>
        <v>EN60</v>
      </c>
      <c r="B474" s="4">
        <f t="shared" si="133"/>
        <v>62</v>
      </c>
      <c r="C474" s="4">
        <f t="shared" si="134"/>
        <v>7</v>
      </c>
      <c r="D474" s="4">
        <f t="shared" si="128"/>
        <v>8</v>
      </c>
      <c r="E474" s="4" t="s">
        <v>27</v>
      </c>
      <c r="F474" s="4">
        <f t="shared" si="129"/>
        <v>700</v>
      </c>
      <c r="G474" s="5">
        <f t="shared" si="135"/>
        <v>1.01</v>
      </c>
      <c r="H474" s="6" t="str">
        <f t="shared" si="130"/>
        <v>INSERT INTO public.coupon (plancode, age, "year", couponrate, benefittype, benefitrate, premiumrate) VALUES('EN60', 62, 7, 8, 'A',700, 1.01);</v>
      </c>
      <c r="I474" s="6" t="str">
        <f t="shared" si="131"/>
        <v>{"age":"62", "year":"7", "couponrate":"8", "benefittype":"A", "benefitrate":"700", "premiumrate":"1.01"}</v>
      </c>
      <c r="J474" s="6" t="str">
        <f t="shared" si="132"/>
        <v>,</v>
      </c>
    </row>
    <row r="475" spans="1:10">
      <c r="A475" s="4" t="str">
        <f>'EN60'!A$3</f>
        <v>EN60</v>
      </c>
      <c r="B475" s="4">
        <f t="shared" si="133"/>
        <v>62</v>
      </c>
      <c r="C475" s="4">
        <f t="shared" si="134"/>
        <v>8</v>
      </c>
      <c r="D475" s="4">
        <f t="shared" si="128"/>
        <v>8</v>
      </c>
      <c r="E475" s="4" t="s">
        <v>27</v>
      </c>
      <c r="F475" s="4">
        <f t="shared" si="129"/>
        <v>800</v>
      </c>
      <c r="G475" s="5">
        <f t="shared" si="135"/>
        <v>1.01</v>
      </c>
      <c r="H475" s="6" t="str">
        <f t="shared" si="130"/>
        <v>INSERT INTO public.coupon (plancode, age, "year", couponrate, benefittype, benefitrate, premiumrate) VALUES('EN60', 62, 8, 8, 'A',800, 1.01);</v>
      </c>
      <c r="I475" s="6" t="str">
        <f t="shared" si="131"/>
        <v>{"age":"62", "year":"8", "couponrate":"8", "benefittype":"A", "benefitrate":"800", "premiumrate":"1.01"}</v>
      </c>
      <c r="J475" s="6" t="str">
        <f t="shared" si="132"/>
        <v>,</v>
      </c>
    </row>
    <row r="476" spans="1:10">
      <c r="A476" s="4" t="str">
        <f>'EN60'!A$3</f>
        <v>EN60</v>
      </c>
      <c r="B476" s="4">
        <f t="shared" si="133"/>
        <v>62</v>
      </c>
      <c r="C476" s="4">
        <f t="shared" si="134"/>
        <v>9</v>
      </c>
      <c r="D476" s="4">
        <f t="shared" si="128"/>
        <v>8</v>
      </c>
      <c r="E476" s="4" t="s">
        <v>27</v>
      </c>
      <c r="F476" s="4">
        <f t="shared" si="129"/>
        <v>800</v>
      </c>
      <c r="G476" s="5">
        <f t="shared" si="135"/>
        <v>1.01</v>
      </c>
      <c r="H476" s="6" t="str">
        <f t="shared" si="130"/>
        <v>INSERT INTO public.coupon (plancode, age, "year", couponrate, benefittype, benefitrate, premiumrate) VALUES('EN60', 62, 9, 8, 'A',800, 1.01);</v>
      </c>
      <c r="I476" s="6" t="str">
        <f t="shared" si="131"/>
        <v>{"age":"62", "year":"9", "couponrate":"8", "benefittype":"A", "benefitrate":"800", "premiumrate":"1.01"}</v>
      </c>
      <c r="J476" s="6" t="str">
        <f t="shared" si="132"/>
        <v>,</v>
      </c>
    </row>
    <row r="477" spans="1:10">
      <c r="A477" s="4" t="str">
        <f>'EN60'!A$3</f>
        <v>EN60</v>
      </c>
      <c r="B477" s="4">
        <f t="shared" si="133"/>
        <v>62</v>
      </c>
      <c r="C477" s="4">
        <f t="shared" si="134"/>
        <v>10</v>
      </c>
      <c r="D477" s="4">
        <f t="shared" si="128"/>
        <v>8</v>
      </c>
      <c r="E477" s="4" t="s">
        <v>27</v>
      </c>
      <c r="F477" s="4">
        <f t="shared" si="129"/>
        <v>800</v>
      </c>
      <c r="G477" s="5">
        <f t="shared" si="135"/>
        <v>1.01</v>
      </c>
      <c r="H477" s="6" t="str">
        <f t="shared" si="130"/>
        <v>INSERT INTO public.coupon (plancode, age, "year", couponrate, benefittype, benefitrate, premiumrate) VALUES('EN60', 62, 10, 8, 'A',800, 1.01);</v>
      </c>
      <c r="I477" s="6" t="str">
        <f t="shared" si="131"/>
        <v>{"age":"62", "year":"10", "couponrate":"8", "benefittype":"A", "benefitrate":"800", "premiumrate":"1.01"}</v>
      </c>
      <c r="J477" s="6" t="str">
        <f t="shared" si="132"/>
        <v>,</v>
      </c>
    </row>
    <row r="478" spans="1:10">
      <c r="A478" s="4" t="str">
        <f>'EN60'!A$3</f>
        <v>EN60</v>
      </c>
      <c r="B478" s="4">
        <f t="shared" si="133"/>
        <v>62</v>
      </c>
      <c r="C478" s="4">
        <f t="shared" si="134"/>
        <v>11</v>
      </c>
      <c r="D478" s="4">
        <f t="shared" si="128"/>
        <v>8</v>
      </c>
      <c r="E478" s="4" t="s">
        <v>27</v>
      </c>
      <c r="F478" s="4">
        <f t="shared" si="129"/>
        <v>800</v>
      </c>
      <c r="G478" s="5">
        <f t="shared" si="135"/>
        <v>1.01</v>
      </c>
      <c r="H478" s="6" t="str">
        <f t="shared" si="130"/>
        <v>INSERT INTO public.coupon (plancode, age, "year", couponrate, benefittype, benefitrate, premiumrate) VALUES('EN60', 62, 11, 8, 'A',800, 1.01);</v>
      </c>
      <c r="I478" s="6" t="str">
        <f t="shared" si="131"/>
        <v>{"age":"62", "year":"11", "couponrate":"8", "benefittype":"A", "benefitrate":"800", "premiumrate":"1.01"}</v>
      </c>
      <c r="J478" s="6" t="str">
        <f t="shared" si="132"/>
        <v>,</v>
      </c>
    </row>
    <row r="479" spans="1:10">
      <c r="A479" s="4" t="str">
        <f>'EN60'!A$3</f>
        <v>EN60</v>
      </c>
      <c r="B479" s="4">
        <f t="shared" si="133"/>
        <v>62</v>
      </c>
      <c r="C479" s="4">
        <f t="shared" si="134"/>
        <v>12</v>
      </c>
      <c r="D479" s="4">
        <f t="shared" si="128"/>
        <v>8</v>
      </c>
      <c r="E479" s="4" t="s">
        <v>27</v>
      </c>
      <c r="F479" s="4">
        <f t="shared" si="129"/>
        <v>800</v>
      </c>
      <c r="G479" s="5">
        <f t="shared" si="135"/>
        <v>1.01</v>
      </c>
      <c r="H479" s="6" t="str">
        <f t="shared" si="130"/>
        <v>INSERT INTO public.coupon (plancode, age, "year", couponrate, benefittype, benefitrate, premiumrate) VALUES('EN60', 62, 12, 8, 'A',800, 1.01);</v>
      </c>
      <c r="I479" s="6" t="str">
        <f t="shared" si="131"/>
        <v>{"age":"62", "year":"12", "couponrate":"8", "benefittype":"A", "benefitrate":"800", "premiumrate":"1.01"}</v>
      </c>
      <c r="J479" s="6" t="str">
        <f t="shared" si="132"/>
        <v>,</v>
      </c>
    </row>
    <row r="480" spans="1:10">
      <c r="A480" s="4" t="str">
        <f>'EN60'!A$3</f>
        <v>EN60</v>
      </c>
      <c r="B480" s="4">
        <f t="shared" si="133"/>
        <v>62</v>
      </c>
      <c r="C480" s="4">
        <f t="shared" si="134"/>
        <v>13</v>
      </c>
      <c r="D480" s="4">
        <f t="shared" si="128"/>
        <v>8</v>
      </c>
      <c r="E480" s="4" t="s">
        <v>27</v>
      </c>
      <c r="F480" s="4">
        <f t="shared" si="129"/>
        <v>800</v>
      </c>
      <c r="G480" s="5">
        <f t="shared" si="135"/>
        <v>1.01</v>
      </c>
      <c r="H480" s="6" t="str">
        <f t="shared" si="130"/>
        <v>INSERT INTO public.coupon (plancode, age, "year", couponrate, benefittype, benefitrate, premiumrate) VALUES('EN60', 62, 13, 8, 'A',800, 1.01);</v>
      </c>
      <c r="I480" s="6" t="str">
        <f t="shared" si="131"/>
        <v>{"age":"62", "year":"13", "couponrate":"8", "benefittype":"A", "benefitrate":"800", "premiumrate":"1.01"}</v>
      </c>
      <c r="J480" s="6" t="str">
        <f t="shared" si="132"/>
        <v>,</v>
      </c>
    </row>
    <row r="481" spans="1:10">
      <c r="A481" s="4" t="str">
        <f>'EN60'!A$3</f>
        <v>EN60</v>
      </c>
      <c r="B481" s="4">
        <f t="shared" si="133"/>
        <v>62</v>
      </c>
      <c r="C481" s="4">
        <f t="shared" si="134"/>
        <v>14</v>
      </c>
      <c r="D481" s="4">
        <f t="shared" si="128"/>
        <v>8</v>
      </c>
      <c r="E481" s="4" t="s">
        <v>27</v>
      </c>
      <c r="F481" s="4">
        <f t="shared" si="129"/>
        <v>800</v>
      </c>
      <c r="G481" s="5">
        <f t="shared" si="135"/>
        <v>1.01</v>
      </c>
      <c r="H481" s="6" t="str">
        <f t="shared" si="130"/>
        <v>INSERT INTO public.coupon (plancode, age, "year", couponrate, benefittype, benefitrate, premiumrate) VALUES('EN60', 62, 14, 8, 'A',800, 1.01);</v>
      </c>
      <c r="I481" s="6" t="str">
        <f t="shared" si="131"/>
        <v>{"age":"62", "year":"14", "couponrate":"8", "benefittype":"A", "benefitrate":"800", "premiumrate":"1.01"}</v>
      </c>
      <c r="J481" s="6" t="str">
        <f t="shared" si="132"/>
        <v>,</v>
      </c>
    </row>
    <row r="482" spans="1:10">
      <c r="A482" s="4" t="str">
        <f>'EN60'!A$3</f>
        <v>EN60</v>
      </c>
      <c r="B482" s="4">
        <f t="shared" si="133"/>
        <v>62</v>
      </c>
      <c r="C482" s="4">
        <f t="shared" si="134"/>
        <v>15</v>
      </c>
      <c r="D482" s="4">
        <f t="shared" si="128"/>
        <v>8</v>
      </c>
      <c r="E482" s="4" t="s">
        <v>27</v>
      </c>
      <c r="F482" s="4">
        <f t="shared" si="129"/>
        <v>800</v>
      </c>
      <c r="G482" s="5">
        <f t="shared" si="135"/>
        <v>1.01</v>
      </c>
      <c r="H482" s="6" t="str">
        <f t="shared" si="130"/>
        <v>INSERT INTO public.coupon (plancode, age, "year", couponrate, benefittype, benefitrate, premiumrate) VALUES('EN60', 62, 15, 8, 'A',800, 1.01);</v>
      </c>
      <c r="I482" s="6" t="str">
        <f t="shared" si="131"/>
        <v>{"age":"62", "year":"15", "couponrate":"8", "benefittype":"A", "benefitrate":"800", "premiumrate":"1.01"}</v>
      </c>
      <c r="J482" s="6" t="str">
        <f t="shared" si="132"/>
        <v>,</v>
      </c>
    </row>
    <row r="483" spans="1:10">
      <c r="A483" s="4" t="str">
        <f>'EN60'!A$3</f>
        <v>EN60</v>
      </c>
      <c r="B483" s="4">
        <f t="shared" si="133"/>
        <v>62</v>
      </c>
      <c r="C483" s="4">
        <f t="shared" si="134"/>
        <v>16</v>
      </c>
      <c r="D483" s="4">
        <f t="shared" si="128"/>
        <v>8</v>
      </c>
      <c r="E483" s="4" t="s">
        <v>27</v>
      </c>
      <c r="F483" s="4">
        <f t="shared" si="129"/>
        <v>800</v>
      </c>
      <c r="G483" s="5">
        <f t="shared" si="135"/>
        <v>1.01</v>
      </c>
      <c r="H483" s="6" t="str">
        <f t="shared" si="130"/>
        <v>INSERT INTO public.coupon (plancode, age, "year", couponrate, benefittype, benefitrate, premiumrate) VALUES('EN60', 62, 16, 8, 'A',800, 1.01);</v>
      </c>
      <c r="I483" s="6" t="str">
        <f t="shared" si="131"/>
        <v>{"age":"62", "year":"16", "couponrate":"8", "benefittype":"A", "benefitrate":"800", "premiumrate":"1.01"}</v>
      </c>
      <c r="J483" s="6" t="str">
        <f t="shared" si="132"/>
        <v>,</v>
      </c>
    </row>
    <row r="484" spans="1:10">
      <c r="A484" s="4" t="str">
        <f>'EN60'!A$3</f>
        <v>EN60</v>
      </c>
      <c r="B484" s="4">
        <f t="shared" si="133"/>
        <v>62</v>
      </c>
      <c r="C484" s="4">
        <f t="shared" si="134"/>
        <v>17</v>
      </c>
      <c r="D484" s="4">
        <f t="shared" si="128"/>
        <v>8</v>
      </c>
      <c r="E484" s="4" t="s">
        <v>27</v>
      </c>
      <c r="F484" s="4">
        <f t="shared" si="129"/>
        <v>800</v>
      </c>
      <c r="G484" s="5">
        <f t="shared" si="135"/>
        <v>1.01</v>
      </c>
      <c r="H484" s="6" t="str">
        <f t="shared" si="130"/>
        <v>INSERT INTO public.coupon (plancode, age, "year", couponrate, benefittype, benefitrate, premiumrate) VALUES('EN60', 62, 17, 8, 'A',800, 1.01);</v>
      </c>
      <c r="I484" s="6" t="str">
        <f t="shared" si="131"/>
        <v>{"age":"62", "year":"17", "couponrate":"8", "benefittype":"A", "benefitrate":"800", "premiumrate":"1.01"}</v>
      </c>
      <c r="J484" s="6" t="str">
        <f t="shared" si="132"/>
        <v>,</v>
      </c>
    </row>
    <row r="485" spans="1:10">
      <c r="A485" s="4" t="str">
        <f>'EN60'!A$3</f>
        <v>EN60</v>
      </c>
      <c r="B485" s="4">
        <f t="shared" si="133"/>
        <v>62</v>
      </c>
      <c r="C485" s="4">
        <f t="shared" si="134"/>
        <v>18</v>
      </c>
      <c r="D485" s="4">
        <f t="shared" si="128"/>
        <v>0</v>
      </c>
      <c r="E485" s="4" t="s">
        <v>27</v>
      </c>
      <c r="F485" s="4">
        <f t="shared" si="129"/>
        <v>800</v>
      </c>
      <c r="G485" s="5">
        <f t="shared" si="135"/>
        <v>1.01</v>
      </c>
      <c r="H485" s="6" t="str">
        <f t="shared" si="130"/>
        <v>INSERT INTO public.coupon (plancode, age, "year", couponrate, benefittype, benefitrate, premiumrate) VALUES('EN60', 62, 18, 0, 'A',800, 1.01);</v>
      </c>
      <c r="I485" s="6" t="str">
        <f t="shared" si="131"/>
        <v>{"age":"62", "year":"18", "couponrate":"0", "benefittype":"A", "benefitrate":"800", "premiumrate":"1.01"}</v>
      </c>
    </row>
    <row r="486" spans="1:10">
      <c r="C486" s="6"/>
      <c r="I486" s="6" t="s">
        <v>28</v>
      </c>
    </row>
    <row r="487" spans="1:10">
      <c r="A487" s="3" t="s">
        <v>2</v>
      </c>
      <c r="B487" s="3" t="s">
        <v>23</v>
      </c>
      <c r="C487" s="3" t="s">
        <v>24</v>
      </c>
      <c r="D487" s="3" t="s">
        <v>25</v>
      </c>
      <c r="E487" s="3" t="s">
        <v>8</v>
      </c>
      <c r="F487" s="3" t="s">
        <v>26</v>
      </c>
      <c r="G487" s="3" t="s">
        <v>4</v>
      </c>
      <c r="I487" s="6" t="str">
        <f>"[{""plancode"":"""&amp;A488&amp;""",""returncash"":"""&amp;B$7&amp;""",""ytable"":"""&amp;C$7&amp;""",""maturerate"":"""&amp;B$3&amp;""",""maturepmrate"":"""&amp;C$3&amp;""",""coupon"":["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488" spans="1:10">
      <c r="A488" s="4" t="str">
        <f>'EN60'!A$3</f>
        <v>EN60</v>
      </c>
      <c r="B488" s="8">
        <v>63</v>
      </c>
      <c r="C488" s="4">
        <v>1</v>
      </c>
      <c r="D488" s="4">
        <f t="shared" ref="D488:D504" si="136">IF(C488+B488=80,0,8)</f>
        <v>8</v>
      </c>
      <c r="E488" s="4" t="s">
        <v>27</v>
      </c>
      <c r="F488" s="4">
        <f t="shared" ref="F488:F504" si="137">IF(C488&gt;7, 800, C488*100)</f>
        <v>100</v>
      </c>
      <c r="G488" s="5">
        <f>'EN60'!C$3</f>
        <v>1.01</v>
      </c>
      <c r="H488" s="6" t="str">
        <f t="shared" ref="H488:H504" si="138">"INSERT INTO public.coupon ("&amp;A$11&amp;", "&amp;B$11&amp;", """&amp;C$11&amp;""", "&amp;D$11&amp;", "&amp;E$11&amp;", "&amp;F$11&amp;", "&amp;G$11&amp;") VALUES('"&amp;A488&amp;"', "&amp;B488&amp;", "&amp;C488&amp;", "&amp;D488&amp;", '"&amp;E488&amp;"',"&amp;F488&amp;", "&amp;G488&amp;");"</f>
        <v>INSERT INTO public.coupon (plancode, age, "year", couponrate, benefittype, benefitrate, premiumrate) VALUES('EN60', 63, 1, 8, 'A',100, 1.01);</v>
      </c>
      <c r="I488" s="6" t="str">
        <f t="shared" ref="I488:I504" si="139">"{""age"":"""&amp;B488&amp;""", ""year"":"""&amp;C488&amp;""", ""couponrate"":"""&amp;D488&amp;""", ""benefittype"":"""&amp;E488&amp;""", ""benefitrate"":"""&amp;F488&amp;""", """&amp;G$11&amp;""":"""&amp;G488&amp;"""}"</f>
        <v>{"age":"63", "year":"1", "couponrate":"8", "benefittype":"A", "benefitrate":"100", "premiumrate":"1.01"}</v>
      </c>
      <c r="J488" s="6" t="str">
        <f t="shared" ref="J488:J503" si="140">IF(OR(I489="]", I488="[", I488="]"), "", ",")</f>
        <v>,</v>
      </c>
    </row>
    <row r="489" spans="1:10">
      <c r="A489" s="4" t="str">
        <f>'EN60'!A$3</f>
        <v>EN60</v>
      </c>
      <c r="B489" s="4">
        <f t="shared" ref="B489:B504" si="141">B488</f>
        <v>63</v>
      </c>
      <c r="C489" s="4">
        <f t="shared" ref="C489:C504" si="142">IF(B489+C488+1&gt;80,"",C488+1)</f>
        <v>2</v>
      </c>
      <c r="D489" s="4">
        <f t="shared" si="136"/>
        <v>8</v>
      </c>
      <c r="E489" s="4" t="s">
        <v>27</v>
      </c>
      <c r="F489" s="4">
        <f t="shared" si="137"/>
        <v>200</v>
      </c>
      <c r="G489" s="5">
        <f t="shared" ref="G489:G504" si="143">G488</f>
        <v>1.01</v>
      </c>
      <c r="H489" s="6" t="str">
        <f t="shared" si="138"/>
        <v>INSERT INTO public.coupon (plancode, age, "year", couponrate, benefittype, benefitrate, premiumrate) VALUES('EN60', 63, 2, 8, 'A',200, 1.01);</v>
      </c>
      <c r="I489" s="6" t="str">
        <f t="shared" si="139"/>
        <v>{"age":"63", "year":"2", "couponrate":"8", "benefittype":"A", "benefitrate":"200", "premiumrate":"1.01"}</v>
      </c>
      <c r="J489" s="6" t="str">
        <f t="shared" si="140"/>
        <v>,</v>
      </c>
    </row>
    <row r="490" spans="1:10">
      <c r="A490" s="4" t="str">
        <f>'EN60'!A$3</f>
        <v>EN60</v>
      </c>
      <c r="B490" s="4">
        <f t="shared" si="141"/>
        <v>63</v>
      </c>
      <c r="C490" s="4">
        <f t="shared" si="142"/>
        <v>3</v>
      </c>
      <c r="D490" s="4">
        <f t="shared" si="136"/>
        <v>8</v>
      </c>
      <c r="E490" s="4" t="s">
        <v>27</v>
      </c>
      <c r="F490" s="4">
        <f t="shared" si="137"/>
        <v>300</v>
      </c>
      <c r="G490" s="5">
        <f t="shared" si="143"/>
        <v>1.01</v>
      </c>
      <c r="H490" s="6" t="str">
        <f t="shared" si="138"/>
        <v>INSERT INTO public.coupon (plancode, age, "year", couponrate, benefittype, benefitrate, premiumrate) VALUES('EN60', 63, 3, 8, 'A',300, 1.01);</v>
      </c>
      <c r="I490" s="6" t="str">
        <f t="shared" si="139"/>
        <v>{"age":"63", "year":"3", "couponrate":"8", "benefittype":"A", "benefitrate":"300", "premiumrate":"1.01"}</v>
      </c>
      <c r="J490" s="6" t="str">
        <f t="shared" si="140"/>
        <v>,</v>
      </c>
    </row>
    <row r="491" spans="1:10">
      <c r="A491" s="4" t="str">
        <f>'EN60'!A$3</f>
        <v>EN60</v>
      </c>
      <c r="B491" s="4">
        <f t="shared" si="141"/>
        <v>63</v>
      </c>
      <c r="C491" s="4">
        <f t="shared" si="142"/>
        <v>4</v>
      </c>
      <c r="D491" s="4">
        <f t="shared" si="136"/>
        <v>8</v>
      </c>
      <c r="E491" s="4" t="s">
        <v>27</v>
      </c>
      <c r="F491" s="4">
        <f t="shared" si="137"/>
        <v>400</v>
      </c>
      <c r="G491" s="5">
        <f t="shared" si="143"/>
        <v>1.01</v>
      </c>
      <c r="H491" s="6" t="str">
        <f t="shared" si="138"/>
        <v>INSERT INTO public.coupon (plancode, age, "year", couponrate, benefittype, benefitrate, premiumrate) VALUES('EN60', 63, 4, 8, 'A',400, 1.01);</v>
      </c>
      <c r="I491" s="6" t="str">
        <f t="shared" si="139"/>
        <v>{"age":"63", "year":"4", "couponrate":"8", "benefittype":"A", "benefitrate":"400", "premiumrate":"1.01"}</v>
      </c>
      <c r="J491" s="6" t="str">
        <f t="shared" si="140"/>
        <v>,</v>
      </c>
    </row>
    <row r="492" spans="1:10">
      <c r="A492" s="4" t="str">
        <f>'EN60'!A$3</f>
        <v>EN60</v>
      </c>
      <c r="B492" s="4">
        <f t="shared" si="141"/>
        <v>63</v>
      </c>
      <c r="C492" s="4">
        <f t="shared" si="142"/>
        <v>5</v>
      </c>
      <c r="D492" s="4">
        <f t="shared" si="136"/>
        <v>8</v>
      </c>
      <c r="E492" s="4" t="s">
        <v>27</v>
      </c>
      <c r="F492" s="4">
        <f t="shared" si="137"/>
        <v>500</v>
      </c>
      <c r="G492" s="5">
        <f t="shared" si="143"/>
        <v>1.01</v>
      </c>
      <c r="H492" s="6" t="str">
        <f t="shared" si="138"/>
        <v>INSERT INTO public.coupon (plancode, age, "year", couponrate, benefittype, benefitrate, premiumrate) VALUES('EN60', 63, 5, 8, 'A',500, 1.01);</v>
      </c>
      <c r="I492" s="6" t="str">
        <f t="shared" si="139"/>
        <v>{"age":"63", "year":"5", "couponrate":"8", "benefittype":"A", "benefitrate":"500", "premiumrate":"1.01"}</v>
      </c>
      <c r="J492" s="6" t="str">
        <f t="shared" si="140"/>
        <v>,</v>
      </c>
    </row>
    <row r="493" spans="1:10">
      <c r="A493" s="4" t="str">
        <f>'EN60'!A$3</f>
        <v>EN60</v>
      </c>
      <c r="B493" s="4">
        <f t="shared" si="141"/>
        <v>63</v>
      </c>
      <c r="C493" s="4">
        <f t="shared" si="142"/>
        <v>6</v>
      </c>
      <c r="D493" s="4">
        <f t="shared" si="136"/>
        <v>8</v>
      </c>
      <c r="E493" s="4" t="s">
        <v>27</v>
      </c>
      <c r="F493" s="4">
        <f t="shared" si="137"/>
        <v>600</v>
      </c>
      <c r="G493" s="5">
        <f t="shared" si="143"/>
        <v>1.01</v>
      </c>
      <c r="H493" s="6" t="str">
        <f t="shared" si="138"/>
        <v>INSERT INTO public.coupon (plancode, age, "year", couponrate, benefittype, benefitrate, premiumrate) VALUES('EN60', 63, 6, 8, 'A',600, 1.01);</v>
      </c>
      <c r="I493" s="6" t="str">
        <f t="shared" si="139"/>
        <v>{"age":"63", "year":"6", "couponrate":"8", "benefittype":"A", "benefitrate":"600", "premiumrate":"1.01"}</v>
      </c>
      <c r="J493" s="6" t="str">
        <f t="shared" si="140"/>
        <v>,</v>
      </c>
    </row>
    <row r="494" spans="1:10">
      <c r="A494" s="4" t="str">
        <f>'EN60'!A$3</f>
        <v>EN60</v>
      </c>
      <c r="B494" s="4">
        <f t="shared" si="141"/>
        <v>63</v>
      </c>
      <c r="C494" s="4">
        <f t="shared" si="142"/>
        <v>7</v>
      </c>
      <c r="D494" s="4">
        <f t="shared" si="136"/>
        <v>8</v>
      </c>
      <c r="E494" s="4" t="s">
        <v>27</v>
      </c>
      <c r="F494" s="4">
        <f t="shared" si="137"/>
        <v>700</v>
      </c>
      <c r="G494" s="5">
        <f t="shared" si="143"/>
        <v>1.01</v>
      </c>
      <c r="H494" s="6" t="str">
        <f t="shared" si="138"/>
        <v>INSERT INTO public.coupon (plancode, age, "year", couponrate, benefittype, benefitrate, premiumrate) VALUES('EN60', 63, 7, 8, 'A',700, 1.01);</v>
      </c>
      <c r="I494" s="6" t="str">
        <f t="shared" si="139"/>
        <v>{"age":"63", "year":"7", "couponrate":"8", "benefittype":"A", "benefitrate":"700", "premiumrate":"1.01"}</v>
      </c>
      <c r="J494" s="6" t="str">
        <f t="shared" si="140"/>
        <v>,</v>
      </c>
    </row>
    <row r="495" spans="1:10">
      <c r="A495" s="4" t="str">
        <f>'EN60'!A$3</f>
        <v>EN60</v>
      </c>
      <c r="B495" s="4">
        <f t="shared" si="141"/>
        <v>63</v>
      </c>
      <c r="C495" s="4">
        <f t="shared" si="142"/>
        <v>8</v>
      </c>
      <c r="D495" s="4">
        <f t="shared" si="136"/>
        <v>8</v>
      </c>
      <c r="E495" s="4" t="s">
        <v>27</v>
      </c>
      <c r="F495" s="4">
        <f t="shared" si="137"/>
        <v>800</v>
      </c>
      <c r="G495" s="5">
        <f t="shared" si="143"/>
        <v>1.01</v>
      </c>
      <c r="H495" s="6" t="str">
        <f t="shared" si="138"/>
        <v>INSERT INTO public.coupon (plancode, age, "year", couponrate, benefittype, benefitrate, premiumrate) VALUES('EN60', 63, 8, 8, 'A',800, 1.01);</v>
      </c>
      <c r="I495" s="6" t="str">
        <f t="shared" si="139"/>
        <v>{"age":"63", "year":"8", "couponrate":"8", "benefittype":"A", "benefitrate":"800", "premiumrate":"1.01"}</v>
      </c>
      <c r="J495" s="6" t="str">
        <f t="shared" si="140"/>
        <v>,</v>
      </c>
    </row>
    <row r="496" spans="1:10">
      <c r="A496" s="4" t="str">
        <f>'EN60'!A$3</f>
        <v>EN60</v>
      </c>
      <c r="B496" s="4">
        <f t="shared" si="141"/>
        <v>63</v>
      </c>
      <c r="C496" s="4">
        <f t="shared" si="142"/>
        <v>9</v>
      </c>
      <c r="D496" s="4">
        <f t="shared" si="136"/>
        <v>8</v>
      </c>
      <c r="E496" s="4" t="s">
        <v>27</v>
      </c>
      <c r="F496" s="4">
        <f t="shared" si="137"/>
        <v>800</v>
      </c>
      <c r="G496" s="5">
        <f t="shared" si="143"/>
        <v>1.01</v>
      </c>
      <c r="H496" s="6" t="str">
        <f t="shared" si="138"/>
        <v>INSERT INTO public.coupon (plancode, age, "year", couponrate, benefittype, benefitrate, premiumrate) VALUES('EN60', 63, 9, 8, 'A',800, 1.01);</v>
      </c>
      <c r="I496" s="6" t="str">
        <f t="shared" si="139"/>
        <v>{"age":"63", "year":"9", "couponrate":"8", "benefittype":"A", "benefitrate":"800", "premiumrate":"1.01"}</v>
      </c>
      <c r="J496" s="6" t="str">
        <f t="shared" si="140"/>
        <v>,</v>
      </c>
    </row>
    <row r="497" spans="1:10">
      <c r="A497" s="4" t="str">
        <f>'EN60'!A$3</f>
        <v>EN60</v>
      </c>
      <c r="B497" s="4">
        <f t="shared" si="141"/>
        <v>63</v>
      </c>
      <c r="C497" s="4">
        <f t="shared" si="142"/>
        <v>10</v>
      </c>
      <c r="D497" s="4">
        <f t="shared" si="136"/>
        <v>8</v>
      </c>
      <c r="E497" s="4" t="s">
        <v>27</v>
      </c>
      <c r="F497" s="4">
        <f t="shared" si="137"/>
        <v>800</v>
      </c>
      <c r="G497" s="5">
        <f t="shared" si="143"/>
        <v>1.01</v>
      </c>
      <c r="H497" s="6" t="str">
        <f t="shared" si="138"/>
        <v>INSERT INTO public.coupon (plancode, age, "year", couponrate, benefittype, benefitrate, premiumrate) VALUES('EN60', 63, 10, 8, 'A',800, 1.01);</v>
      </c>
      <c r="I497" s="6" t="str">
        <f t="shared" si="139"/>
        <v>{"age":"63", "year":"10", "couponrate":"8", "benefittype":"A", "benefitrate":"800", "premiumrate":"1.01"}</v>
      </c>
      <c r="J497" s="6" t="str">
        <f t="shared" si="140"/>
        <v>,</v>
      </c>
    </row>
    <row r="498" spans="1:10">
      <c r="A498" s="4" t="str">
        <f>'EN60'!A$3</f>
        <v>EN60</v>
      </c>
      <c r="B498" s="4">
        <f t="shared" si="141"/>
        <v>63</v>
      </c>
      <c r="C498" s="4">
        <f t="shared" si="142"/>
        <v>11</v>
      </c>
      <c r="D498" s="4">
        <f t="shared" si="136"/>
        <v>8</v>
      </c>
      <c r="E498" s="4" t="s">
        <v>27</v>
      </c>
      <c r="F498" s="4">
        <f t="shared" si="137"/>
        <v>800</v>
      </c>
      <c r="G498" s="5">
        <f t="shared" si="143"/>
        <v>1.01</v>
      </c>
      <c r="H498" s="6" t="str">
        <f t="shared" si="138"/>
        <v>INSERT INTO public.coupon (plancode, age, "year", couponrate, benefittype, benefitrate, premiumrate) VALUES('EN60', 63, 11, 8, 'A',800, 1.01);</v>
      </c>
      <c r="I498" s="6" t="str">
        <f t="shared" si="139"/>
        <v>{"age":"63", "year":"11", "couponrate":"8", "benefittype":"A", "benefitrate":"800", "premiumrate":"1.01"}</v>
      </c>
      <c r="J498" s="6" t="str">
        <f t="shared" si="140"/>
        <v>,</v>
      </c>
    </row>
    <row r="499" spans="1:10">
      <c r="A499" s="4" t="str">
        <f>'EN60'!A$3</f>
        <v>EN60</v>
      </c>
      <c r="B499" s="4">
        <f t="shared" si="141"/>
        <v>63</v>
      </c>
      <c r="C499" s="4">
        <f t="shared" si="142"/>
        <v>12</v>
      </c>
      <c r="D499" s="4">
        <f t="shared" si="136"/>
        <v>8</v>
      </c>
      <c r="E499" s="4" t="s">
        <v>27</v>
      </c>
      <c r="F499" s="4">
        <f t="shared" si="137"/>
        <v>800</v>
      </c>
      <c r="G499" s="5">
        <f t="shared" si="143"/>
        <v>1.01</v>
      </c>
      <c r="H499" s="6" t="str">
        <f t="shared" si="138"/>
        <v>INSERT INTO public.coupon (plancode, age, "year", couponrate, benefittype, benefitrate, premiumrate) VALUES('EN60', 63, 12, 8, 'A',800, 1.01);</v>
      </c>
      <c r="I499" s="6" t="str">
        <f t="shared" si="139"/>
        <v>{"age":"63", "year":"12", "couponrate":"8", "benefittype":"A", "benefitrate":"800", "premiumrate":"1.01"}</v>
      </c>
      <c r="J499" s="6" t="str">
        <f t="shared" si="140"/>
        <v>,</v>
      </c>
    </row>
    <row r="500" spans="1:10">
      <c r="A500" s="4" t="str">
        <f>'EN60'!A$3</f>
        <v>EN60</v>
      </c>
      <c r="B500" s="4">
        <f t="shared" si="141"/>
        <v>63</v>
      </c>
      <c r="C500" s="4">
        <f t="shared" si="142"/>
        <v>13</v>
      </c>
      <c r="D500" s="4">
        <f t="shared" si="136"/>
        <v>8</v>
      </c>
      <c r="E500" s="4" t="s">
        <v>27</v>
      </c>
      <c r="F500" s="4">
        <f t="shared" si="137"/>
        <v>800</v>
      </c>
      <c r="G500" s="5">
        <f t="shared" si="143"/>
        <v>1.01</v>
      </c>
      <c r="H500" s="6" t="str">
        <f t="shared" si="138"/>
        <v>INSERT INTO public.coupon (plancode, age, "year", couponrate, benefittype, benefitrate, premiumrate) VALUES('EN60', 63, 13, 8, 'A',800, 1.01);</v>
      </c>
      <c r="I500" s="6" t="str">
        <f t="shared" si="139"/>
        <v>{"age":"63", "year":"13", "couponrate":"8", "benefittype":"A", "benefitrate":"800", "premiumrate":"1.01"}</v>
      </c>
      <c r="J500" s="6" t="str">
        <f t="shared" si="140"/>
        <v>,</v>
      </c>
    </row>
    <row r="501" spans="1:10">
      <c r="A501" s="4" t="str">
        <f>'EN60'!A$3</f>
        <v>EN60</v>
      </c>
      <c r="B501" s="4">
        <f t="shared" si="141"/>
        <v>63</v>
      </c>
      <c r="C501" s="4">
        <f t="shared" si="142"/>
        <v>14</v>
      </c>
      <c r="D501" s="4">
        <f t="shared" si="136"/>
        <v>8</v>
      </c>
      <c r="E501" s="4" t="s">
        <v>27</v>
      </c>
      <c r="F501" s="4">
        <f t="shared" si="137"/>
        <v>800</v>
      </c>
      <c r="G501" s="5">
        <f t="shared" si="143"/>
        <v>1.01</v>
      </c>
      <c r="H501" s="6" t="str">
        <f t="shared" si="138"/>
        <v>INSERT INTO public.coupon (plancode, age, "year", couponrate, benefittype, benefitrate, premiumrate) VALUES('EN60', 63, 14, 8, 'A',800, 1.01);</v>
      </c>
      <c r="I501" s="6" t="str">
        <f t="shared" si="139"/>
        <v>{"age":"63", "year":"14", "couponrate":"8", "benefittype":"A", "benefitrate":"800", "premiumrate":"1.01"}</v>
      </c>
      <c r="J501" s="6" t="str">
        <f t="shared" si="140"/>
        <v>,</v>
      </c>
    </row>
    <row r="502" spans="1:10">
      <c r="A502" s="4" t="str">
        <f>'EN60'!A$3</f>
        <v>EN60</v>
      </c>
      <c r="B502" s="4">
        <f t="shared" si="141"/>
        <v>63</v>
      </c>
      <c r="C502" s="4">
        <f t="shared" si="142"/>
        <v>15</v>
      </c>
      <c r="D502" s="4">
        <f t="shared" si="136"/>
        <v>8</v>
      </c>
      <c r="E502" s="4" t="s">
        <v>27</v>
      </c>
      <c r="F502" s="4">
        <f t="shared" si="137"/>
        <v>800</v>
      </c>
      <c r="G502" s="5">
        <f t="shared" si="143"/>
        <v>1.01</v>
      </c>
      <c r="H502" s="6" t="str">
        <f t="shared" si="138"/>
        <v>INSERT INTO public.coupon (plancode, age, "year", couponrate, benefittype, benefitrate, premiumrate) VALUES('EN60', 63, 15, 8, 'A',800, 1.01);</v>
      </c>
      <c r="I502" s="6" t="str">
        <f t="shared" si="139"/>
        <v>{"age":"63", "year":"15", "couponrate":"8", "benefittype":"A", "benefitrate":"800", "premiumrate":"1.01"}</v>
      </c>
      <c r="J502" s="6" t="str">
        <f t="shared" si="140"/>
        <v>,</v>
      </c>
    </row>
    <row r="503" spans="1:10">
      <c r="A503" s="4" t="str">
        <f>'EN60'!A$3</f>
        <v>EN60</v>
      </c>
      <c r="B503" s="4">
        <f t="shared" si="141"/>
        <v>63</v>
      </c>
      <c r="C503" s="4">
        <f t="shared" si="142"/>
        <v>16</v>
      </c>
      <c r="D503" s="4">
        <f t="shared" si="136"/>
        <v>8</v>
      </c>
      <c r="E503" s="4" t="s">
        <v>27</v>
      </c>
      <c r="F503" s="4">
        <f t="shared" si="137"/>
        <v>800</v>
      </c>
      <c r="G503" s="5">
        <f t="shared" si="143"/>
        <v>1.01</v>
      </c>
      <c r="H503" s="6" t="str">
        <f t="shared" si="138"/>
        <v>INSERT INTO public.coupon (plancode, age, "year", couponrate, benefittype, benefitrate, premiumrate) VALUES('EN60', 63, 16, 8, 'A',800, 1.01);</v>
      </c>
      <c r="I503" s="6" t="str">
        <f t="shared" si="139"/>
        <v>{"age":"63", "year":"16", "couponrate":"8", "benefittype":"A", "benefitrate":"800", "premiumrate":"1.01"}</v>
      </c>
      <c r="J503" s="6" t="str">
        <f t="shared" si="140"/>
        <v>,</v>
      </c>
    </row>
    <row r="504" spans="1:10">
      <c r="A504" s="4" t="str">
        <f>'EN60'!A$3</f>
        <v>EN60</v>
      </c>
      <c r="B504" s="4">
        <f t="shared" si="141"/>
        <v>63</v>
      </c>
      <c r="C504" s="4">
        <f t="shared" si="142"/>
        <v>17</v>
      </c>
      <c r="D504" s="4">
        <f t="shared" si="136"/>
        <v>0</v>
      </c>
      <c r="E504" s="4" t="s">
        <v>27</v>
      </c>
      <c r="F504" s="4">
        <f t="shared" si="137"/>
        <v>800</v>
      </c>
      <c r="G504" s="5">
        <f t="shared" si="143"/>
        <v>1.01</v>
      </c>
      <c r="H504" s="6" t="str">
        <f t="shared" si="138"/>
        <v>INSERT INTO public.coupon (plancode, age, "year", couponrate, benefittype, benefitrate, premiumrate) VALUES('EN60', 63, 17, 0, 'A',800, 1.01);</v>
      </c>
      <c r="I504" s="6" t="str">
        <f t="shared" si="139"/>
        <v>{"age":"63", "year":"17", "couponrate":"0", "benefittype":"A", "benefitrate":"800", "premiumrate":"1.01"}</v>
      </c>
    </row>
    <row r="505" spans="1:10">
      <c r="C505" s="6"/>
      <c r="I505" s="6" t="s">
        <v>28</v>
      </c>
    </row>
    <row r="506" spans="1:10">
      <c r="A506" s="3" t="s">
        <v>2</v>
      </c>
      <c r="B506" s="3" t="s">
        <v>23</v>
      </c>
      <c r="C506" s="3" t="s">
        <v>24</v>
      </c>
      <c r="D506" s="3" t="s">
        <v>25</v>
      </c>
      <c r="E506" s="3" t="s">
        <v>8</v>
      </c>
      <c r="F506" s="3" t="s">
        <v>26</v>
      </c>
      <c r="G506" s="3" t="s">
        <v>4</v>
      </c>
      <c r="I506" s="6" t="str">
        <f>"[{""plancode"":"""&amp;A507&amp;""",""returncash"":"""&amp;B$7&amp;""",""ytable"":"""&amp;C$7&amp;""",""maturerate"":"""&amp;B$3&amp;""",""maturepmrate"":"""&amp;C$3&amp;""",""coupon"":["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507" spans="1:10">
      <c r="A507" s="4" t="str">
        <f>'EN60'!A$3</f>
        <v>EN60</v>
      </c>
      <c r="B507" s="8">
        <v>64</v>
      </c>
      <c r="C507" s="4">
        <v>1</v>
      </c>
      <c r="D507" s="4">
        <f t="shared" ref="D507:D522" si="144">IF(C507+B507=80,0,8)</f>
        <v>8</v>
      </c>
      <c r="E507" s="4" t="s">
        <v>27</v>
      </c>
      <c r="F507" s="4">
        <f t="shared" ref="F507:F522" si="145">IF(C507&gt;7, 800, C507*100)</f>
        <v>100</v>
      </c>
      <c r="G507" s="5">
        <f>'EN60'!C$3</f>
        <v>1.01</v>
      </c>
      <c r="H507" s="6" t="str">
        <f t="shared" ref="H507:H522" si="146">"INSERT INTO public.coupon ("&amp;A$11&amp;", "&amp;B$11&amp;", """&amp;C$11&amp;""", "&amp;D$11&amp;", "&amp;E$11&amp;", "&amp;F$11&amp;", "&amp;G$11&amp;") VALUES('"&amp;A507&amp;"', "&amp;B507&amp;", "&amp;C507&amp;", "&amp;D507&amp;", '"&amp;E507&amp;"',"&amp;F507&amp;", "&amp;G507&amp;");"</f>
        <v>INSERT INTO public.coupon (plancode, age, "year", couponrate, benefittype, benefitrate, premiumrate) VALUES('EN60', 64, 1, 8, 'A',100, 1.01);</v>
      </c>
      <c r="I507" s="6" t="str">
        <f t="shared" ref="I507:I522" si="147">"{""age"":"""&amp;B507&amp;""", ""year"":"""&amp;C507&amp;""", ""couponrate"":"""&amp;D507&amp;""", ""benefittype"":"""&amp;E507&amp;""", ""benefitrate"":"""&amp;F507&amp;""", """&amp;G$11&amp;""":"""&amp;G507&amp;"""}"</f>
        <v>{"age":"64", "year":"1", "couponrate":"8", "benefittype":"A", "benefitrate":"100", "premiumrate":"1.01"}</v>
      </c>
      <c r="J507" s="6" t="str">
        <f t="shared" ref="J507:J521" si="148">IF(OR(I508="]", I507="[", I507="]"), "", ",")</f>
        <v>,</v>
      </c>
    </row>
    <row r="508" spans="1:10">
      <c r="A508" s="4" t="str">
        <f>'EN60'!A$3</f>
        <v>EN60</v>
      </c>
      <c r="B508" s="4">
        <f t="shared" ref="B508:B522" si="149">B507</f>
        <v>64</v>
      </c>
      <c r="C508" s="4">
        <f t="shared" ref="C508:C522" si="150">IF(B508+C507+1&gt;80,"",C507+1)</f>
        <v>2</v>
      </c>
      <c r="D508" s="4">
        <f t="shared" si="144"/>
        <v>8</v>
      </c>
      <c r="E508" s="4" t="s">
        <v>27</v>
      </c>
      <c r="F508" s="4">
        <f t="shared" si="145"/>
        <v>200</v>
      </c>
      <c r="G508" s="5">
        <f t="shared" ref="G508:G522" si="151">G507</f>
        <v>1.01</v>
      </c>
      <c r="H508" s="6" t="str">
        <f t="shared" si="146"/>
        <v>INSERT INTO public.coupon (plancode, age, "year", couponrate, benefittype, benefitrate, premiumrate) VALUES('EN60', 64, 2, 8, 'A',200, 1.01);</v>
      </c>
      <c r="I508" s="6" t="str">
        <f t="shared" si="147"/>
        <v>{"age":"64", "year":"2", "couponrate":"8", "benefittype":"A", "benefitrate":"200", "premiumrate":"1.01"}</v>
      </c>
      <c r="J508" s="6" t="str">
        <f t="shared" si="148"/>
        <v>,</v>
      </c>
    </row>
    <row r="509" spans="1:10">
      <c r="A509" s="4" t="str">
        <f>'EN60'!A$3</f>
        <v>EN60</v>
      </c>
      <c r="B509" s="4">
        <f t="shared" si="149"/>
        <v>64</v>
      </c>
      <c r="C509" s="4">
        <f t="shared" si="150"/>
        <v>3</v>
      </c>
      <c r="D509" s="4">
        <f t="shared" si="144"/>
        <v>8</v>
      </c>
      <c r="E509" s="4" t="s">
        <v>27</v>
      </c>
      <c r="F509" s="4">
        <f t="shared" si="145"/>
        <v>300</v>
      </c>
      <c r="G509" s="5">
        <f t="shared" si="151"/>
        <v>1.01</v>
      </c>
      <c r="H509" s="6" t="str">
        <f t="shared" si="146"/>
        <v>INSERT INTO public.coupon (plancode, age, "year", couponrate, benefittype, benefitrate, premiumrate) VALUES('EN60', 64, 3, 8, 'A',300, 1.01);</v>
      </c>
      <c r="I509" s="6" t="str">
        <f t="shared" si="147"/>
        <v>{"age":"64", "year":"3", "couponrate":"8", "benefittype":"A", "benefitrate":"300", "premiumrate":"1.01"}</v>
      </c>
      <c r="J509" s="6" t="str">
        <f t="shared" si="148"/>
        <v>,</v>
      </c>
    </row>
    <row r="510" spans="1:10">
      <c r="A510" s="4" t="str">
        <f>'EN60'!A$3</f>
        <v>EN60</v>
      </c>
      <c r="B510" s="4">
        <f t="shared" si="149"/>
        <v>64</v>
      </c>
      <c r="C510" s="4">
        <f t="shared" si="150"/>
        <v>4</v>
      </c>
      <c r="D510" s="4">
        <f t="shared" si="144"/>
        <v>8</v>
      </c>
      <c r="E510" s="4" t="s">
        <v>27</v>
      </c>
      <c r="F510" s="4">
        <f t="shared" si="145"/>
        <v>400</v>
      </c>
      <c r="G510" s="5">
        <f t="shared" si="151"/>
        <v>1.01</v>
      </c>
      <c r="H510" s="6" t="str">
        <f t="shared" si="146"/>
        <v>INSERT INTO public.coupon (plancode, age, "year", couponrate, benefittype, benefitrate, premiumrate) VALUES('EN60', 64, 4, 8, 'A',400, 1.01);</v>
      </c>
      <c r="I510" s="6" t="str">
        <f t="shared" si="147"/>
        <v>{"age":"64", "year":"4", "couponrate":"8", "benefittype":"A", "benefitrate":"400", "premiumrate":"1.01"}</v>
      </c>
      <c r="J510" s="6" t="str">
        <f t="shared" si="148"/>
        <v>,</v>
      </c>
    </row>
    <row r="511" spans="1:10">
      <c r="A511" s="4" t="str">
        <f>'EN60'!A$3</f>
        <v>EN60</v>
      </c>
      <c r="B511" s="4">
        <f t="shared" si="149"/>
        <v>64</v>
      </c>
      <c r="C511" s="4">
        <f t="shared" si="150"/>
        <v>5</v>
      </c>
      <c r="D511" s="4">
        <f t="shared" si="144"/>
        <v>8</v>
      </c>
      <c r="E511" s="4" t="s">
        <v>27</v>
      </c>
      <c r="F511" s="4">
        <f t="shared" si="145"/>
        <v>500</v>
      </c>
      <c r="G511" s="5">
        <f t="shared" si="151"/>
        <v>1.01</v>
      </c>
      <c r="H511" s="6" t="str">
        <f t="shared" si="146"/>
        <v>INSERT INTO public.coupon (plancode, age, "year", couponrate, benefittype, benefitrate, premiumrate) VALUES('EN60', 64, 5, 8, 'A',500, 1.01);</v>
      </c>
      <c r="I511" s="6" t="str">
        <f t="shared" si="147"/>
        <v>{"age":"64", "year":"5", "couponrate":"8", "benefittype":"A", "benefitrate":"500", "premiumrate":"1.01"}</v>
      </c>
      <c r="J511" s="6" t="str">
        <f t="shared" si="148"/>
        <v>,</v>
      </c>
    </row>
    <row r="512" spans="1:10">
      <c r="A512" s="4" t="str">
        <f>'EN60'!A$3</f>
        <v>EN60</v>
      </c>
      <c r="B512" s="4">
        <f t="shared" si="149"/>
        <v>64</v>
      </c>
      <c r="C512" s="4">
        <f t="shared" si="150"/>
        <v>6</v>
      </c>
      <c r="D512" s="4">
        <f t="shared" si="144"/>
        <v>8</v>
      </c>
      <c r="E512" s="4" t="s">
        <v>27</v>
      </c>
      <c r="F512" s="4">
        <f t="shared" si="145"/>
        <v>600</v>
      </c>
      <c r="G512" s="5">
        <f t="shared" si="151"/>
        <v>1.01</v>
      </c>
      <c r="H512" s="6" t="str">
        <f t="shared" si="146"/>
        <v>INSERT INTO public.coupon (plancode, age, "year", couponrate, benefittype, benefitrate, premiumrate) VALUES('EN60', 64, 6, 8, 'A',600, 1.01);</v>
      </c>
      <c r="I512" s="6" t="str">
        <f t="shared" si="147"/>
        <v>{"age":"64", "year":"6", "couponrate":"8", "benefittype":"A", "benefitrate":"600", "premiumrate":"1.01"}</v>
      </c>
      <c r="J512" s="6" t="str">
        <f t="shared" si="148"/>
        <v>,</v>
      </c>
    </row>
    <row r="513" spans="1:10">
      <c r="A513" s="4" t="str">
        <f>'EN60'!A$3</f>
        <v>EN60</v>
      </c>
      <c r="B513" s="4">
        <f t="shared" si="149"/>
        <v>64</v>
      </c>
      <c r="C513" s="4">
        <f t="shared" si="150"/>
        <v>7</v>
      </c>
      <c r="D513" s="4">
        <f t="shared" si="144"/>
        <v>8</v>
      </c>
      <c r="E513" s="4" t="s">
        <v>27</v>
      </c>
      <c r="F513" s="4">
        <f t="shared" si="145"/>
        <v>700</v>
      </c>
      <c r="G513" s="5">
        <f t="shared" si="151"/>
        <v>1.01</v>
      </c>
      <c r="H513" s="6" t="str">
        <f t="shared" si="146"/>
        <v>INSERT INTO public.coupon (plancode, age, "year", couponrate, benefittype, benefitrate, premiumrate) VALUES('EN60', 64, 7, 8, 'A',700, 1.01);</v>
      </c>
      <c r="I513" s="6" t="str">
        <f t="shared" si="147"/>
        <v>{"age":"64", "year":"7", "couponrate":"8", "benefittype":"A", "benefitrate":"700", "premiumrate":"1.01"}</v>
      </c>
      <c r="J513" s="6" t="str">
        <f t="shared" si="148"/>
        <v>,</v>
      </c>
    </row>
    <row r="514" spans="1:10">
      <c r="A514" s="4" t="str">
        <f>'EN60'!A$3</f>
        <v>EN60</v>
      </c>
      <c r="B514" s="4">
        <f t="shared" si="149"/>
        <v>64</v>
      </c>
      <c r="C514" s="4">
        <f t="shared" si="150"/>
        <v>8</v>
      </c>
      <c r="D514" s="4">
        <f t="shared" si="144"/>
        <v>8</v>
      </c>
      <c r="E514" s="4" t="s">
        <v>27</v>
      </c>
      <c r="F514" s="4">
        <f t="shared" si="145"/>
        <v>800</v>
      </c>
      <c r="G514" s="5">
        <f t="shared" si="151"/>
        <v>1.01</v>
      </c>
      <c r="H514" s="6" t="str">
        <f t="shared" si="146"/>
        <v>INSERT INTO public.coupon (plancode, age, "year", couponrate, benefittype, benefitrate, premiumrate) VALUES('EN60', 64, 8, 8, 'A',800, 1.01);</v>
      </c>
      <c r="I514" s="6" t="str">
        <f t="shared" si="147"/>
        <v>{"age":"64", "year":"8", "couponrate":"8", "benefittype":"A", "benefitrate":"800", "premiumrate":"1.01"}</v>
      </c>
      <c r="J514" s="6" t="str">
        <f t="shared" si="148"/>
        <v>,</v>
      </c>
    </row>
    <row r="515" spans="1:10">
      <c r="A515" s="4" t="str">
        <f>'EN60'!A$3</f>
        <v>EN60</v>
      </c>
      <c r="B515" s="4">
        <f t="shared" si="149"/>
        <v>64</v>
      </c>
      <c r="C515" s="4">
        <f t="shared" si="150"/>
        <v>9</v>
      </c>
      <c r="D515" s="4">
        <f t="shared" si="144"/>
        <v>8</v>
      </c>
      <c r="E515" s="4" t="s">
        <v>27</v>
      </c>
      <c r="F515" s="4">
        <f t="shared" si="145"/>
        <v>800</v>
      </c>
      <c r="G515" s="5">
        <f t="shared" si="151"/>
        <v>1.01</v>
      </c>
      <c r="H515" s="6" t="str">
        <f t="shared" si="146"/>
        <v>INSERT INTO public.coupon (plancode, age, "year", couponrate, benefittype, benefitrate, premiumrate) VALUES('EN60', 64, 9, 8, 'A',800, 1.01);</v>
      </c>
      <c r="I515" s="6" t="str">
        <f t="shared" si="147"/>
        <v>{"age":"64", "year":"9", "couponrate":"8", "benefittype":"A", "benefitrate":"800", "premiumrate":"1.01"}</v>
      </c>
      <c r="J515" s="6" t="str">
        <f t="shared" si="148"/>
        <v>,</v>
      </c>
    </row>
    <row r="516" spans="1:10">
      <c r="A516" s="4" t="str">
        <f>'EN60'!A$3</f>
        <v>EN60</v>
      </c>
      <c r="B516" s="4">
        <f t="shared" si="149"/>
        <v>64</v>
      </c>
      <c r="C516" s="4">
        <f t="shared" si="150"/>
        <v>10</v>
      </c>
      <c r="D516" s="4">
        <f t="shared" si="144"/>
        <v>8</v>
      </c>
      <c r="E516" s="4" t="s">
        <v>27</v>
      </c>
      <c r="F516" s="4">
        <f t="shared" si="145"/>
        <v>800</v>
      </c>
      <c r="G516" s="5">
        <f t="shared" si="151"/>
        <v>1.01</v>
      </c>
      <c r="H516" s="6" t="str">
        <f t="shared" si="146"/>
        <v>INSERT INTO public.coupon (plancode, age, "year", couponrate, benefittype, benefitrate, premiumrate) VALUES('EN60', 64, 10, 8, 'A',800, 1.01);</v>
      </c>
      <c r="I516" s="6" t="str">
        <f t="shared" si="147"/>
        <v>{"age":"64", "year":"10", "couponrate":"8", "benefittype":"A", "benefitrate":"800", "premiumrate":"1.01"}</v>
      </c>
      <c r="J516" s="6" t="str">
        <f t="shared" si="148"/>
        <v>,</v>
      </c>
    </row>
    <row r="517" spans="1:10">
      <c r="A517" s="4" t="str">
        <f>'EN60'!A$3</f>
        <v>EN60</v>
      </c>
      <c r="B517" s="4">
        <f t="shared" si="149"/>
        <v>64</v>
      </c>
      <c r="C517" s="4">
        <f t="shared" si="150"/>
        <v>11</v>
      </c>
      <c r="D517" s="4">
        <f t="shared" si="144"/>
        <v>8</v>
      </c>
      <c r="E517" s="4" t="s">
        <v>27</v>
      </c>
      <c r="F517" s="4">
        <f t="shared" si="145"/>
        <v>800</v>
      </c>
      <c r="G517" s="5">
        <f t="shared" si="151"/>
        <v>1.01</v>
      </c>
      <c r="H517" s="6" t="str">
        <f t="shared" si="146"/>
        <v>INSERT INTO public.coupon (plancode, age, "year", couponrate, benefittype, benefitrate, premiumrate) VALUES('EN60', 64, 11, 8, 'A',800, 1.01);</v>
      </c>
      <c r="I517" s="6" t="str">
        <f t="shared" si="147"/>
        <v>{"age":"64", "year":"11", "couponrate":"8", "benefittype":"A", "benefitrate":"800", "premiumrate":"1.01"}</v>
      </c>
      <c r="J517" s="6" t="str">
        <f t="shared" si="148"/>
        <v>,</v>
      </c>
    </row>
    <row r="518" spans="1:10">
      <c r="A518" s="4" t="str">
        <f>'EN60'!A$3</f>
        <v>EN60</v>
      </c>
      <c r="B518" s="4">
        <f t="shared" si="149"/>
        <v>64</v>
      </c>
      <c r="C518" s="4">
        <f t="shared" si="150"/>
        <v>12</v>
      </c>
      <c r="D518" s="4">
        <f t="shared" si="144"/>
        <v>8</v>
      </c>
      <c r="E518" s="4" t="s">
        <v>27</v>
      </c>
      <c r="F518" s="4">
        <f t="shared" si="145"/>
        <v>800</v>
      </c>
      <c r="G518" s="5">
        <f t="shared" si="151"/>
        <v>1.01</v>
      </c>
      <c r="H518" s="6" t="str">
        <f t="shared" si="146"/>
        <v>INSERT INTO public.coupon (plancode, age, "year", couponrate, benefittype, benefitrate, premiumrate) VALUES('EN60', 64, 12, 8, 'A',800, 1.01);</v>
      </c>
      <c r="I518" s="6" t="str">
        <f t="shared" si="147"/>
        <v>{"age":"64", "year":"12", "couponrate":"8", "benefittype":"A", "benefitrate":"800", "premiumrate":"1.01"}</v>
      </c>
      <c r="J518" s="6" t="str">
        <f t="shared" si="148"/>
        <v>,</v>
      </c>
    </row>
    <row r="519" spans="1:10">
      <c r="A519" s="4" t="str">
        <f>'EN60'!A$3</f>
        <v>EN60</v>
      </c>
      <c r="B519" s="4">
        <f t="shared" si="149"/>
        <v>64</v>
      </c>
      <c r="C519" s="4">
        <f t="shared" si="150"/>
        <v>13</v>
      </c>
      <c r="D519" s="4">
        <f t="shared" si="144"/>
        <v>8</v>
      </c>
      <c r="E519" s="4" t="s">
        <v>27</v>
      </c>
      <c r="F519" s="4">
        <f t="shared" si="145"/>
        <v>800</v>
      </c>
      <c r="G519" s="5">
        <f t="shared" si="151"/>
        <v>1.01</v>
      </c>
      <c r="H519" s="6" t="str">
        <f t="shared" si="146"/>
        <v>INSERT INTO public.coupon (plancode, age, "year", couponrate, benefittype, benefitrate, premiumrate) VALUES('EN60', 64, 13, 8, 'A',800, 1.01);</v>
      </c>
      <c r="I519" s="6" t="str">
        <f t="shared" si="147"/>
        <v>{"age":"64", "year":"13", "couponrate":"8", "benefittype":"A", "benefitrate":"800", "premiumrate":"1.01"}</v>
      </c>
      <c r="J519" s="6" t="str">
        <f t="shared" si="148"/>
        <v>,</v>
      </c>
    </row>
    <row r="520" spans="1:10">
      <c r="A520" s="4" t="str">
        <f>'EN60'!A$3</f>
        <v>EN60</v>
      </c>
      <c r="B520" s="4">
        <f t="shared" si="149"/>
        <v>64</v>
      </c>
      <c r="C520" s="4">
        <f t="shared" si="150"/>
        <v>14</v>
      </c>
      <c r="D520" s="4">
        <f t="shared" si="144"/>
        <v>8</v>
      </c>
      <c r="E520" s="4" t="s">
        <v>27</v>
      </c>
      <c r="F520" s="4">
        <f t="shared" si="145"/>
        <v>800</v>
      </c>
      <c r="G520" s="5">
        <f t="shared" si="151"/>
        <v>1.01</v>
      </c>
      <c r="H520" s="6" t="str">
        <f t="shared" si="146"/>
        <v>INSERT INTO public.coupon (plancode, age, "year", couponrate, benefittype, benefitrate, premiumrate) VALUES('EN60', 64, 14, 8, 'A',800, 1.01);</v>
      </c>
      <c r="I520" s="6" t="str">
        <f t="shared" si="147"/>
        <v>{"age":"64", "year":"14", "couponrate":"8", "benefittype":"A", "benefitrate":"800", "premiumrate":"1.01"}</v>
      </c>
      <c r="J520" s="6" t="str">
        <f t="shared" si="148"/>
        <v>,</v>
      </c>
    </row>
    <row r="521" spans="1:10">
      <c r="A521" s="4" t="str">
        <f>'EN60'!A$3</f>
        <v>EN60</v>
      </c>
      <c r="B521" s="4">
        <f t="shared" si="149"/>
        <v>64</v>
      </c>
      <c r="C521" s="4">
        <f t="shared" si="150"/>
        <v>15</v>
      </c>
      <c r="D521" s="4">
        <f t="shared" si="144"/>
        <v>8</v>
      </c>
      <c r="E521" s="4" t="s">
        <v>27</v>
      </c>
      <c r="F521" s="4">
        <f t="shared" si="145"/>
        <v>800</v>
      </c>
      <c r="G521" s="5">
        <f t="shared" si="151"/>
        <v>1.01</v>
      </c>
      <c r="H521" s="6" t="str">
        <f t="shared" si="146"/>
        <v>INSERT INTO public.coupon (plancode, age, "year", couponrate, benefittype, benefitrate, premiumrate) VALUES('EN60', 64, 15, 8, 'A',800, 1.01);</v>
      </c>
      <c r="I521" s="6" t="str">
        <f t="shared" si="147"/>
        <v>{"age":"64", "year":"15", "couponrate":"8", "benefittype":"A", "benefitrate":"800", "premiumrate":"1.01"}</v>
      </c>
      <c r="J521" s="6" t="str">
        <f t="shared" si="148"/>
        <v>,</v>
      </c>
    </row>
    <row r="522" spans="1:10">
      <c r="A522" s="4" t="str">
        <f>'EN60'!A$3</f>
        <v>EN60</v>
      </c>
      <c r="B522" s="4">
        <f t="shared" si="149"/>
        <v>64</v>
      </c>
      <c r="C522" s="4">
        <f t="shared" si="150"/>
        <v>16</v>
      </c>
      <c r="D522" s="4">
        <f t="shared" si="144"/>
        <v>0</v>
      </c>
      <c r="E522" s="4" t="s">
        <v>27</v>
      </c>
      <c r="F522" s="4">
        <f t="shared" si="145"/>
        <v>800</v>
      </c>
      <c r="G522" s="5">
        <f t="shared" si="151"/>
        <v>1.01</v>
      </c>
      <c r="H522" s="6" t="str">
        <f t="shared" si="146"/>
        <v>INSERT INTO public.coupon (plancode, age, "year", couponrate, benefittype, benefitrate, premiumrate) VALUES('EN60', 64, 16, 0, 'A',800, 1.01);</v>
      </c>
      <c r="I522" s="6" t="str">
        <f t="shared" si="147"/>
        <v>{"age":"64", "year":"16", "couponrate":"0", "benefittype":"A", "benefitrate":"800", "premiumrate":"1.01"}</v>
      </c>
    </row>
    <row r="523" spans="1:10">
      <c r="C523" s="6"/>
      <c r="I523" s="6" t="s">
        <v>28</v>
      </c>
    </row>
    <row r="524" spans="1:10">
      <c r="A524" s="3" t="s">
        <v>2</v>
      </c>
      <c r="B524" s="3" t="s">
        <v>23</v>
      </c>
      <c r="C524" s="3" t="s">
        <v>24</v>
      </c>
      <c r="D524" s="3" t="s">
        <v>25</v>
      </c>
      <c r="E524" s="3" t="s">
        <v>8</v>
      </c>
      <c r="F524" s="3" t="s">
        <v>26</v>
      </c>
      <c r="G524" s="3" t="s">
        <v>4</v>
      </c>
      <c r="I524" s="6" t="str">
        <f>"[{""plancode"":"""&amp;A525&amp;""",""returncash"":"""&amp;B$7&amp;""",""ytable"":"""&amp;C$7&amp;""",""maturerate"":"""&amp;B$3&amp;""",""maturepmrate"":"""&amp;C$3&amp;""",""coupon"":["</f>
        <v>[{"plancode":"EN60","returncash":"1","ytable":"Y","maturerate":"808","maturepmrate":"1.01","coupon":[</v>
      </c>
    </row>
    <row r="525" spans="1:10">
      <c r="A525" s="4" t="str">
        <f>'EN60'!A$3</f>
        <v>EN60</v>
      </c>
      <c r="B525" s="8">
        <v>65</v>
      </c>
      <c r="C525" s="4">
        <v>1</v>
      </c>
      <c r="D525" s="4">
        <f t="shared" ref="D525:D539" si="152">IF(C525+B525=80,0,8)</f>
        <v>8</v>
      </c>
      <c r="E525" s="4" t="s">
        <v>27</v>
      </c>
      <c r="F525" s="4">
        <f t="shared" ref="F525:F539" si="153">IF(C525&gt;7, 800, C525*100)</f>
        <v>100</v>
      </c>
      <c r="G525" s="5">
        <f>'EN60'!C$3</f>
        <v>1.01</v>
      </c>
      <c r="H525" s="6" t="str">
        <f t="shared" ref="H525:H539" si="154">"INSERT INTO public.coupon ("&amp;A$11&amp;", "&amp;B$11&amp;", """&amp;C$11&amp;""", "&amp;D$11&amp;", "&amp;E$11&amp;", "&amp;F$11&amp;", "&amp;G$11&amp;") VALUES('"&amp;A525&amp;"', "&amp;B525&amp;", "&amp;C525&amp;", "&amp;D525&amp;", '"&amp;E525&amp;"',"&amp;F525&amp;", "&amp;G525&amp;");"</f>
        <v>INSERT INTO public.coupon (plancode, age, "year", couponrate, benefittype, benefitrate, premiumrate) VALUES('EN60', 65, 1, 8, 'A',100, 1.01);</v>
      </c>
      <c r="I525" s="6" t="str">
        <f t="shared" ref="I525:I539" si="155">"{""age"":"""&amp;B525&amp;""", ""year"":"""&amp;C525&amp;""", ""couponrate"":"""&amp;D525&amp;""", ""benefittype"":"""&amp;E525&amp;""", ""benefitrate"":"""&amp;F525&amp;""", """&amp;G$11&amp;""":"""&amp;G525&amp;"""}"</f>
        <v>{"age":"65", "year":"1", "couponrate":"8", "benefittype":"A", "benefitrate":"100", "premiumrate":"1.01"}</v>
      </c>
      <c r="J525" s="6" t="str">
        <f t="shared" ref="J525:J538" si="156">IF(OR(I526="]", I525="[", I525="]"), "", ",")</f>
        <v>,</v>
      </c>
    </row>
    <row r="526" spans="1:10">
      <c r="A526" s="4" t="str">
        <f>'EN60'!A$3</f>
        <v>EN60</v>
      </c>
      <c r="B526" s="4">
        <f t="shared" ref="B526:B539" si="157">B525</f>
        <v>65</v>
      </c>
      <c r="C526" s="4">
        <f t="shared" ref="C526:C539" si="158">IF(B526+C525+1&gt;80,"",C525+1)</f>
        <v>2</v>
      </c>
      <c r="D526" s="4">
        <f t="shared" si="152"/>
        <v>8</v>
      </c>
      <c r="E526" s="4" t="s">
        <v>27</v>
      </c>
      <c r="F526" s="4">
        <f t="shared" si="153"/>
        <v>200</v>
      </c>
      <c r="G526" s="5">
        <f t="shared" ref="G526:G539" si="159">G525</f>
        <v>1.01</v>
      </c>
      <c r="H526" s="6" t="str">
        <f t="shared" si="154"/>
        <v>INSERT INTO public.coupon (plancode, age, "year", couponrate, benefittype, benefitrate, premiumrate) VALUES('EN60', 65, 2, 8, 'A',200, 1.01);</v>
      </c>
      <c r="I526" s="6" t="str">
        <f t="shared" si="155"/>
        <v>{"age":"65", "year":"2", "couponrate":"8", "benefittype":"A", "benefitrate":"200", "premiumrate":"1.01"}</v>
      </c>
      <c r="J526" s="6" t="str">
        <f t="shared" si="156"/>
        <v>,</v>
      </c>
    </row>
    <row r="527" spans="1:10">
      <c r="A527" s="4" t="str">
        <f>'EN60'!A$3</f>
        <v>EN60</v>
      </c>
      <c r="B527" s="4">
        <f t="shared" si="157"/>
        <v>65</v>
      </c>
      <c r="C527" s="4">
        <f t="shared" si="158"/>
        <v>3</v>
      </c>
      <c r="D527" s="4">
        <f t="shared" si="152"/>
        <v>8</v>
      </c>
      <c r="E527" s="4" t="s">
        <v>27</v>
      </c>
      <c r="F527" s="4">
        <f t="shared" si="153"/>
        <v>300</v>
      </c>
      <c r="G527" s="5">
        <f t="shared" si="159"/>
        <v>1.01</v>
      </c>
      <c r="H527" s="6" t="str">
        <f t="shared" si="154"/>
        <v>INSERT INTO public.coupon (plancode, age, "year", couponrate, benefittype, benefitrate, premiumrate) VALUES('EN60', 65, 3, 8, 'A',300, 1.01);</v>
      </c>
      <c r="I527" s="6" t="str">
        <f t="shared" si="155"/>
        <v>{"age":"65", "year":"3", "couponrate":"8", "benefittype":"A", "benefitrate":"300", "premiumrate":"1.01"}</v>
      </c>
      <c r="J527" s="6" t="str">
        <f t="shared" si="156"/>
        <v>,</v>
      </c>
    </row>
    <row r="528" spans="1:10">
      <c r="A528" s="4" t="str">
        <f>'EN60'!A$3</f>
        <v>EN60</v>
      </c>
      <c r="B528" s="4">
        <f t="shared" si="157"/>
        <v>65</v>
      </c>
      <c r="C528" s="4">
        <f t="shared" si="158"/>
        <v>4</v>
      </c>
      <c r="D528" s="4">
        <f t="shared" si="152"/>
        <v>8</v>
      </c>
      <c r="E528" s="4" t="s">
        <v>27</v>
      </c>
      <c r="F528" s="4">
        <f t="shared" si="153"/>
        <v>400</v>
      </c>
      <c r="G528" s="5">
        <f t="shared" si="159"/>
        <v>1.01</v>
      </c>
      <c r="H528" s="6" t="str">
        <f t="shared" si="154"/>
        <v>INSERT INTO public.coupon (plancode, age, "year", couponrate, benefittype, benefitrate, premiumrate) VALUES('EN60', 65, 4, 8, 'A',400, 1.01);</v>
      </c>
      <c r="I528" s="6" t="str">
        <f t="shared" si="155"/>
        <v>{"age":"65", "year":"4", "couponrate":"8", "benefittype":"A", "benefitrate":"400", "premiumrate":"1.01"}</v>
      </c>
      <c r="J528" s="6" t="str">
        <f t="shared" si="156"/>
        <v>,</v>
      </c>
    </row>
    <row r="529" spans="1:10">
      <c r="A529" s="4" t="str">
        <f>'EN60'!A$3</f>
        <v>EN60</v>
      </c>
      <c r="B529" s="4">
        <f t="shared" si="157"/>
        <v>65</v>
      </c>
      <c r="C529" s="4">
        <f t="shared" si="158"/>
        <v>5</v>
      </c>
      <c r="D529" s="4">
        <f t="shared" si="152"/>
        <v>8</v>
      </c>
      <c r="E529" s="4" t="s">
        <v>27</v>
      </c>
      <c r="F529" s="4">
        <f t="shared" si="153"/>
        <v>500</v>
      </c>
      <c r="G529" s="5">
        <f t="shared" si="159"/>
        <v>1.01</v>
      </c>
      <c r="H529" s="6" t="str">
        <f t="shared" si="154"/>
        <v>INSERT INTO public.coupon (plancode, age, "year", couponrate, benefittype, benefitrate, premiumrate) VALUES('EN60', 65, 5, 8, 'A',500, 1.01);</v>
      </c>
      <c r="I529" s="6" t="str">
        <f t="shared" si="155"/>
        <v>{"age":"65", "year":"5", "couponrate":"8", "benefittype":"A", "benefitrate":"500", "premiumrate":"1.01"}</v>
      </c>
      <c r="J529" s="6" t="str">
        <f t="shared" si="156"/>
        <v>,</v>
      </c>
    </row>
    <row r="530" spans="1:10">
      <c r="A530" s="4" t="str">
        <f>'EN60'!A$3</f>
        <v>EN60</v>
      </c>
      <c r="B530" s="4">
        <f t="shared" si="157"/>
        <v>65</v>
      </c>
      <c r="C530" s="4">
        <f t="shared" si="158"/>
        <v>6</v>
      </c>
      <c r="D530" s="4">
        <f t="shared" si="152"/>
        <v>8</v>
      </c>
      <c r="E530" s="4" t="s">
        <v>27</v>
      </c>
      <c r="F530" s="4">
        <f t="shared" si="153"/>
        <v>600</v>
      </c>
      <c r="G530" s="5">
        <f t="shared" si="159"/>
        <v>1.01</v>
      </c>
      <c r="H530" s="6" t="str">
        <f t="shared" si="154"/>
        <v>INSERT INTO public.coupon (plancode, age, "year", couponrate, benefittype, benefitrate, premiumrate) VALUES('EN60', 65, 6, 8, 'A',600, 1.01);</v>
      </c>
      <c r="I530" s="6" t="str">
        <f t="shared" si="155"/>
        <v>{"age":"65", "year":"6", "couponrate":"8", "benefittype":"A", "benefitrate":"600", "premiumrate":"1.01"}</v>
      </c>
      <c r="J530" s="6" t="str">
        <f t="shared" si="156"/>
        <v>,</v>
      </c>
    </row>
    <row r="531" spans="1:10">
      <c r="A531" s="4" t="str">
        <f>'EN60'!A$3</f>
        <v>EN60</v>
      </c>
      <c r="B531" s="4">
        <f t="shared" si="157"/>
        <v>65</v>
      </c>
      <c r="C531" s="4">
        <f t="shared" si="158"/>
        <v>7</v>
      </c>
      <c r="D531" s="4">
        <f t="shared" si="152"/>
        <v>8</v>
      </c>
      <c r="E531" s="4" t="s">
        <v>27</v>
      </c>
      <c r="F531" s="4">
        <f t="shared" si="153"/>
        <v>700</v>
      </c>
      <c r="G531" s="5">
        <f t="shared" si="159"/>
        <v>1.01</v>
      </c>
      <c r="H531" s="6" t="str">
        <f t="shared" si="154"/>
        <v>INSERT INTO public.coupon (plancode, age, "year", couponrate, benefittype, benefitrate, premiumrate) VALUES('EN60', 65, 7, 8, 'A',700, 1.01);</v>
      </c>
      <c r="I531" s="6" t="str">
        <f t="shared" si="155"/>
        <v>{"age":"65", "year":"7", "couponrate":"8", "benefittype":"A", "benefitrate":"700", "premiumrate":"1.01"}</v>
      </c>
      <c r="J531" s="6" t="str">
        <f t="shared" si="156"/>
        <v>,</v>
      </c>
    </row>
    <row r="532" spans="1:10">
      <c r="A532" s="4" t="str">
        <f>'EN60'!A$3</f>
        <v>EN60</v>
      </c>
      <c r="B532" s="4">
        <f t="shared" si="157"/>
        <v>65</v>
      </c>
      <c r="C532" s="4">
        <f t="shared" si="158"/>
        <v>8</v>
      </c>
      <c r="D532" s="4">
        <f t="shared" si="152"/>
        <v>8</v>
      </c>
      <c r="E532" s="4" t="s">
        <v>27</v>
      </c>
      <c r="F532" s="4">
        <f t="shared" si="153"/>
        <v>800</v>
      </c>
      <c r="G532" s="5">
        <f t="shared" si="159"/>
        <v>1.01</v>
      </c>
      <c r="H532" s="6" t="str">
        <f t="shared" si="154"/>
        <v>INSERT INTO public.coupon (plancode, age, "year", couponrate, benefittype, benefitrate, premiumrate) VALUES('EN60', 65, 8, 8, 'A',800, 1.01);</v>
      </c>
      <c r="I532" s="6" t="str">
        <f t="shared" si="155"/>
        <v>{"age":"65", "year":"8", "couponrate":"8", "benefittype":"A", "benefitrate":"800", "premiumrate":"1.01"}</v>
      </c>
      <c r="J532" s="6" t="str">
        <f t="shared" si="156"/>
        <v>,</v>
      </c>
    </row>
    <row r="533" spans="1:10">
      <c r="A533" s="4" t="str">
        <f>'EN60'!A$3</f>
        <v>EN60</v>
      </c>
      <c r="B533" s="4">
        <f t="shared" si="157"/>
        <v>65</v>
      </c>
      <c r="C533" s="4">
        <f t="shared" si="158"/>
        <v>9</v>
      </c>
      <c r="D533" s="4">
        <f t="shared" si="152"/>
        <v>8</v>
      </c>
      <c r="E533" s="4" t="s">
        <v>27</v>
      </c>
      <c r="F533" s="4">
        <f t="shared" si="153"/>
        <v>800</v>
      </c>
      <c r="G533" s="5">
        <f t="shared" si="159"/>
        <v>1.01</v>
      </c>
      <c r="H533" s="6" t="str">
        <f t="shared" si="154"/>
        <v>INSERT INTO public.coupon (plancode, age, "year", couponrate, benefittype, benefitrate, premiumrate) VALUES('EN60', 65, 9, 8, 'A',800, 1.01);</v>
      </c>
      <c r="I533" s="6" t="str">
        <f t="shared" si="155"/>
        <v>{"age":"65", "year":"9", "couponrate":"8", "benefittype":"A", "benefitrate":"800", "premiumrate":"1.01"}</v>
      </c>
      <c r="J533" s="6" t="str">
        <f t="shared" si="156"/>
        <v>,</v>
      </c>
    </row>
    <row r="534" spans="1:10">
      <c r="A534" s="4" t="str">
        <f>'EN60'!A$3</f>
        <v>EN60</v>
      </c>
      <c r="B534" s="4">
        <f t="shared" si="157"/>
        <v>65</v>
      </c>
      <c r="C534" s="4">
        <f t="shared" si="158"/>
        <v>10</v>
      </c>
      <c r="D534" s="4">
        <f t="shared" si="152"/>
        <v>8</v>
      </c>
      <c r="E534" s="4" t="s">
        <v>27</v>
      </c>
      <c r="F534" s="4">
        <f t="shared" si="153"/>
        <v>800</v>
      </c>
      <c r="G534" s="5">
        <f t="shared" si="159"/>
        <v>1.01</v>
      </c>
      <c r="H534" s="6" t="str">
        <f t="shared" si="154"/>
        <v>INSERT INTO public.coupon (plancode, age, "year", couponrate, benefittype, benefitrate, premiumrate) VALUES('EN60', 65, 10, 8, 'A',800, 1.01);</v>
      </c>
      <c r="I534" s="6" t="str">
        <f t="shared" si="155"/>
        <v>{"age":"65", "year":"10", "couponrate":"8", "benefittype":"A", "benefitrate":"800", "premiumrate":"1.01"}</v>
      </c>
      <c r="J534" s="6" t="str">
        <f t="shared" si="156"/>
        <v>,</v>
      </c>
    </row>
    <row r="535" spans="1:10">
      <c r="A535" s="4" t="str">
        <f>'EN60'!A$3</f>
        <v>EN60</v>
      </c>
      <c r="B535" s="4">
        <f t="shared" si="157"/>
        <v>65</v>
      </c>
      <c r="C535" s="4">
        <f t="shared" si="158"/>
        <v>11</v>
      </c>
      <c r="D535" s="4">
        <f t="shared" si="152"/>
        <v>8</v>
      </c>
      <c r="E535" s="4" t="s">
        <v>27</v>
      </c>
      <c r="F535" s="4">
        <f t="shared" si="153"/>
        <v>800</v>
      </c>
      <c r="G535" s="5">
        <f t="shared" si="159"/>
        <v>1.01</v>
      </c>
      <c r="H535" s="6" t="str">
        <f t="shared" si="154"/>
        <v>INSERT INTO public.coupon (plancode, age, "year", couponrate, benefittype, benefitrate, premiumrate) VALUES('EN60', 65, 11, 8, 'A',800, 1.01);</v>
      </c>
      <c r="I535" s="6" t="str">
        <f t="shared" si="155"/>
        <v>{"age":"65", "year":"11", "couponrate":"8", "benefittype":"A", "benefitrate":"800", "premiumrate":"1.01"}</v>
      </c>
      <c r="J535" s="6" t="str">
        <f t="shared" si="156"/>
        <v>,</v>
      </c>
    </row>
    <row r="536" spans="1:10">
      <c r="A536" s="4" t="str">
        <f>'EN60'!A$3</f>
        <v>EN60</v>
      </c>
      <c r="B536" s="4">
        <f t="shared" si="157"/>
        <v>65</v>
      </c>
      <c r="C536" s="4">
        <f t="shared" si="158"/>
        <v>12</v>
      </c>
      <c r="D536" s="4">
        <f t="shared" si="152"/>
        <v>8</v>
      </c>
      <c r="E536" s="4" t="s">
        <v>27</v>
      </c>
      <c r="F536" s="4">
        <f t="shared" si="153"/>
        <v>800</v>
      </c>
      <c r="G536" s="5">
        <f t="shared" si="159"/>
        <v>1.01</v>
      </c>
      <c r="H536" s="6" t="str">
        <f t="shared" si="154"/>
        <v>INSERT INTO public.coupon (plancode, age, "year", couponrate, benefittype, benefitrate, premiumrate) VALUES('EN60', 65, 12, 8, 'A',800, 1.01);</v>
      </c>
      <c r="I536" s="6" t="str">
        <f t="shared" si="155"/>
        <v>{"age":"65", "year":"12", "couponrate":"8", "benefittype":"A", "benefitrate":"800", "premiumrate":"1.01"}</v>
      </c>
      <c r="J536" s="6" t="str">
        <f t="shared" si="156"/>
        <v>,</v>
      </c>
    </row>
    <row r="537" spans="1:10">
      <c r="A537" s="4" t="str">
        <f>'EN60'!A$3</f>
        <v>EN60</v>
      </c>
      <c r="B537" s="4">
        <f t="shared" si="157"/>
        <v>65</v>
      </c>
      <c r="C537" s="4">
        <f t="shared" si="158"/>
        <v>13</v>
      </c>
      <c r="D537" s="4">
        <f t="shared" si="152"/>
        <v>8</v>
      </c>
      <c r="E537" s="4" t="s">
        <v>27</v>
      </c>
      <c r="F537" s="4">
        <f t="shared" si="153"/>
        <v>800</v>
      </c>
      <c r="G537" s="5">
        <f t="shared" si="159"/>
        <v>1.01</v>
      </c>
      <c r="H537" s="6" t="str">
        <f t="shared" si="154"/>
        <v>INSERT INTO public.coupon (plancode, age, "year", couponrate, benefittype, benefitrate, premiumrate) VALUES('EN60', 65, 13, 8, 'A',800, 1.01);</v>
      </c>
      <c r="I537" s="6" t="str">
        <f t="shared" si="155"/>
        <v>{"age":"65", "year":"13", "couponrate":"8", "benefittype":"A", "benefitrate":"800", "premiumrate":"1.01"}</v>
      </c>
      <c r="J537" s="6" t="str">
        <f t="shared" si="156"/>
        <v>,</v>
      </c>
    </row>
    <row r="538" spans="1:10">
      <c r="A538" s="4" t="str">
        <f>'EN60'!A$3</f>
        <v>EN60</v>
      </c>
      <c r="B538" s="4">
        <f t="shared" si="157"/>
        <v>65</v>
      </c>
      <c r="C538" s="4">
        <f t="shared" si="158"/>
        <v>14</v>
      </c>
      <c r="D538" s="4">
        <f t="shared" si="152"/>
        <v>8</v>
      </c>
      <c r="E538" s="4" t="s">
        <v>27</v>
      </c>
      <c r="F538" s="4">
        <f t="shared" si="153"/>
        <v>800</v>
      </c>
      <c r="G538" s="5">
        <f t="shared" si="159"/>
        <v>1.01</v>
      </c>
      <c r="H538" s="6" t="str">
        <f t="shared" si="154"/>
        <v>INSERT INTO public.coupon (plancode, age, "year", couponrate, benefittype, benefitrate, premiumrate) VALUES('EN60', 65, 14, 8, 'A',800, 1.01);</v>
      </c>
      <c r="I538" s="6" t="str">
        <f t="shared" si="155"/>
        <v>{"age":"65", "year":"14", "couponrate":"8", "benefittype":"A", "benefitrate":"800", "premiumrate":"1.01"}</v>
      </c>
      <c r="J538" s="6" t="str">
        <f t="shared" si="156"/>
        <v>,</v>
      </c>
    </row>
    <row r="539" spans="1:10">
      <c r="A539" s="4" t="str">
        <f>'EN60'!A$3</f>
        <v>EN60</v>
      </c>
      <c r="B539" s="4">
        <f t="shared" si="157"/>
        <v>65</v>
      </c>
      <c r="C539" s="4">
        <f t="shared" si="158"/>
        <v>15</v>
      </c>
      <c r="D539" s="4">
        <f t="shared" si="152"/>
        <v>0</v>
      </c>
      <c r="E539" s="4" t="s">
        <v>27</v>
      </c>
      <c r="F539" s="4">
        <f t="shared" si="153"/>
        <v>800</v>
      </c>
      <c r="G539" s="5">
        <f t="shared" si="159"/>
        <v>1.01</v>
      </c>
      <c r="H539" s="6" t="str">
        <f t="shared" si="154"/>
        <v>INSERT INTO public.coupon (plancode, age, "year", couponrate, benefittype, benefitrate, premiumrate) VALUES('EN60', 65, 15, 0, 'A',800, 1.01);</v>
      </c>
      <c r="I539" s="6" t="str">
        <f t="shared" si="155"/>
        <v>{"age":"65", "year":"15", "couponrate":"0", "benefittype":"A", "benefitrate":"800", "premiumrate":"1.01"}</v>
      </c>
    </row>
    <row r="540" spans="1:10">
      <c r="C540" s="6"/>
      <c r="I540" s="6" t="s">
        <v>28</v>
      </c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46"/>
  <sheetViews>
    <sheetView workbookViewId="0"/>
  </sheetViews>
  <sheetFormatPr defaultColWidth="12.5703125" defaultRowHeight="15.75" customHeight="1"/>
  <cols>
    <col min="9" max="9" width="75.7109375" customWidth="1"/>
  </cols>
  <sheetData>
    <row r="1" spans="1:10">
      <c r="A1" s="1" t="s">
        <v>0</v>
      </c>
      <c r="E1" s="2" t="s">
        <v>1</v>
      </c>
    </row>
    <row r="2" spans="1:10">
      <c r="A2" s="3" t="s">
        <v>2</v>
      </c>
      <c r="B2" s="3" t="s">
        <v>3</v>
      </c>
      <c r="C2" s="3" t="s">
        <v>4</v>
      </c>
      <c r="E2" s="2" t="s">
        <v>5</v>
      </c>
    </row>
    <row r="3" spans="1:10">
      <c r="A3" s="4" t="str">
        <f>'EN60'!A$3</f>
        <v>EN60</v>
      </c>
      <c r="B3" s="4">
        <v>100</v>
      </c>
      <c r="C3" s="5">
        <f>'EN60'!C$3</f>
        <v>1.01</v>
      </c>
      <c r="E3" s="6" t="str">
        <f>"INSERT INTO public.maturetable (plancode, maturerate, premiumrate) VALUES('"&amp;A3&amp;"', "&amp;B3&amp;", "&amp;C3&amp;");"</f>
        <v>INSERT INTO public.maturetable (plancode, maturerate, premiumrate) VALUES('EN60', 100, 1.01);</v>
      </c>
    </row>
    <row r="5" spans="1:10">
      <c r="A5" s="1" t="s">
        <v>7</v>
      </c>
      <c r="E5" s="6" t="str">
        <f>"INSERT INTO public.coupontable (id, returncash, ytable) VALUES('"&amp;A7&amp;"', "&amp;B7&amp;", '"&amp;C7&amp;"');"</f>
        <v>INSERT INTO public.coupontable (id, returncash, ytable) VALUES('EN60', 1, 'Y');</v>
      </c>
      <c r="I5" s="6" t="s">
        <v>8</v>
      </c>
    </row>
    <row r="6" spans="1:10">
      <c r="A6" s="3" t="s">
        <v>9</v>
      </c>
      <c r="B6" s="3" t="s">
        <v>10</v>
      </c>
      <c r="C6" s="3" t="s">
        <v>11</v>
      </c>
      <c r="E6" s="1" t="s">
        <v>10</v>
      </c>
      <c r="F6" s="7">
        <v>0</v>
      </c>
      <c r="G6" s="6"/>
      <c r="H6" s="6" t="s">
        <v>12</v>
      </c>
      <c r="I6" s="6" t="s">
        <v>13</v>
      </c>
    </row>
    <row r="7" spans="1:10">
      <c r="A7" s="4" t="str">
        <f>A$3</f>
        <v>EN60</v>
      </c>
      <c r="B7" s="4">
        <f>'EN60'!B$7</f>
        <v>1</v>
      </c>
      <c r="C7" s="4" t="str">
        <f>'EN60'!C$7</f>
        <v>Y</v>
      </c>
      <c r="F7" s="7">
        <v>1</v>
      </c>
      <c r="G7" s="6"/>
      <c r="H7" s="6" t="s">
        <v>15</v>
      </c>
      <c r="I7" s="6" t="s">
        <v>16</v>
      </c>
    </row>
    <row r="8" spans="1:10">
      <c r="E8" s="1" t="s">
        <v>11</v>
      </c>
      <c r="F8" s="6" t="s">
        <v>17</v>
      </c>
      <c r="G8" s="6"/>
      <c r="H8" s="6" t="s">
        <v>18</v>
      </c>
      <c r="I8" s="6" t="s">
        <v>19</v>
      </c>
    </row>
    <row r="9" spans="1:10">
      <c r="F9" s="6" t="s">
        <v>14</v>
      </c>
      <c r="G9" s="6"/>
      <c r="H9" s="6" t="s">
        <v>20</v>
      </c>
      <c r="I9" s="6" t="s">
        <v>21</v>
      </c>
    </row>
    <row r="10" spans="1:10">
      <c r="A10" s="1" t="s">
        <v>22</v>
      </c>
    </row>
    <row r="11" spans="1:10">
      <c r="A11" s="3" t="s">
        <v>2</v>
      </c>
      <c r="B11" s="3" t="s">
        <v>23</v>
      </c>
      <c r="C11" s="3" t="s">
        <v>24</v>
      </c>
      <c r="D11" s="3" t="s">
        <v>25</v>
      </c>
      <c r="E11" s="3" t="s">
        <v>8</v>
      </c>
      <c r="F11" s="3" t="s">
        <v>26</v>
      </c>
      <c r="G11" s="3" t="s">
        <v>4</v>
      </c>
      <c r="I11" s="6" t="str">
        <f>"[{""plancode"":"""&amp;A12&amp;""",""returncash"":"""&amp;B$7&amp;""",""ytable"":"""&amp;C$7&amp;""",""maturerate"":"""&amp;B$3&amp;""",""maturepmrate"":"""&amp;C$3&amp;""",""coupon"":["</f>
        <v>[{"plancode":"EN60","returncash":"1","ytable":"Y","maturerate":"100","maturepmrate":"1.01","coupon":[</v>
      </c>
    </row>
    <row r="12" spans="1:10">
      <c r="A12" s="4" t="str">
        <f>'EN60'!A$3</f>
        <v>EN60</v>
      </c>
      <c r="B12" s="8">
        <v>66</v>
      </c>
      <c r="C12" s="4">
        <v>1</v>
      </c>
      <c r="D12" s="4">
        <f t="shared" ref="D12:D25" si="0">IF(C12+B12=80,0,8)</f>
        <v>8</v>
      </c>
      <c r="E12" s="4" t="s">
        <v>27</v>
      </c>
      <c r="F12" s="4">
        <f t="shared" ref="F12:F25" si="1">IF(C12&gt;7, 800, C12*100)</f>
        <v>100</v>
      </c>
      <c r="G12" s="5">
        <f>'EN60'!C$3</f>
        <v>1.01</v>
      </c>
      <c r="H12" s="6" t="str">
        <f t="shared" ref="H12:H25" si="2">"INSERT INTO public.coupon ("&amp;A$11&amp;", "&amp;B$11&amp;", """&amp;C$11&amp;""", "&amp;D$11&amp;", "&amp;E$11&amp;", "&amp;F$11&amp;", "&amp;G$11&amp;") VALUES('"&amp;A12&amp;"', "&amp;B12&amp;", "&amp;C12&amp;", "&amp;D12&amp;", '"&amp;E12&amp;"',"&amp;F12&amp;", "&amp;G12&amp;");"</f>
        <v>INSERT INTO public.coupon (plancode, age, "year", couponrate, benefittype, benefitrate, premiumrate) VALUES('EN60', 66, 1, 8, 'A',100, 1.01);</v>
      </c>
      <c r="I12" s="6" t="str">
        <f t="shared" ref="I12:I25" si="3">"{""age"":"""&amp;B12&amp;""", ""year"":"""&amp;C12&amp;""", ""couponrate"":"""&amp;D12&amp;""", ""benefittype"":"""&amp;E12&amp;""", ""benefitrate"":"""&amp;F12&amp;""", """&amp;G$11&amp;""":"""&amp;G12&amp;"""}"</f>
        <v>{"age":"66", "year":"1", "couponrate":"8", "benefittype":"A", "benefitrate":"100", "premiumrate":"1.01"}</v>
      </c>
      <c r="J12" s="6" t="s">
        <v>29</v>
      </c>
    </row>
    <row r="13" spans="1:10">
      <c r="A13" s="4" t="str">
        <f>'EN60'!A$3</f>
        <v>EN60</v>
      </c>
      <c r="B13" s="4">
        <f t="shared" ref="B13:B25" si="4">B12</f>
        <v>66</v>
      </c>
      <c r="C13" s="4">
        <f t="shared" ref="C13:C25" si="5">IF(B13+C12+1&gt;80,"",C12+1)</f>
        <v>2</v>
      </c>
      <c r="D13" s="4">
        <f t="shared" si="0"/>
        <v>8</v>
      </c>
      <c r="E13" s="4" t="s">
        <v>27</v>
      </c>
      <c r="F13" s="4">
        <f t="shared" si="1"/>
        <v>200</v>
      </c>
      <c r="G13" s="5">
        <f t="shared" ref="G13:G25" si="6">G12</f>
        <v>1.01</v>
      </c>
      <c r="H13" s="6" t="str">
        <f t="shared" si="2"/>
        <v>INSERT INTO public.coupon (plancode, age, "year", couponrate, benefittype, benefitrate, premiumrate) VALUES('EN60', 66, 2, 8, 'A',200, 1.01);</v>
      </c>
      <c r="I13" s="6" t="str">
        <f t="shared" si="3"/>
        <v>{"age":"66", "year":"2", "couponrate":"8", "benefittype":"A", "benefitrate":"200", "premiumrate":"1.01"}</v>
      </c>
      <c r="J13" s="6" t="s">
        <v>29</v>
      </c>
    </row>
    <row r="14" spans="1:10">
      <c r="A14" s="4" t="str">
        <f>'EN60'!A$3</f>
        <v>EN60</v>
      </c>
      <c r="B14" s="4">
        <f t="shared" si="4"/>
        <v>66</v>
      </c>
      <c r="C14" s="4">
        <f t="shared" si="5"/>
        <v>3</v>
      </c>
      <c r="D14" s="4">
        <f t="shared" si="0"/>
        <v>8</v>
      </c>
      <c r="E14" s="4" t="s">
        <v>27</v>
      </c>
      <c r="F14" s="4">
        <f t="shared" si="1"/>
        <v>300</v>
      </c>
      <c r="G14" s="5">
        <f t="shared" si="6"/>
        <v>1.01</v>
      </c>
      <c r="H14" s="6" t="str">
        <f t="shared" si="2"/>
        <v>INSERT INTO public.coupon (plancode, age, "year", couponrate, benefittype, benefitrate, premiumrate) VALUES('EN60', 66, 3, 8, 'A',300, 1.01);</v>
      </c>
      <c r="I14" s="6" t="str">
        <f t="shared" si="3"/>
        <v>{"age":"66", "year":"3", "couponrate":"8", "benefittype":"A", "benefitrate":"300", "premiumrate":"1.01"}</v>
      </c>
      <c r="J14" s="6" t="s">
        <v>29</v>
      </c>
    </row>
    <row r="15" spans="1:10">
      <c r="A15" s="4" t="str">
        <f>'EN60'!A$3</f>
        <v>EN60</v>
      </c>
      <c r="B15" s="4">
        <f t="shared" si="4"/>
        <v>66</v>
      </c>
      <c r="C15" s="4">
        <f t="shared" si="5"/>
        <v>4</v>
      </c>
      <c r="D15" s="4">
        <f t="shared" si="0"/>
        <v>8</v>
      </c>
      <c r="E15" s="4" t="s">
        <v>27</v>
      </c>
      <c r="F15" s="4">
        <f t="shared" si="1"/>
        <v>400</v>
      </c>
      <c r="G15" s="5">
        <f t="shared" si="6"/>
        <v>1.01</v>
      </c>
      <c r="H15" s="6" t="str">
        <f t="shared" si="2"/>
        <v>INSERT INTO public.coupon (plancode, age, "year", couponrate, benefittype, benefitrate, premiumrate) VALUES('EN60', 66, 4, 8, 'A',400, 1.01);</v>
      </c>
      <c r="I15" s="6" t="str">
        <f t="shared" si="3"/>
        <v>{"age":"66", "year":"4", "couponrate":"8", "benefittype":"A", "benefitrate":"400", "premiumrate":"1.01"}</v>
      </c>
      <c r="J15" s="6" t="s">
        <v>29</v>
      </c>
    </row>
    <row r="16" spans="1:10">
      <c r="A16" s="4" t="str">
        <f>'EN60'!A$3</f>
        <v>EN60</v>
      </c>
      <c r="B16" s="4">
        <f t="shared" si="4"/>
        <v>66</v>
      </c>
      <c r="C16" s="4">
        <f t="shared" si="5"/>
        <v>5</v>
      </c>
      <c r="D16" s="4">
        <f t="shared" si="0"/>
        <v>8</v>
      </c>
      <c r="E16" s="4" t="s">
        <v>27</v>
      </c>
      <c r="F16" s="4">
        <f t="shared" si="1"/>
        <v>500</v>
      </c>
      <c r="G16" s="5">
        <f t="shared" si="6"/>
        <v>1.01</v>
      </c>
      <c r="H16" s="6" t="str">
        <f t="shared" si="2"/>
        <v>INSERT INTO public.coupon (plancode, age, "year", couponrate, benefittype, benefitrate, premiumrate) VALUES('EN60', 66, 5, 8, 'A',500, 1.01);</v>
      </c>
      <c r="I16" s="6" t="str">
        <f t="shared" si="3"/>
        <v>{"age":"66", "year":"5", "couponrate":"8", "benefittype":"A", "benefitrate":"500", "premiumrate":"1.01"}</v>
      </c>
      <c r="J16" s="6" t="s">
        <v>29</v>
      </c>
    </row>
    <row r="17" spans="1:10">
      <c r="A17" s="4" t="str">
        <f>'EN60'!A$3</f>
        <v>EN60</v>
      </c>
      <c r="B17" s="4">
        <f t="shared" si="4"/>
        <v>66</v>
      </c>
      <c r="C17" s="4">
        <f t="shared" si="5"/>
        <v>6</v>
      </c>
      <c r="D17" s="4">
        <f t="shared" si="0"/>
        <v>8</v>
      </c>
      <c r="E17" s="4" t="s">
        <v>27</v>
      </c>
      <c r="F17" s="4">
        <f t="shared" si="1"/>
        <v>600</v>
      </c>
      <c r="G17" s="5">
        <f t="shared" si="6"/>
        <v>1.01</v>
      </c>
      <c r="H17" s="6" t="str">
        <f t="shared" si="2"/>
        <v>INSERT INTO public.coupon (plancode, age, "year", couponrate, benefittype, benefitrate, premiumrate) VALUES('EN60', 66, 6, 8, 'A',600, 1.01);</v>
      </c>
      <c r="I17" s="6" t="str">
        <f t="shared" si="3"/>
        <v>{"age":"66", "year":"6", "couponrate":"8", "benefittype":"A", "benefitrate":"600", "premiumrate":"1.01"}</v>
      </c>
      <c r="J17" s="6" t="s">
        <v>29</v>
      </c>
    </row>
    <row r="18" spans="1:10">
      <c r="A18" s="4" t="str">
        <f>'EN60'!A$3</f>
        <v>EN60</v>
      </c>
      <c r="B18" s="4">
        <f t="shared" si="4"/>
        <v>66</v>
      </c>
      <c r="C18" s="4">
        <f t="shared" si="5"/>
        <v>7</v>
      </c>
      <c r="D18" s="4">
        <f t="shared" si="0"/>
        <v>8</v>
      </c>
      <c r="E18" s="4" t="s">
        <v>27</v>
      </c>
      <c r="F18" s="4">
        <f t="shared" si="1"/>
        <v>700</v>
      </c>
      <c r="G18" s="5">
        <f t="shared" si="6"/>
        <v>1.01</v>
      </c>
      <c r="H18" s="6" t="str">
        <f t="shared" si="2"/>
        <v>INSERT INTO public.coupon (plancode, age, "year", couponrate, benefittype, benefitrate, premiumrate) VALUES('EN60', 66, 7, 8, 'A',700, 1.01);</v>
      </c>
      <c r="I18" s="6" t="str">
        <f t="shared" si="3"/>
        <v>{"age":"66", "year":"7", "couponrate":"8", "benefittype":"A", "benefitrate":"700", "premiumrate":"1.01"}</v>
      </c>
      <c r="J18" s="6" t="s">
        <v>29</v>
      </c>
    </row>
    <row r="19" spans="1:10">
      <c r="A19" s="4" t="str">
        <f>'EN60'!A$3</f>
        <v>EN60</v>
      </c>
      <c r="B19" s="4">
        <f t="shared" si="4"/>
        <v>66</v>
      </c>
      <c r="C19" s="4">
        <f t="shared" si="5"/>
        <v>8</v>
      </c>
      <c r="D19" s="4">
        <f t="shared" si="0"/>
        <v>8</v>
      </c>
      <c r="E19" s="4" t="s">
        <v>27</v>
      </c>
      <c r="F19" s="4">
        <f t="shared" si="1"/>
        <v>800</v>
      </c>
      <c r="G19" s="5">
        <f t="shared" si="6"/>
        <v>1.01</v>
      </c>
      <c r="H19" s="6" t="str">
        <f t="shared" si="2"/>
        <v>INSERT INTO public.coupon (plancode, age, "year", couponrate, benefittype, benefitrate, premiumrate) VALUES('EN60', 66, 8, 8, 'A',800, 1.01);</v>
      </c>
      <c r="I19" s="6" t="str">
        <f t="shared" si="3"/>
        <v>{"age":"66", "year":"8", "couponrate":"8", "benefittype":"A", "benefitrate":"800", "premiumrate":"1.01"}</v>
      </c>
      <c r="J19" s="6" t="s">
        <v>29</v>
      </c>
    </row>
    <row r="20" spans="1:10">
      <c r="A20" s="4" t="str">
        <f>'EN60'!A$3</f>
        <v>EN60</v>
      </c>
      <c r="B20" s="4">
        <f t="shared" si="4"/>
        <v>66</v>
      </c>
      <c r="C20" s="4">
        <f t="shared" si="5"/>
        <v>9</v>
      </c>
      <c r="D20" s="4">
        <f t="shared" si="0"/>
        <v>8</v>
      </c>
      <c r="E20" s="4" t="s">
        <v>27</v>
      </c>
      <c r="F20" s="4">
        <f t="shared" si="1"/>
        <v>800</v>
      </c>
      <c r="G20" s="5">
        <f t="shared" si="6"/>
        <v>1.01</v>
      </c>
      <c r="H20" s="6" t="str">
        <f t="shared" si="2"/>
        <v>INSERT INTO public.coupon (plancode, age, "year", couponrate, benefittype, benefitrate, premiumrate) VALUES('EN60', 66, 9, 8, 'A',800, 1.01);</v>
      </c>
      <c r="I20" s="6" t="str">
        <f t="shared" si="3"/>
        <v>{"age":"66", "year":"9", "couponrate":"8", "benefittype":"A", "benefitrate":"800", "premiumrate":"1.01"}</v>
      </c>
      <c r="J20" s="6" t="s">
        <v>29</v>
      </c>
    </row>
    <row r="21" spans="1:10">
      <c r="A21" s="4" t="str">
        <f>'EN60'!A$3</f>
        <v>EN60</v>
      </c>
      <c r="B21" s="4">
        <f t="shared" si="4"/>
        <v>66</v>
      </c>
      <c r="C21" s="4">
        <f t="shared" si="5"/>
        <v>10</v>
      </c>
      <c r="D21" s="4">
        <f t="shared" si="0"/>
        <v>8</v>
      </c>
      <c r="E21" s="4" t="s">
        <v>27</v>
      </c>
      <c r="F21" s="4">
        <f t="shared" si="1"/>
        <v>800</v>
      </c>
      <c r="G21" s="5">
        <f t="shared" si="6"/>
        <v>1.01</v>
      </c>
      <c r="H21" s="6" t="str">
        <f t="shared" si="2"/>
        <v>INSERT INTO public.coupon (plancode, age, "year", couponrate, benefittype, benefitrate, premiumrate) VALUES('EN60', 66, 10, 8, 'A',800, 1.01);</v>
      </c>
      <c r="I21" s="6" t="str">
        <f t="shared" si="3"/>
        <v>{"age":"66", "year":"10", "couponrate":"8", "benefittype":"A", "benefitrate":"800", "premiumrate":"1.01"}</v>
      </c>
      <c r="J21" s="6" t="s">
        <v>29</v>
      </c>
    </row>
    <row r="22" spans="1:10">
      <c r="A22" s="4" t="str">
        <f>'EN60'!A$3</f>
        <v>EN60</v>
      </c>
      <c r="B22" s="4">
        <f t="shared" si="4"/>
        <v>66</v>
      </c>
      <c r="C22" s="4">
        <f t="shared" si="5"/>
        <v>11</v>
      </c>
      <c r="D22" s="4">
        <f t="shared" si="0"/>
        <v>8</v>
      </c>
      <c r="E22" s="4" t="s">
        <v>27</v>
      </c>
      <c r="F22" s="4">
        <f t="shared" si="1"/>
        <v>800</v>
      </c>
      <c r="G22" s="5">
        <f t="shared" si="6"/>
        <v>1.01</v>
      </c>
      <c r="H22" s="6" t="str">
        <f t="shared" si="2"/>
        <v>INSERT INTO public.coupon (plancode, age, "year", couponrate, benefittype, benefitrate, premiumrate) VALUES('EN60', 66, 11, 8, 'A',800, 1.01);</v>
      </c>
      <c r="I22" s="6" t="str">
        <f t="shared" si="3"/>
        <v>{"age":"66", "year":"11", "couponrate":"8", "benefittype":"A", "benefitrate":"800", "premiumrate":"1.01"}</v>
      </c>
      <c r="J22" s="6" t="s">
        <v>29</v>
      </c>
    </row>
    <row r="23" spans="1:10">
      <c r="A23" s="4" t="str">
        <f>'EN60'!A$3</f>
        <v>EN60</v>
      </c>
      <c r="B23" s="4">
        <f t="shared" si="4"/>
        <v>66</v>
      </c>
      <c r="C23" s="4">
        <f t="shared" si="5"/>
        <v>12</v>
      </c>
      <c r="D23" s="4">
        <f t="shared" si="0"/>
        <v>8</v>
      </c>
      <c r="E23" s="4" t="s">
        <v>27</v>
      </c>
      <c r="F23" s="4">
        <f t="shared" si="1"/>
        <v>800</v>
      </c>
      <c r="G23" s="5">
        <f t="shared" si="6"/>
        <v>1.01</v>
      </c>
      <c r="H23" s="6" t="str">
        <f t="shared" si="2"/>
        <v>INSERT INTO public.coupon (plancode, age, "year", couponrate, benefittype, benefitrate, premiumrate) VALUES('EN60', 66, 12, 8, 'A',800, 1.01);</v>
      </c>
      <c r="I23" s="6" t="str">
        <f t="shared" si="3"/>
        <v>{"age":"66", "year":"12", "couponrate":"8", "benefittype":"A", "benefitrate":"800", "premiumrate":"1.01"}</v>
      </c>
      <c r="J23" s="6" t="s">
        <v>29</v>
      </c>
    </row>
    <row r="24" spans="1:10">
      <c r="A24" s="4" t="str">
        <f>'EN60'!A$3</f>
        <v>EN60</v>
      </c>
      <c r="B24" s="4">
        <f t="shared" si="4"/>
        <v>66</v>
      </c>
      <c r="C24" s="4">
        <f t="shared" si="5"/>
        <v>13</v>
      </c>
      <c r="D24" s="4">
        <f t="shared" si="0"/>
        <v>8</v>
      </c>
      <c r="E24" s="4" t="s">
        <v>27</v>
      </c>
      <c r="F24" s="4">
        <f t="shared" si="1"/>
        <v>800</v>
      </c>
      <c r="G24" s="5">
        <f t="shared" si="6"/>
        <v>1.01</v>
      </c>
      <c r="H24" s="6" t="str">
        <f t="shared" si="2"/>
        <v>INSERT INTO public.coupon (plancode, age, "year", couponrate, benefittype, benefitrate, premiumrate) VALUES('EN60', 66, 13, 8, 'A',800, 1.01);</v>
      </c>
      <c r="I24" s="6" t="str">
        <f t="shared" si="3"/>
        <v>{"age":"66", "year":"13", "couponrate":"8", "benefittype":"A", "benefitrate":"800", "premiumrate":"1.01"}</v>
      </c>
      <c r="J24" s="6" t="s">
        <v>29</v>
      </c>
    </row>
    <row r="25" spans="1:10">
      <c r="A25" s="4" t="str">
        <f>'EN60'!A$3</f>
        <v>EN60</v>
      </c>
      <c r="B25" s="4">
        <f t="shared" si="4"/>
        <v>66</v>
      </c>
      <c r="C25" s="4">
        <f t="shared" si="5"/>
        <v>14</v>
      </c>
      <c r="D25" s="4">
        <f t="shared" si="0"/>
        <v>0</v>
      </c>
      <c r="E25" s="4" t="s">
        <v>27</v>
      </c>
      <c r="F25" s="4">
        <f t="shared" si="1"/>
        <v>800</v>
      </c>
      <c r="G25" s="5">
        <f t="shared" si="6"/>
        <v>1.01</v>
      </c>
      <c r="H25" s="6" t="str">
        <f t="shared" si="2"/>
        <v>INSERT INTO public.coupon (plancode, age, "year", couponrate, benefittype, benefitrate, premiumrate) VALUES('EN60', 66, 14, 0, 'A',800, 1.01);</v>
      </c>
      <c r="I25" s="6" t="str">
        <f t="shared" si="3"/>
        <v>{"age":"66", "year":"14", "couponrate":"0", "benefittype":"A", "benefitrate":"800", "premiumrate":"1.01"}</v>
      </c>
    </row>
    <row r="26" spans="1:10">
      <c r="A26" s="4"/>
      <c r="B26" s="4"/>
      <c r="C26" s="4"/>
      <c r="D26" s="4"/>
      <c r="E26" s="4"/>
      <c r="F26" s="4"/>
      <c r="G26" s="5"/>
      <c r="I26" s="6" t="s">
        <v>28</v>
      </c>
    </row>
    <row r="27" spans="1:10">
      <c r="A27" s="4"/>
      <c r="B27" s="4"/>
      <c r="C27" s="4"/>
      <c r="D27" s="4"/>
      <c r="E27" s="4"/>
      <c r="F27" s="4"/>
      <c r="G27" s="5"/>
    </row>
    <row r="28" spans="1:10">
      <c r="A28" s="4"/>
      <c r="B28" s="4"/>
      <c r="C28" s="4"/>
      <c r="D28" s="4"/>
      <c r="E28" s="4"/>
      <c r="F28" s="4"/>
      <c r="G28" s="5"/>
    </row>
    <row r="29" spans="1:10">
      <c r="A29" s="4"/>
      <c r="B29" s="4"/>
      <c r="C29" s="4"/>
      <c r="D29" s="4"/>
      <c r="E29" s="4"/>
      <c r="F29" s="4"/>
      <c r="G29" s="5"/>
    </row>
    <row r="30" spans="1:10">
      <c r="A30" s="4"/>
      <c r="B30" s="4"/>
      <c r="C30" s="4"/>
      <c r="D30" s="4"/>
      <c r="E30" s="4"/>
      <c r="F30" s="4"/>
      <c r="G30" s="5"/>
    </row>
    <row r="31" spans="1:10">
      <c r="A31" s="4"/>
      <c r="B31" s="4"/>
      <c r="C31" s="4"/>
      <c r="D31" s="4"/>
      <c r="E31" s="4"/>
      <c r="F31" s="4"/>
      <c r="G31" s="5"/>
    </row>
    <row r="32" spans="1:10">
      <c r="A32" s="4"/>
      <c r="B32" s="4"/>
      <c r="C32" s="4"/>
      <c r="D32" s="4"/>
      <c r="E32" s="4"/>
      <c r="F32" s="4"/>
      <c r="G32" s="5"/>
    </row>
    <row r="33" spans="1:9">
      <c r="A33" s="4"/>
      <c r="B33" s="4"/>
      <c r="C33" s="4"/>
      <c r="D33" s="4"/>
      <c r="E33" s="4"/>
      <c r="F33" s="4"/>
      <c r="G33" s="5"/>
    </row>
    <row r="34" spans="1:9">
      <c r="A34" s="4"/>
      <c r="B34" s="4"/>
      <c r="C34" s="4"/>
      <c r="D34" s="4"/>
      <c r="E34" s="4"/>
      <c r="F34" s="4"/>
      <c r="G34" s="5"/>
    </row>
    <row r="35" spans="1:9">
      <c r="A35" s="4"/>
      <c r="B35" s="4"/>
      <c r="C35" s="4"/>
      <c r="D35" s="4"/>
      <c r="E35" s="4"/>
      <c r="F35" s="4"/>
      <c r="G35" s="5"/>
    </row>
    <row r="36" spans="1:9">
      <c r="A36" s="4"/>
      <c r="B36" s="4"/>
      <c r="C36" s="4"/>
      <c r="D36" s="4"/>
      <c r="E36" s="4"/>
      <c r="F36" s="4"/>
      <c r="G36" s="5"/>
    </row>
    <row r="37" spans="1:9">
      <c r="A37" s="4"/>
      <c r="B37" s="4"/>
      <c r="C37" s="4"/>
      <c r="D37" s="4"/>
      <c r="E37" s="4"/>
      <c r="F37" s="4"/>
      <c r="G37" s="5"/>
    </row>
    <row r="38" spans="1:9">
      <c r="A38" s="4"/>
      <c r="B38" s="4"/>
      <c r="C38" s="4"/>
      <c r="D38" s="4"/>
      <c r="E38" s="4"/>
      <c r="F38" s="4"/>
      <c r="G38" s="5"/>
    </row>
    <row r="39" spans="1:9">
      <c r="A39" s="4"/>
      <c r="B39" s="4"/>
      <c r="C39" s="4"/>
      <c r="D39" s="4"/>
      <c r="E39" s="4"/>
      <c r="F39" s="4"/>
      <c r="G39" s="5"/>
    </row>
    <row r="40" spans="1:9">
      <c r="A40" s="4"/>
      <c r="B40" s="4"/>
      <c r="C40" s="4"/>
      <c r="D40" s="4"/>
      <c r="E40" s="4"/>
      <c r="F40" s="4"/>
      <c r="G40" s="5"/>
    </row>
    <row r="41" spans="1:9">
      <c r="A41" s="4"/>
      <c r="B41" s="4"/>
      <c r="C41" s="4"/>
      <c r="D41" s="4"/>
      <c r="E41" s="4"/>
      <c r="F41" s="4"/>
      <c r="G41" s="5"/>
    </row>
    <row r="42" spans="1:9">
      <c r="A42" s="4"/>
      <c r="B42" s="4"/>
      <c r="C42" s="4"/>
      <c r="D42" s="4"/>
      <c r="E42" s="4"/>
      <c r="F42" s="4"/>
      <c r="G42" s="5"/>
    </row>
    <row r="43" spans="1:9">
      <c r="A43" s="4"/>
      <c r="B43" s="4"/>
      <c r="C43" s="4"/>
      <c r="D43" s="4"/>
      <c r="E43" s="4"/>
      <c r="F43" s="4"/>
      <c r="G43" s="5"/>
    </row>
    <row r="44" spans="1:9">
      <c r="A44" s="4"/>
      <c r="B44" s="4"/>
      <c r="C44" s="4"/>
      <c r="D44" s="4"/>
      <c r="E44" s="4"/>
      <c r="F44" s="4"/>
      <c r="G44" s="5"/>
    </row>
    <row r="45" spans="1:9">
      <c r="A45" s="4"/>
      <c r="B45" s="4"/>
      <c r="C45" s="4"/>
      <c r="D45" s="4"/>
      <c r="E45" s="4"/>
      <c r="F45" s="4"/>
      <c r="G45" s="5"/>
    </row>
    <row r="46" spans="1:9">
      <c r="C46" s="6"/>
      <c r="I46" s="6" t="s">
        <v>28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2025-10-24T02:15:58Z</dcterms:created>
  <dcterms:modified xsi:type="dcterms:W3CDTF">2026-07-24T03:20:55Z</dcterms:modified>
  <cp:category/>
  <cp:contentStatus/>
</cp:coreProperties>
</file>